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6E803236-88F2-43D8-B5F7-3442B82048AD}" xr6:coauthVersionLast="47" xr6:coauthVersionMax="47" xr10:uidLastSave="{00000000-0000-0000-0000-000000000000}"/>
  <bookViews>
    <workbookView xWindow="-120" yWindow="-120" windowWidth="24240" windowHeight="13140" firstSheet="3" activeTab="5" xr2:uid="{247A4725-2AEB-47E9-B0FA-EBBB147021E0}"/>
  </bookViews>
  <sheets>
    <sheet name="Raw Sentiment dataset" sheetId="1" r:id="rId1"/>
    <sheet name="Cleaned Sentiments  Datasets" sheetId="2" r:id="rId2"/>
    <sheet name="Platform Performance Metrics" sheetId="4" r:id="rId3"/>
    <sheet name="Sentiment Trends Over Time (201" sheetId="5" r:id="rId4"/>
    <sheet name="Total Likes vs. Retweets by Soc" sheetId="6" r:id="rId5"/>
    <sheet name="Emotional Distribution by Ctry" sheetId="7" r:id="rId6"/>
    <sheet name="Emotional Engagement by Country" sheetId="8" r:id="rId7"/>
    <sheet name="Dashboards" sheetId="9" r:id="rId8"/>
    <sheet name="KPI'S" sheetId="10" r:id="rId9"/>
  </sheets>
  <definedNames>
    <definedName name="_xlnm._FilterDatabase" localSheetId="1" hidden="1">'Cleaned Sentiments  Datasets'!$N$1:$N$736</definedName>
    <definedName name="_xlcn.WorksheetConnection_3SentimentdatasetCodevedaProjectlinkedIn.xlsxTable11" hidden="1">Table1[]</definedName>
  </definedNames>
  <calcPr calcId="191029"/>
  <pivotCaches>
    <pivotCache cacheId="15" r:id="rId10"/>
    <pivotCache cacheId="14" r:id="rId11"/>
  </pivotCaches>
  <extLst>
    <ext xmlns:x15="http://schemas.microsoft.com/office/spreadsheetml/2010/11/main" uri="{FCE2AD5D-F65C-4FA6-A056-5C36A1767C68}">
      <x15:dataModel>
        <x15:modelTables>
          <x15:modelTable id="Table1" name="Table1" connection="WorksheetConnection_3) Sentiment dataset - Codeveda Project linkedIn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3" i="10" l="1"/>
  <c r="T2" i="2"/>
  <c r="T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124" i="2"/>
  <c r="T125" i="2"/>
  <c r="T126" i="2"/>
  <c r="T127" i="2"/>
  <c r="T128" i="2"/>
  <c r="T129" i="2"/>
  <c r="T130" i="2"/>
  <c r="T131" i="2"/>
  <c r="T132" i="2"/>
  <c r="T133" i="2"/>
  <c r="T134" i="2"/>
  <c r="T135" i="2"/>
  <c r="T136" i="2"/>
  <c r="T137" i="2"/>
  <c r="T138" i="2"/>
  <c r="T139" i="2"/>
  <c r="T140" i="2"/>
  <c r="T141" i="2"/>
  <c r="T142" i="2"/>
  <c r="T143" i="2"/>
  <c r="T144" i="2"/>
  <c r="T145" i="2"/>
  <c r="T146" i="2"/>
  <c r="T147" i="2"/>
  <c r="T148" i="2"/>
  <c r="T149" i="2"/>
  <c r="T150" i="2"/>
  <c r="T151" i="2"/>
  <c r="T152" i="2"/>
  <c r="T153" i="2"/>
  <c r="T154" i="2"/>
  <c r="T155" i="2"/>
  <c r="T156" i="2"/>
  <c r="T157" i="2"/>
  <c r="T158" i="2"/>
  <c r="T159" i="2"/>
  <c r="T160" i="2"/>
  <c r="T161" i="2"/>
  <c r="T162" i="2"/>
  <c r="T163" i="2"/>
  <c r="T164" i="2"/>
  <c r="T165" i="2"/>
  <c r="T166" i="2"/>
  <c r="T167" i="2"/>
  <c r="T168" i="2"/>
  <c r="T169" i="2"/>
  <c r="T170" i="2"/>
  <c r="T171" i="2"/>
  <c r="T172" i="2"/>
  <c r="T173" i="2"/>
  <c r="T174" i="2"/>
  <c r="T175" i="2"/>
  <c r="T176" i="2"/>
  <c r="T177" i="2"/>
  <c r="T178" i="2"/>
  <c r="T179" i="2"/>
  <c r="T180" i="2"/>
  <c r="T181" i="2"/>
  <c r="T182" i="2"/>
  <c r="T183" i="2"/>
  <c r="T184" i="2"/>
  <c r="T185" i="2"/>
  <c r="T186" i="2"/>
  <c r="T187" i="2"/>
  <c r="T188" i="2"/>
  <c r="T189" i="2"/>
  <c r="T190" i="2"/>
  <c r="T191" i="2"/>
  <c r="T192" i="2"/>
  <c r="T193" i="2"/>
  <c r="T194" i="2"/>
  <c r="T195" i="2"/>
  <c r="T196" i="2"/>
  <c r="T197" i="2"/>
  <c r="T198" i="2"/>
  <c r="T199" i="2"/>
  <c r="T200" i="2"/>
  <c r="T201" i="2"/>
  <c r="T202" i="2"/>
  <c r="T203" i="2"/>
  <c r="T204" i="2"/>
  <c r="T205" i="2"/>
  <c r="T206" i="2"/>
  <c r="T207" i="2"/>
  <c r="T208" i="2"/>
  <c r="T209" i="2"/>
  <c r="T210" i="2"/>
  <c r="T211" i="2"/>
  <c r="T212" i="2"/>
  <c r="T213" i="2"/>
  <c r="T214" i="2"/>
  <c r="T215" i="2"/>
  <c r="T216" i="2"/>
  <c r="T217" i="2"/>
  <c r="T218" i="2"/>
  <c r="T219" i="2"/>
  <c r="T220" i="2"/>
  <c r="T221" i="2"/>
  <c r="T222" i="2"/>
  <c r="T223" i="2"/>
  <c r="T224" i="2"/>
  <c r="T225" i="2"/>
  <c r="T226" i="2"/>
  <c r="T227" i="2"/>
  <c r="T228" i="2"/>
  <c r="T229" i="2"/>
  <c r="T230" i="2"/>
  <c r="T231" i="2"/>
  <c r="T232" i="2"/>
  <c r="T233" i="2"/>
  <c r="T234" i="2"/>
  <c r="T235" i="2"/>
  <c r="T236" i="2"/>
  <c r="T237" i="2"/>
  <c r="T238" i="2"/>
  <c r="T239" i="2"/>
  <c r="T240" i="2"/>
  <c r="T241" i="2"/>
  <c r="T242" i="2"/>
  <c r="T243" i="2"/>
  <c r="T244" i="2"/>
  <c r="T245" i="2"/>
  <c r="T246" i="2"/>
  <c r="T247" i="2"/>
  <c r="T248" i="2"/>
  <c r="T249" i="2"/>
  <c r="T250" i="2"/>
  <c r="T251" i="2"/>
  <c r="T252" i="2"/>
  <c r="T253" i="2"/>
  <c r="T254" i="2"/>
  <c r="T255" i="2"/>
  <c r="T256" i="2"/>
  <c r="T257" i="2"/>
  <c r="T258" i="2"/>
  <c r="T259" i="2"/>
  <c r="T260" i="2"/>
  <c r="T261" i="2"/>
  <c r="T262" i="2"/>
  <c r="T263" i="2"/>
  <c r="T264" i="2"/>
  <c r="T265" i="2"/>
  <c r="T266" i="2"/>
  <c r="T267" i="2"/>
  <c r="T268" i="2"/>
  <c r="T269" i="2"/>
  <c r="T270" i="2"/>
  <c r="T271" i="2"/>
  <c r="T272" i="2"/>
  <c r="T273" i="2"/>
  <c r="T274" i="2"/>
  <c r="T275" i="2"/>
  <c r="T276" i="2"/>
  <c r="T277" i="2"/>
  <c r="T278" i="2"/>
  <c r="T279" i="2"/>
  <c r="T280" i="2"/>
  <c r="T281" i="2"/>
  <c r="T282" i="2"/>
  <c r="T283" i="2"/>
  <c r="T284" i="2"/>
  <c r="T285" i="2"/>
  <c r="T286" i="2"/>
  <c r="T287" i="2"/>
  <c r="T288" i="2"/>
  <c r="T289" i="2"/>
  <c r="T290" i="2"/>
  <c r="T291" i="2"/>
  <c r="T292" i="2"/>
  <c r="T293" i="2"/>
  <c r="T294" i="2"/>
  <c r="T295" i="2"/>
  <c r="T296" i="2"/>
  <c r="T297" i="2"/>
  <c r="T298" i="2"/>
  <c r="T299" i="2"/>
  <c r="T300" i="2"/>
  <c r="T301" i="2"/>
  <c r="T302" i="2"/>
  <c r="T303" i="2"/>
  <c r="T304" i="2"/>
  <c r="T305" i="2"/>
  <c r="T306" i="2"/>
  <c r="T307" i="2"/>
  <c r="T308" i="2"/>
  <c r="T309" i="2"/>
  <c r="T310" i="2"/>
  <c r="T311" i="2"/>
  <c r="T312" i="2"/>
  <c r="T313" i="2"/>
  <c r="T314" i="2"/>
  <c r="T315" i="2"/>
  <c r="T316" i="2"/>
  <c r="T317" i="2"/>
  <c r="T318" i="2"/>
  <c r="T319" i="2"/>
  <c r="T320" i="2"/>
  <c r="T321" i="2"/>
  <c r="T322" i="2"/>
  <c r="T323" i="2"/>
  <c r="T324" i="2"/>
  <c r="T325" i="2"/>
  <c r="T326" i="2"/>
  <c r="T327" i="2"/>
  <c r="T328" i="2"/>
  <c r="T329" i="2"/>
  <c r="T330" i="2"/>
  <c r="T331" i="2"/>
  <c r="T332" i="2"/>
  <c r="T333" i="2"/>
  <c r="T334" i="2"/>
  <c r="T335" i="2"/>
  <c r="T336" i="2"/>
  <c r="T337" i="2"/>
  <c r="T338" i="2"/>
  <c r="T339" i="2"/>
  <c r="T340" i="2"/>
  <c r="T341" i="2"/>
  <c r="T342" i="2"/>
  <c r="T343" i="2"/>
  <c r="T344" i="2"/>
  <c r="T345" i="2"/>
  <c r="T346" i="2"/>
  <c r="T347" i="2"/>
  <c r="T348" i="2"/>
  <c r="T349" i="2"/>
  <c r="T350" i="2"/>
  <c r="T351" i="2"/>
  <c r="T352" i="2"/>
  <c r="T353" i="2"/>
  <c r="T354" i="2"/>
  <c r="T355" i="2"/>
  <c r="T356" i="2"/>
  <c r="T357" i="2"/>
  <c r="T358" i="2"/>
  <c r="T359" i="2"/>
  <c r="T360" i="2"/>
  <c r="T361" i="2"/>
  <c r="T362" i="2"/>
  <c r="T363" i="2"/>
  <c r="T364" i="2"/>
  <c r="T365" i="2"/>
  <c r="T366" i="2"/>
  <c r="T367" i="2"/>
  <c r="T368" i="2"/>
  <c r="T369" i="2"/>
  <c r="T370" i="2"/>
  <c r="T371" i="2"/>
  <c r="T372" i="2"/>
  <c r="T373" i="2"/>
  <c r="T374" i="2"/>
  <c r="T375" i="2"/>
  <c r="T376" i="2"/>
  <c r="T377" i="2"/>
  <c r="T378" i="2"/>
  <c r="T379" i="2"/>
  <c r="T380" i="2"/>
  <c r="T381" i="2"/>
  <c r="T382" i="2"/>
  <c r="T383" i="2"/>
  <c r="T384" i="2"/>
  <c r="T385" i="2"/>
  <c r="T386" i="2"/>
  <c r="T387" i="2"/>
  <c r="T388" i="2"/>
  <c r="T389" i="2"/>
  <c r="T390" i="2"/>
  <c r="T391" i="2"/>
  <c r="T392" i="2"/>
  <c r="T393" i="2"/>
  <c r="T394" i="2"/>
  <c r="T395" i="2"/>
  <c r="T396" i="2"/>
  <c r="T397" i="2"/>
  <c r="T398" i="2"/>
  <c r="T399" i="2"/>
  <c r="T400" i="2"/>
  <c r="T401" i="2"/>
  <c r="T402" i="2"/>
  <c r="T403" i="2"/>
  <c r="T404" i="2"/>
  <c r="T405" i="2"/>
  <c r="T406" i="2"/>
  <c r="T407" i="2"/>
  <c r="T408" i="2"/>
  <c r="T409" i="2"/>
  <c r="T410" i="2"/>
  <c r="T411" i="2"/>
  <c r="T412" i="2"/>
  <c r="T413" i="2"/>
  <c r="T414" i="2"/>
  <c r="T415" i="2"/>
  <c r="T416" i="2"/>
  <c r="T417" i="2"/>
  <c r="T418" i="2"/>
  <c r="T419" i="2"/>
  <c r="T420" i="2"/>
  <c r="T421" i="2"/>
  <c r="T422" i="2"/>
  <c r="T423" i="2"/>
  <c r="T424" i="2"/>
  <c r="T425" i="2"/>
  <c r="T426" i="2"/>
  <c r="T427" i="2"/>
  <c r="T428" i="2"/>
  <c r="T429" i="2"/>
  <c r="T430" i="2"/>
  <c r="T431" i="2"/>
  <c r="T432" i="2"/>
  <c r="T433" i="2"/>
  <c r="T434" i="2"/>
  <c r="T435" i="2"/>
  <c r="T436" i="2"/>
  <c r="T437" i="2"/>
  <c r="T438" i="2"/>
  <c r="T439" i="2"/>
  <c r="T440" i="2"/>
  <c r="T441" i="2"/>
  <c r="T442" i="2"/>
  <c r="T443" i="2"/>
  <c r="T444" i="2"/>
  <c r="T445" i="2"/>
  <c r="T446" i="2"/>
  <c r="T447" i="2"/>
  <c r="T448" i="2"/>
  <c r="T449" i="2"/>
  <c r="T450" i="2"/>
  <c r="T451" i="2"/>
  <c r="T452" i="2"/>
  <c r="T453" i="2"/>
  <c r="T454" i="2"/>
  <c r="T455" i="2"/>
  <c r="T456" i="2"/>
  <c r="T457" i="2"/>
  <c r="T458" i="2"/>
  <c r="T459" i="2"/>
  <c r="T460" i="2"/>
  <c r="T461" i="2"/>
  <c r="T462" i="2"/>
  <c r="T463" i="2"/>
  <c r="T464" i="2"/>
  <c r="T465" i="2"/>
  <c r="T466" i="2"/>
  <c r="T467" i="2"/>
  <c r="T468" i="2"/>
  <c r="T469" i="2"/>
  <c r="T470" i="2"/>
  <c r="T471" i="2"/>
  <c r="T472" i="2"/>
  <c r="T473" i="2"/>
  <c r="T474" i="2"/>
  <c r="T475" i="2"/>
  <c r="T476" i="2"/>
  <c r="T477" i="2"/>
  <c r="T478" i="2"/>
  <c r="T479" i="2"/>
  <c r="T480" i="2"/>
  <c r="T481" i="2"/>
  <c r="T482" i="2"/>
  <c r="T483" i="2"/>
  <c r="T484" i="2"/>
  <c r="T485" i="2"/>
  <c r="T486" i="2"/>
  <c r="T487" i="2"/>
  <c r="T488" i="2"/>
  <c r="T489" i="2"/>
  <c r="T490" i="2"/>
  <c r="T491" i="2"/>
  <c r="T492" i="2"/>
  <c r="T493" i="2"/>
  <c r="T494" i="2"/>
  <c r="T495" i="2"/>
  <c r="T496" i="2"/>
  <c r="T497" i="2"/>
  <c r="T498" i="2"/>
  <c r="T499" i="2"/>
  <c r="T500" i="2"/>
  <c r="T501" i="2"/>
  <c r="T502" i="2"/>
  <c r="T503" i="2"/>
  <c r="T504" i="2"/>
  <c r="T505" i="2"/>
  <c r="T506" i="2"/>
  <c r="T507" i="2"/>
  <c r="T508" i="2"/>
  <c r="T509" i="2"/>
  <c r="T510" i="2"/>
  <c r="T511" i="2"/>
  <c r="T512" i="2"/>
  <c r="T513" i="2"/>
  <c r="T514" i="2"/>
  <c r="T515" i="2"/>
  <c r="T516" i="2"/>
  <c r="T517" i="2"/>
  <c r="T518" i="2"/>
  <c r="T519" i="2"/>
  <c r="T520" i="2"/>
  <c r="T521" i="2"/>
  <c r="T522" i="2"/>
  <c r="T523" i="2"/>
  <c r="T524" i="2"/>
  <c r="T525" i="2"/>
  <c r="T526" i="2"/>
  <c r="T527" i="2"/>
  <c r="T528" i="2"/>
  <c r="T529" i="2"/>
  <c r="T530" i="2"/>
  <c r="T531" i="2"/>
  <c r="T532" i="2"/>
  <c r="T533" i="2"/>
  <c r="T534" i="2"/>
  <c r="T535" i="2"/>
  <c r="T536" i="2"/>
  <c r="T537" i="2"/>
  <c r="T538" i="2"/>
  <c r="T539" i="2"/>
  <c r="T540" i="2"/>
  <c r="T541" i="2"/>
  <c r="T542" i="2"/>
  <c r="T543" i="2"/>
  <c r="T544" i="2"/>
  <c r="T545" i="2"/>
  <c r="T546" i="2"/>
  <c r="T547" i="2"/>
  <c r="T548" i="2"/>
  <c r="T549" i="2"/>
  <c r="T550" i="2"/>
  <c r="T551" i="2"/>
  <c r="T552" i="2"/>
  <c r="T553" i="2"/>
  <c r="T554" i="2"/>
  <c r="T555" i="2"/>
  <c r="T556" i="2"/>
  <c r="T557" i="2"/>
  <c r="T558" i="2"/>
  <c r="T559" i="2"/>
  <c r="T560" i="2"/>
  <c r="T561" i="2"/>
  <c r="T562" i="2"/>
  <c r="T563" i="2"/>
  <c r="T564" i="2"/>
  <c r="T565" i="2"/>
  <c r="T566" i="2"/>
  <c r="T567" i="2"/>
  <c r="T568" i="2"/>
  <c r="T569" i="2"/>
  <c r="T570" i="2"/>
  <c r="T571" i="2"/>
  <c r="T572" i="2"/>
  <c r="T573" i="2"/>
  <c r="T574" i="2"/>
  <c r="T575" i="2"/>
  <c r="T576" i="2"/>
  <c r="T577" i="2"/>
  <c r="T578" i="2"/>
  <c r="T579" i="2"/>
  <c r="T580" i="2"/>
  <c r="T581" i="2"/>
  <c r="T582" i="2"/>
  <c r="T583" i="2"/>
  <c r="T584" i="2"/>
  <c r="T585" i="2"/>
  <c r="T586" i="2"/>
  <c r="T587" i="2"/>
  <c r="T588" i="2"/>
  <c r="T589" i="2"/>
  <c r="T590" i="2"/>
  <c r="T591" i="2"/>
  <c r="T592" i="2"/>
  <c r="T593" i="2"/>
  <c r="T594" i="2"/>
  <c r="T595" i="2"/>
  <c r="T596" i="2"/>
  <c r="T597" i="2"/>
  <c r="T598" i="2"/>
  <c r="T599" i="2"/>
  <c r="T600" i="2"/>
  <c r="T601" i="2"/>
  <c r="T602" i="2"/>
  <c r="T603" i="2"/>
  <c r="T604" i="2"/>
  <c r="T605" i="2"/>
  <c r="T606" i="2"/>
  <c r="T607" i="2"/>
  <c r="T608" i="2"/>
  <c r="T609" i="2"/>
  <c r="T610" i="2"/>
  <c r="T611" i="2"/>
  <c r="T612" i="2"/>
  <c r="T613" i="2"/>
  <c r="T614" i="2"/>
  <c r="T615" i="2"/>
  <c r="T616" i="2"/>
  <c r="T617" i="2"/>
  <c r="T618" i="2"/>
  <c r="T619" i="2"/>
  <c r="T620" i="2"/>
  <c r="T621" i="2"/>
  <c r="T622" i="2"/>
  <c r="T623" i="2"/>
  <c r="T624" i="2"/>
  <c r="T625" i="2"/>
  <c r="T626" i="2"/>
  <c r="T627" i="2"/>
  <c r="T628" i="2"/>
  <c r="T629" i="2"/>
  <c r="T630" i="2"/>
  <c r="T631" i="2"/>
  <c r="T632" i="2"/>
  <c r="T633" i="2"/>
  <c r="T634" i="2"/>
  <c r="T635" i="2"/>
  <c r="T636" i="2"/>
  <c r="T637" i="2"/>
  <c r="T638" i="2"/>
  <c r="T639" i="2"/>
  <c r="T640" i="2"/>
  <c r="T641" i="2"/>
  <c r="T642" i="2"/>
  <c r="T643" i="2"/>
  <c r="T644" i="2"/>
  <c r="T645" i="2"/>
  <c r="T646" i="2"/>
  <c r="T647" i="2"/>
  <c r="T648" i="2"/>
  <c r="T649" i="2"/>
  <c r="T650" i="2"/>
  <c r="T651" i="2"/>
  <c r="T652" i="2"/>
  <c r="T653" i="2"/>
  <c r="T654" i="2"/>
  <c r="T655" i="2"/>
  <c r="T656" i="2"/>
  <c r="T657" i="2"/>
  <c r="T658" i="2"/>
  <c r="T659" i="2"/>
  <c r="T660" i="2"/>
  <c r="T661" i="2"/>
  <c r="T662" i="2"/>
  <c r="T663" i="2"/>
  <c r="T664" i="2"/>
  <c r="T665" i="2"/>
  <c r="T666" i="2"/>
  <c r="T667" i="2"/>
  <c r="T668" i="2"/>
  <c r="T669" i="2"/>
  <c r="T670" i="2"/>
  <c r="T671" i="2"/>
  <c r="T672" i="2"/>
  <c r="T673" i="2"/>
  <c r="T674" i="2"/>
  <c r="T675" i="2"/>
  <c r="T676" i="2"/>
  <c r="T677" i="2"/>
  <c r="T678" i="2"/>
  <c r="T679" i="2"/>
  <c r="T680" i="2"/>
  <c r="T681" i="2"/>
  <c r="T682" i="2"/>
  <c r="T683" i="2"/>
  <c r="T684" i="2"/>
  <c r="T685" i="2"/>
  <c r="T686" i="2"/>
  <c r="T687" i="2"/>
  <c r="T688" i="2"/>
  <c r="T689" i="2"/>
  <c r="T690" i="2"/>
  <c r="T691" i="2"/>
  <c r="T692" i="2"/>
  <c r="T693" i="2"/>
  <c r="T694" i="2"/>
  <c r="T695" i="2"/>
  <c r="T696" i="2"/>
  <c r="T697" i="2"/>
  <c r="T698" i="2"/>
  <c r="T699" i="2"/>
  <c r="T700" i="2"/>
  <c r="T701" i="2"/>
  <c r="T702" i="2"/>
  <c r="T703" i="2"/>
  <c r="T704" i="2"/>
  <c r="T705" i="2"/>
  <c r="T706" i="2"/>
  <c r="T707" i="2"/>
  <c r="T708" i="2"/>
  <c r="T709" i="2"/>
  <c r="T710" i="2"/>
  <c r="T711" i="2"/>
  <c r="T712" i="2"/>
  <c r="T713" i="2"/>
  <c r="T714" i="2"/>
  <c r="T715" i="2"/>
  <c r="T716" i="2"/>
  <c r="T717" i="2"/>
  <c r="T718" i="2"/>
  <c r="T719" i="2"/>
  <c r="T720" i="2"/>
  <c r="T721" i="2"/>
  <c r="T722" i="2"/>
  <c r="T723" i="2"/>
  <c r="T724" i="2"/>
  <c r="T725" i="2"/>
  <c r="T726" i="2"/>
  <c r="T727" i="2"/>
  <c r="T728" i="2"/>
  <c r="T729" i="2"/>
  <c r="T730" i="2"/>
  <c r="T731" i="2"/>
  <c r="T732" i="2"/>
  <c r="T733" i="2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33DF009-B0F7-41C5-AAF3-C2EE7EDBF46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42A58263-7E69-43B0-8EB3-0FFB9F224C46}" name="WorksheetConnection_3) Sentiment dataset - Codeveda Project linkedIn.xlsx!Table1" type="102" refreshedVersion="8" minRefreshableVersion="5">
    <extLst>
      <ext xmlns:x15="http://schemas.microsoft.com/office/spreadsheetml/2010/11/main" uri="{DE250136-89BD-433C-8126-D09CA5730AF9}">
        <x15:connection id="Table1" autoDelete="1">
          <x15:rangePr sourceName="_xlcn.WorksheetConnection_3SentimentdatasetCodevedaProjectlinkedIn.xlsxTable11"/>
        </x15:connection>
      </ext>
    </extLst>
  </connection>
</connections>
</file>

<file path=xl/sharedStrings.xml><?xml version="1.0" encoding="utf-8"?>
<sst xmlns="http://schemas.openxmlformats.org/spreadsheetml/2006/main" count="12938" uniqueCount="4119">
  <si>
    <t>Unnamed: 0</t>
  </si>
  <si>
    <t>Text</t>
  </si>
  <si>
    <t>Sentiment</t>
  </si>
  <si>
    <t>Timestamp</t>
  </si>
  <si>
    <t>User</t>
  </si>
  <si>
    <t>Platform</t>
  </si>
  <si>
    <t>Hashtags</t>
  </si>
  <si>
    <t>Retweets</t>
  </si>
  <si>
    <t>Likes</t>
  </si>
  <si>
    <t>Country</t>
  </si>
  <si>
    <t>Year</t>
  </si>
  <si>
    <t>Month</t>
  </si>
  <si>
    <t>Day</t>
  </si>
  <si>
    <t>Hour</t>
  </si>
  <si>
    <t xml:space="preserve"> Enjoying a beautiful day at the park!              </t>
  </si>
  <si>
    <t xml:space="preserve"> Positive  </t>
  </si>
  <si>
    <t xml:space="preserve"> User123      </t>
  </si>
  <si>
    <t xml:space="preserve"> Twitter  </t>
  </si>
  <si>
    <t xml:space="preserve"> #Nature #Park                            </t>
  </si>
  <si>
    <t xml:space="preserve"> USA      </t>
  </si>
  <si>
    <t xml:space="preserve"> Traffic was terrible this morning.                 </t>
  </si>
  <si>
    <t xml:space="preserve"> Negative  </t>
  </si>
  <si>
    <t xml:space="preserve"> CommuterX    </t>
  </si>
  <si>
    <t xml:space="preserve"> #Traffic #Morning                        </t>
  </si>
  <si>
    <t xml:space="preserve"> Canada   </t>
  </si>
  <si>
    <t xml:space="preserve"> Just finished an amazing workout! ðŸ’ª               </t>
  </si>
  <si>
    <t xml:space="preserve"> FitnessFan   </t>
  </si>
  <si>
    <t xml:space="preserve"> Instagram </t>
  </si>
  <si>
    <t xml:space="preserve"> #Fitness #Workout                        </t>
  </si>
  <si>
    <t xml:space="preserve"> USA        </t>
  </si>
  <si>
    <t xml:space="preserve"> Excited about the upcoming weekend getaway!        </t>
  </si>
  <si>
    <t xml:space="preserve"> AdventureX   </t>
  </si>
  <si>
    <t xml:space="preserve"> Facebook </t>
  </si>
  <si>
    <t xml:space="preserve"> #Travel #Adventure                       </t>
  </si>
  <si>
    <t xml:space="preserve"> UK       </t>
  </si>
  <si>
    <t xml:space="preserve"> Trying out a new recipe for dinner tonight.        </t>
  </si>
  <si>
    <t xml:space="preserve"> Neutral   </t>
  </si>
  <si>
    <t xml:space="preserve"> ChefCook     </t>
  </si>
  <si>
    <t xml:space="preserve"> #Cooking #Food                           </t>
  </si>
  <si>
    <t xml:space="preserve"> Australia </t>
  </si>
  <si>
    <t xml:space="preserve"> Feeling grateful for the little things in life.    </t>
  </si>
  <si>
    <t xml:space="preserve"> GratitudeNow </t>
  </si>
  <si>
    <t xml:space="preserve"> #Gratitude #PositiveVibes              </t>
  </si>
  <si>
    <t xml:space="preserve"> India    </t>
  </si>
  <si>
    <t xml:space="preserve"> Rainy days call for cozy blankets and hot cocoa.   </t>
  </si>
  <si>
    <t xml:space="preserve"> RainyDays    </t>
  </si>
  <si>
    <t xml:space="preserve"> #RainyDays #Cozy                         </t>
  </si>
  <si>
    <t xml:space="preserve"> The new movie release is a must-watch!             </t>
  </si>
  <si>
    <t xml:space="preserve"> MovieBuff    </t>
  </si>
  <si>
    <t xml:space="preserve"> #MovieNight #MustWatch                  </t>
  </si>
  <si>
    <t xml:space="preserve"> USA    </t>
  </si>
  <si>
    <t xml:space="preserve"> Political discussions heating up on the timeline.  </t>
  </si>
  <si>
    <t xml:space="preserve"> DebateTalk   </t>
  </si>
  <si>
    <t xml:space="preserve"> #Politics #Debate                       </t>
  </si>
  <si>
    <t xml:space="preserve"> Missing summer vibes and beach days.               </t>
  </si>
  <si>
    <t xml:space="preserve"> BeachLover   </t>
  </si>
  <si>
    <t xml:space="preserve"> #Summer #BeachDays                      </t>
  </si>
  <si>
    <t xml:space="preserve"> Just published a new blog post. Check it out!      </t>
  </si>
  <si>
    <t xml:space="preserve"> BloggerX     </t>
  </si>
  <si>
    <t xml:space="preserve"> #Blogging #NewPost                      </t>
  </si>
  <si>
    <t>USA</t>
  </si>
  <si>
    <t xml:space="preserve"> Feeling a bit under the weather today.             </t>
  </si>
  <si>
    <t xml:space="preserve"> WellnessCheck</t>
  </si>
  <si>
    <t xml:space="preserve"> #SickDay #Health                        </t>
  </si>
  <si>
    <t xml:space="preserve"> Exploring the city's hidden gems.                  </t>
  </si>
  <si>
    <t xml:space="preserve"> UrbanExplorer</t>
  </si>
  <si>
    <t xml:space="preserve"> #CityExplore #HiddenGems                </t>
  </si>
  <si>
    <t xml:space="preserve"> New year, new fitness goals! ðŸ’ª                    </t>
  </si>
  <si>
    <t xml:space="preserve"> FitJourney   </t>
  </si>
  <si>
    <t xml:space="preserve"> #NewYear #FitnessGoals                  </t>
  </si>
  <si>
    <t xml:space="preserve"> Technology is changing the way we live.            </t>
  </si>
  <si>
    <t xml:space="preserve"> TechEnthusiast</t>
  </si>
  <si>
    <t xml:space="preserve"> #Tech #Innovation                       </t>
  </si>
  <si>
    <t xml:space="preserve"> Reflecting on the past and looking ahead.          </t>
  </si>
  <si>
    <t xml:space="preserve"> Reflections  </t>
  </si>
  <si>
    <t xml:space="preserve"> #Reflection #Future                     </t>
  </si>
  <si>
    <t xml:space="preserve"> Just adopted a cute furry friend! ðŸ¾              </t>
  </si>
  <si>
    <t xml:space="preserve"> PetAdopter   </t>
  </si>
  <si>
    <t xml:space="preserve"> #PetAdoption #FurryFriend               </t>
  </si>
  <si>
    <t xml:space="preserve"> Canada    </t>
  </si>
  <si>
    <t xml:space="preserve"> Late-night gaming session with friends.            </t>
  </si>
  <si>
    <t xml:space="preserve"> GamerX       </t>
  </si>
  <si>
    <t xml:space="preserve"> #Gaming #LateNight                      </t>
  </si>
  <si>
    <t xml:space="preserve"> Attending a virtual conference on AI.              </t>
  </si>
  <si>
    <t xml:space="preserve"> TechConference</t>
  </si>
  <si>
    <t xml:space="preserve"> #AI #TechConference                     </t>
  </si>
  <si>
    <t xml:space="preserve"> Winter blues got me feeling low.                   </t>
  </si>
  <si>
    <t xml:space="preserve"> WinterBlues  </t>
  </si>
  <si>
    <t xml:space="preserve"> #WinterBlues #Mood                      </t>
  </si>
  <si>
    <t xml:space="preserve"> USA       </t>
  </si>
  <si>
    <t xml:space="preserve"> Sipping coffee and enjoying a good book.           </t>
  </si>
  <si>
    <t xml:space="preserve"> Bookworm     </t>
  </si>
  <si>
    <t xml:space="preserve"> #Reading #CoffeeTime                    </t>
  </si>
  <si>
    <t xml:space="preserve"> Exploring the world of virtual reality.            </t>
  </si>
  <si>
    <t xml:space="preserve"> VRExplorer   </t>
  </si>
  <si>
    <t xml:space="preserve"> #VR #VirtualReality                     </t>
  </si>
  <si>
    <t xml:space="preserve"> Productive day ticking off my to-do list.          </t>
  </si>
  <si>
    <t xml:space="preserve"> ProductivityPro</t>
  </si>
  <si>
    <t xml:space="preserve"> #Productivity #WorkFromHome           </t>
  </si>
  <si>
    <t xml:space="preserve"> USA </t>
  </si>
  <si>
    <t xml:space="preserve"> Just finished a challenging workout routine.       </t>
  </si>
  <si>
    <t xml:space="preserve"> FitnessWarrior</t>
  </si>
  <si>
    <t xml:space="preserve"> #Fitness #ChallengeAccepted             </t>
  </si>
  <si>
    <t xml:space="preserve"> Celebrating a milestone at work! ðŸŽ‰               </t>
  </si>
  <si>
    <t xml:space="preserve"> CareerMilestone</t>
  </si>
  <si>
    <t xml:space="preserve"> #Career #Milestone                      </t>
  </si>
  <si>
    <t xml:space="preserve"> Canada  </t>
  </si>
  <si>
    <t xml:space="preserve"> Sunday brunch with friends.                        </t>
  </si>
  <si>
    <t xml:space="preserve"> BrunchBuddy  </t>
  </si>
  <si>
    <t xml:space="preserve"> #Brunch #Friends                       </t>
  </si>
  <si>
    <t xml:space="preserve"> UK </t>
  </si>
  <si>
    <t xml:space="preserve"> Learning a new language for personal growth.       </t>
  </si>
  <si>
    <t xml:space="preserve"> LanguageLearner</t>
  </si>
  <si>
    <t xml:space="preserve"> #LanguageLearning #PersonalGrowth       </t>
  </si>
  <si>
    <t xml:space="preserve"> India     </t>
  </si>
  <si>
    <t xml:space="preserve"> Quiet evening with a good book.                    </t>
  </si>
  <si>
    <t xml:space="preserve"> BookLover    </t>
  </si>
  <si>
    <t xml:space="preserve"> #Reading #QuietTime                     </t>
  </si>
  <si>
    <t xml:space="preserve"> Reflecting on the importance of mental health.     </t>
  </si>
  <si>
    <t xml:space="preserve"> MentalHealthMatters</t>
  </si>
  <si>
    <t xml:space="preserve"> #MentalHealth #SelfCare                 </t>
  </si>
  <si>
    <t xml:space="preserve"> New painting in progress! ðŸŽ¨                       </t>
  </si>
  <si>
    <t xml:space="preserve"> ArtistInAction</t>
  </si>
  <si>
    <t xml:space="preserve"> #Art #PaintingInProgress             </t>
  </si>
  <si>
    <t xml:space="preserve"> Canada </t>
  </si>
  <si>
    <t xml:space="preserve"> Weekend road trip to explore scenic views.         </t>
  </si>
  <si>
    <t xml:space="preserve"> RoadTripper  </t>
  </si>
  <si>
    <t xml:space="preserve"> #RoadTrip #ScenicViews                  </t>
  </si>
  <si>
    <t xml:space="preserve"> UK        </t>
  </si>
  <si>
    <t xml:space="preserve"> Enjoying a cup of tea and watching the sunset.     </t>
  </si>
  <si>
    <t xml:space="preserve"> SunsetWatcher</t>
  </si>
  <si>
    <t xml:space="preserve"> #TeaTime #Sunset                       </t>
  </si>
  <si>
    <t xml:space="preserve"> Coding a new project with enthusiasm.              </t>
  </si>
  <si>
    <t xml:space="preserve"> CodeEnthusiast</t>
  </si>
  <si>
    <t xml:space="preserve"> #Coding #Enthusiasm                   </t>
  </si>
  <si>
    <t xml:space="preserve"> Feeling inspired after attending a workshop.       </t>
  </si>
  <si>
    <t xml:space="preserve"> WorkshopAttendee</t>
  </si>
  <si>
    <t xml:space="preserve"> #Inspiration #Workshop                  </t>
  </si>
  <si>
    <t xml:space="preserve"> Winter sports day at the local park.               </t>
  </si>
  <si>
    <t xml:space="preserve"> WinterSports  </t>
  </si>
  <si>
    <t xml:space="preserve"> #WinterSports #Fun                     </t>
  </si>
  <si>
    <t xml:space="preserve"> Quality time with family this weekend.             </t>
  </si>
  <si>
    <t xml:space="preserve"> FamilyTime   </t>
  </si>
  <si>
    <t xml:space="preserve"> #FamilyTime #Weekend                    </t>
  </si>
  <si>
    <t xml:space="preserve"> Attending a live music concert tonight.            </t>
  </si>
  <si>
    <t xml:space="preserve"> MusicLover   </t>
  </si>
  <si>
    <t xml:space="preserve"> #Music #ConcertNight                  </t>
  </si>
  <si>
    <t xml:space="preserve"> Practicing mindfulness with meditation.            </t>
  </si>
  <si>
    <t xml:space="preserve"> MindfulMoments</t>
  </si>
  <si>
    <t xml:space="preserve"> #Mindfulness #Meditation               </t>
  </si>
  <si>
    <t xml:space="preserve"> Trying out a new dessert recipe.                   </t>
  </si>
  <si>
    <t xml:space="preserve"> DessertExplorer</t>
  </si>
  <si>
    <t xml:space="preserve"> #Dessert #Cooking                      </t>
  </si>
  <si>
    <t xml:space="preserve"> Excited about the upcoming gaming tournament.      </t>
  </si>
  <si>
    <t xml:space="preserve"> GamingEnthusiast</t>
  </si>
  <si>
    <t xml:space="preserve"> #Gaming #Tournament                     </t>
  </si>
  <si>
    <t xml:space="preserve"> Planning a garden makeover for spring.             </t>
  </si>
  <si>
    <t xml:space="preserve"> GardenPlanner </t>
  </si>
  <si>
    <t xml:space="preserve"> #Gardening #Spring                     </t>
  </si>
  <si>
    <t xml:space="preserve"> Celebrating a friend's birthday tonight! ðŸŽ‚       </t>
  </si>
  <si>
    <t xml:space="preserve"> BirthdayBash </t>
  </si>
  <si>
    <t xml:space="preserve"> #Birthday #Celebration                  </t>
  </si>
  <si>
    <t xml:space="preserve"> Feeling accomplished after a productive day.       </t>
  </si>
  <si>
    <t xml:space="preserve"> ProductivityWin</t>
  </si>
  <si>
    <t xml:space="preserve"> #Accomplished #Success               </t>
  </si>
  <si>
    <t xml:space="preserve"> India </t>
  </si>
  <si>
    <t xml:space="preserve"> A cozy evening with a good movie.                 </t>
  </si>
  <si>
    <t xml:space="preserve"> MovieNight   </t>
  </si>
  <si>
    <t xml:space="preserve"> #CozyNight #MovieTime                   </t>
  </si>
  <si>
    <t xml:space="preserve"> Exploring local art galleries this weekend.        </t>
  </si>
  <si>
    <t xml:space="preserve"> ArtExplorer  </t>
  </si>
  <si>
    <t xml:space="preserve"> #Art #GalleryExplore                    </t>
  </si>
  <si>
    <t xml:space="preserve"> New book release from my favorite author!          </t>
  </si>
  <si>
    <t xml:space="preserve"> BookwormX    </t>
  </si>
  <si>
    <t xml:space="preserve"> #BookRelease #FavoriteAuthor           </t>
  </si>
  <si>
    <t xml:space="preserve"> UK   </t>
  </si>
  <si>
    <t xml:space="preserve"> Attending a virtual reality meetup.                </t>
  </si>
  <si>
    <t xml:space="preserve"> VRMeetup     </t>
  </si>
  <si>
    <t xml:space="preserve"> #VRMeetup #VirtualReality               </t>
  </si>
  <si>
    <t xml:space="preserve"> Reflecting on the beauty of nature.                </t>
  </si>
  <si>
    <t xml:space="preserve"> NatureLover  </t>
  </si>
  <si>
    <t xml:space="preserve"> #Nature #Reflection                     </t>
  </si>
  <si>
    <t xml:space="preserve"> Cooking a special dinner for loved ones.           </t>
  </si>
  <si>
    <t xml:space="preserve"> ChefAtHome   </t>
  </si>
  <si>
    <t xml:space="preserve"> #Cooking #SpecialDinner                </t>
  </si>
  <si>
    <t xml:space="preserve"> Feeling optimistic about the week ahead.           </t>
  </si>
  <si>
    <t xml:space="preserve"> OptimisticMindset</t>
  </si>
  <si>
    <t xml:space="preserve"> #Optimism #NewWeek                     </t>
  </si>
  <si>
    <t xml:space="preserve"> Starting a new fitness challenge tomorrow! ðŸ’ª     </t>
  </si>
  <si>
    <t xml:space="preserve"> FitnessChallenge</t>
  </si>
  <si>
    <t xml:space="preserve"> #FitnessChallenge #NewBeginnings       </t>
  </si>
  <si>
    <t xml:space="preserve"> UK         </t>
  </si>
  <si>
    <t xml:space="preserve"> Sunday bike ride through scenic trails.           </t>
  </si>
  <si>
    <t xml:space="preserve"> BikeExplorer  </t>
  </si>
  <si>
    <t xml:space="preserve"> #BikeRide #ScenicTrails                </t>
  </si>
  <si>
    <t xml:space="preserve"> USA     </t>
  </si>
  <si>
    <t xml:space="preserve"> Can't believe the injustice happening in our society.</t>
  </si>
  <si>
    <t xml:space="preserve"> Anger        </t>
  </si>
  <si>
    <t xml:space="preserve"> SocialJustice   </t>
  </si>
  <si>
    <t xml:space="preserve"> #Injustice #Angry                            </t>
  </si>
  <si>
    <t xml:space="preserve"> Canada     </t>
  </si>
  <si>
    <t xml:space="preserve"> Feeling a sense of fear after watching a thriller movie. </t>
  </si>
  <si>
    <t xml:space="preserve"> Fear         </t>
  </si>
  <si>
    <t xml:space="preserve"> ThrillerFan     </t>
  </si>
  <si>
    <t xml:space="preserve"> #Fear #ThrillerMovie                         </t>
  </si>
  <si>
    <t xml:space="preserve"> USA          </t>
  </si>
  <si>
    <t xml:space="preserve"> Heartbroken after hearing the news about a natural disaster. </t>
  </si>
  <si>
    <t xml:space="preserve"> Sadness      </t>
  </si>
  <si>
    <t xml:space="preserve"> EmpathyFirst    </t>
  </si>
  <si>
    <t xml:space="preserve"> #Sadness #NaturalDisaster                    </t>
  </si>
  <si>
    <t xml:space="preserve"> India      </t>
  </si>
  <si>
    <t xml:space="preserve"> The state of the world's environment is just disgusting. </t>
  </si>
  <si>
    <t xml:space="preserve"> Disgust      </t>
  </si>
  <si>
    <t xml:space="preserve"> EcoAwareness    </t>
  </si>
  <si>
    <t xml:space="preserve"> #Disgust #Environment                        </t>
  </si>
  <si>
    <t xml:space="preserve"> Pure happiness: celebrating a loved one's achievement! </t>
  </si>
  <si>
    <t xml:space="preserve"> Happiness    </t>
  </si>
  <si>
    <t xml:space="preserve"> ProudFriend     </t>
  </si>
  <si>
    <t xml:space="preserve"> #Happiness #Celebration                   </t>
  </si>
  <si>
    <t xml:space="preserve"> Laughter is the best medicineâ€”enjoying a comedy show. </t>
  </si>
  <si>
    <t xml:space="preserve"> Joy          </t>
  </si>
  <si>
    <t xml:space="preserve"> ComedyFan       </t>
  </si>
  <si>
    <t xml:space="preserve"> #Joy #ComedyShow                             </t>
  </si>
  <si>
    <t xml:space="preserve"> Sharing love and positive vibes with everyone! â¤ï¸      </t>
  </si>
  <si>
    <t xml:space="preserve"> Love         </t>
  </si>
  <si>
    <t xml:space="preserve"> LoveSpreader    </t>
  </si>
  <si>
    <t xml:space="preserve"> #Love #SpreadLove                            </t>
  </si>
  <si>
    <t xml:space="preserve"> Australia  </t>
  </si>
  <si>
    <t xml:space="preserve"> An amusing incident brightened up my day!               </t>
  </si>
  <si>
    <t xml:space="preserve"> Amusement    </t>
  </si>
  <si>
    <t xml:space="preserve"> AmusedSoul      </t>
  </si>
  <si>
    <t xml:space="preserve"> #Amusement #FunTimes                         </t>
  </si>
  <si>
    <t xml:space="preserve"> UK           </t>
  </si>
  <si>
    <t xml:space="preserve"> Enjoying a quiet evening with a book and some tea.      </t>
  </si>
  <si>
    <t xml:space="preserve"> Enjoyment    </t>
  </si>
  <si>
    <t xml:space="preserve"> BookLoverAgain  </t>
  </si>
  <si>
    <t xml:space="preserve"> #Enjoyment #BookTime                         </t>
  </si>
  <si>
    <t xml:space="preserve"> Canada       </t>
  </si>
  <si>
    <t xml:space="preserve"> Admiring the beauty of nature during a peaceful hike.   </t>
  </si>
  <si>
    <t xml:space="preserve"> Admiration   </t>
  </si>
  <si>
    <t xml:space="preserve"> NatureAdmirer   </t>
  </si>
  <si>
    <t xml:space="preserve"> #Admiration #Nature                         </t>
  </si>
  <si>
    <t xml:space="preserve"> Sending affectionate vibes to all my followers!          </t>
  </si>
  <si>
    <t xml:space="preserve"> Affection    </t>
  </si>
  <si>
    <t xml:space="preserve"> AffectionSender </t>
  </si>
  <si>
    <t xml:space="preserve"> #Affection #PositiveVibes                   </t>
  </si>
  <si>
    <t xml:space="preserve"> Experiencing awe at the breathtaking sunset.            </t>
  </si>
  <si>
    <t xml:space="preserve"> Awe          </t>
  </si>
  <si>
    <t xml:space="preserve"> AweStruck       </t>
  </si>
  <si>
    <t xml:space="preserve"> #Awe #Breathtaking                          </t>
  </si>
  <si>
    <t xml:space="preserve"> Australia   </t>
  </si>
  <si>
    <t xml:space="preserve"> Disappointed with the service at a local restaurant.    </t>
  </si>
  <si>
    <t xml:space="preserve"> Disappointed </t>
  </si>
  <si>
    <t xml:space="preserve"> FoodieGoneWrong </t>
  </si>
  <si>
    <t xml:space="preserve"> #Disappointed #BadService                   </t>
  </si>
  <si>
    <t xml:space="preserve"> A surprise gift from a friend made my day!              </t>
  </si>
  <si>
    <t xml:space="preserve"> Surprise     </t>
  </si>
  <si>
    <t xml:space="preserve"> HappySurprise   </t>
  </si>
  <si>
    <t xml:space="preserve"> #Surprise #Gift                              </t>
  </si>
  <si>
    <t xml:space="preserve"> Finding acceptance in the midst of life's challenges.   </t>
  </si>
  <si>
    <t xml:space="preserve"> Acceptance   </t>
  </si>
  <si>
    <t xml:space="preserve"> AcceptanceSeeker</t>
  </si>
  <si>
    <t xml:space="preserve"> #Acceptance #Challenges                     </t>
  </si>
  <si>
    <t xml:space="preserve"> Overflowing with adoration for my adorable pet! ðŸ¾      </t>
  </si>
  <si>
    <t xml:space="preserve"> Adoration    </t>
  </si>
  <si>
    <t xml:space="preserve"> PetAdorer       </t>
  </si>
  <si>
    <t xml:space="preserve"> #Adoration #PetLove                         </t>
  </si>
  <si>
    <t xml:space="preserve"> Anticipating a thrilling adventure in the coming weeks. </t>
  </si>
  <si>
    <t xml:space="preserve"> Anticipation </t>
  </si>
  <si>
    <t xml:space="preserve"> AdventureAwaits  </t>
  </si>
  <si>
    <t xml:space="preserve"> #Anticipation #Adventure                    </t>
  </si>
  <si>
    <t xml:space="preserve"> A bitter experience turned into a valuable lesson.      </t>
  </si>
  <si>
    <t xml:space="preserve"> Bitter       </t>
  </si>
  <si>
    <t xml:space="preserve"> LearnFromBitter </t>
  </si>
  <si>
    <t xml:space="preserve"> #BitterLesson #Growth                      </t>
  </si>
  <si>
    <t xml:space="preserve"> Finding calmness in the midst of a busy day.            </t>
  </si>
  <si>
    <t xml:space="preserve"> Calmness     </t>
  </si>
  <si>
    <t xml:space="preserve"> ZenMaster       </t>
  </si>
  <si>
    <t xml:space="preserve"> #Calmness #PeacefulMind                    </t>
  </si>
  <si>
    <t xml:space="preserve"> Confusion clouds my mind as I navigate through decisions.</t>
  </si>
  <si>
    <t xml:space="preserve"> Confusion    </t>
  </si>
  <si>
    <t xml:space="preserve"> ConfusedMind    </t>
  </si>
  <si>
    <t xml:space="preserve"> #Confusion #DecisionMaking                 </t>
  </si>
  <si>
    <t xml:space="preserve"> Excitement building up for the upcoming vacation!       </t>
  </si>
  <si>
    <t xml:space="preserve"> Excitement   </t>
  </si>
  <si>
    <t xml:space="preserve"> VacationDreamer </t>
  </si>
  <si>
    <t xml:space="preserve"> #Excitement #TravelPlans                   </t>
  </si>
  <si>
    <t xml:space="preserve"> Kindness witnessed today restored my faith in humanity. </t>
  </si>
  <si>
    <t xml:space="preserve"> Kind         </t>
  </si>
  <si>
    <t xml:space="preserve"> KindnessPrevails</t>
  </si>
  <si>
    <t xml:space="preserve"> #Kindness #Humanity                        </t>
  </si>
  <si>
    <t xml:space="preserve"> Pride in achieving a personal milestone.               </t>
  </si>
  <si>
    <t xml:space="preserve"> Pride        </t>
  </si>
  <si>
    <t xml:space="preserve"> PersonalAchiever</t>
  </si>
  <si>
    <t xml:space="preserve"> #Pride #Milestone                           </t>
  </si>
  <si>
    <t xml:space="preserve"> Australia    </t>
  </si>
  <si>
    <t xml:space="preserve"> A moment of shame for not standing up against injustice. </t>
  </si>
  <si>
    <t xml:space="preserve"> Shame        </t>
  </si>
  <si>
    <t xml:space="preserve"> ReflectiveSelf  </t>
  </si>
  <si>
    <t xml:space="preserve"> #Shame #Injustice                           </t>
  </si>
  <si>
    <t xml:space="preserve"> Fuming with anger after a heated argument.            </t>
  </si>
  <si>
    <t xml:space="preserve"> AngryDebater    </t>
  </si>
  <si>
    <t xml:space="preserve"> #Anger #Argument                             </t>
  </si>
  <si>
    <t xml:space="preserve"> The fear of the unknown is keeping me up at night.    </t>
  </si>
  <si>
    <t xml:space="preserve"> FearfulDreamer  </t>
  </si>
  <si>
    <t xml:space="preserve"> #Fear #Unknown                               </t>
  </si>
  <si>
    <t xml:space="preserve"> Heartfelt sadness after bidding farewell to a dear friend. </t>
  </si>
  <si>
    <t xml:space="preserve"> FarewellHeart   </t>
  </si>
  <si>
    <t xml:space="preserve"> #Sadness #Farewell                          </t>
  </si>
  <si>
    <t xml:space="preserve"> The state of corruption in our society is utterly disgusting. </t>
  </si>
  <si>
    <t xml:space="preserve"> AntiCorruption  </t>
  </si>
  <si>
    <t xml:space="preserve"> #Disgust #Corruption                         </t>
  </si>
  <si>
    <t xml:space="preserve"> Overflowing happiness: welcoming a new family member!  </t>
  </si>
  <si>
    <t xml:space="preserve"> NewParentJoy    </t>
  </si>
  <si>
    <t xml:space="preserve"> #Happiness #NewFamilyMember                 </t>
  </si>
  <si>
    <t xml:space="preserve"> Laughter is the key to joyâ€”attending a stand-up comedy show. </t>
  </si>
  <si>
    <t xml:space="preserve"> StandUpFan      </t>
  </si>
  <si>
    <t xml:space="preserve"> #Joy #StandUpComedy                         </t>
  </si>
  <si>
    <t xml:space="preserve"> Sending love to all my followers on this beautiful day! â¤ï¸ </t>
  </si>
  <si>
    <t xml:space="preserve"> LoveSender      </t>
  </si>
  <si>
    <t xml:space="preserve"> Amused by the antics of my petâ€”it's pure amusement!      </t>
  </si>
  <si>
    <t xml:space="preserve"> PetAmuser       </t>
  </si>
  <si>
    <t xml:space="preserve"> #Amusement #PetAntics                       </t>
  </si>
  <si>
    <t xml:space="preserve"> Enjoying every moment of this tripâ€”pure enjoyment!      </t>
  </si>
  <si>
    <t xml:space="preserve"> TravelExplorer  </t>
  </si>
  <si>
    <t xml:space="preserve"> #Enjoyment #Travel                           </t>
  </si>
  <si>
    <t xml:space="preserve"> Admiring the dedication of volunteers at a local charity. </t>
  </si>
  <si>
    <t xml:space="preserve"> CharityAdmirer  </t>
  </si>
  <si>
    <t xml:space="preserve"> #Admiration #Volunteers                     </t>
  </si>
  <si>
    <t xml:space="preserve"> Sending affectionate vibes to friends and family.        </t>
  </si>
  <si>
    <t xml:space="preserve"> FamilyLover     </t>
  </si>
  <si>
    <t xml:space="preserve"> #Affection #FamilyLove                      </t>
  </si>
  <si>
    <t xml:space="preserve"> Awe-struck by the beauty of the night sky.               </t>
  </si>
  <si>
    <t xml:space="preserve"> Stargazer       </t>
  </si>
  <si>
    <t xml:space="preserve"> #Awe #StarryNight                        </t>
  </si>
  <si>
    <t xml:space="preserve"> Disappointed with the lack of progress in a personal project. </t>
  </si>
  <si>
    <t xml:space="preserve"> ProjectStruggle </t>
  </si>
  <si>
    <t xml:space="preserve"> #Disappointed #Project                     </t>
  </si>
  <si>
    <t xml:space="preserve"> A surprise visit from an old friend brought tears of joy. </t>
  </si>
  <si>
    <t xml:space="preserve"> JoyfulReunion   </t>
  </si>
  <si>
    <t xml:space="preserve"> #Surprise #OldFriends                       </t>
  </si>
  <si>
    <t xml:space="preserve"> Embracing acceptance of life's ups and downs.           </t>
  </si>
  <si>
    <t xml:space="preserve"> LifeAcceptance  </t>
  </si>
  <si>
    <t xml:space="preserve"> #Acceptance #LifeJourney                   </t>
  </si>
  <si>
    <t xml:space="preserve"> Overflowing adoration for a cute rescue puppy! ðŸ¶       </t>
  </si>
  <si>
    <t xml:space="preserve"> PuppyAdmirer    </t>
  </si>
  <si>
    <t xml:space="preserve"> #Adoration #PuppyLove                       </t>
  </si>
  <si>
    <t xml:space="preserve"> Anticipating the release of a much-awaited movie.       </t>
  </si>
  <si>
    <t xml:space="preserve"> MovieBuff2      </t>
  </si>
  <si>
    <t xml:space="preserve"> #Anticipation #MovieRelease                 </t>
  </si>
  <si>
    <t xml:space="preserve"> Bitter experience at the customer service department.   </t>
  </si>
  <si>
    <t xml:space="preserve"> CustomerWoes    </t>
  </si>
  <si>
    <t xml:space="preserve"> #BitterExperience #CustomerService         </t>
  </si>
  <si>
    <t xml:space="preserve"> Finding calmness amidst the chaos of daily life.        </t>
  </si>
  <si>
    <t xml:space="preserve"> CalmSoul        </t>
  </si>
  <si>
    <t xml:space="preserve"> #Calmness #InnerPeace                      </t>
  </si>
  <si>
    <t xml:space="preserve"> Confusion reigns as I try to make sense of recent events.</t>
  </si>
  <si>
    <t xml:space="preserve"> ConfusedMind2   </t>
  </si>
  <si>
    <t xml:space="preserve"> #Confusion #MakingSense                    </t>
  </si>
  <si>
    <t xml:space="preserve"> Excitement building up for a surprise birthday party.   </t>
  </si>
  <si>
    <t xml:space="preserve"> BirthdayExcite  </t>
  </si>
  <si>
    <t xml:space="preserve"> #Excitement #SurpriseParty                 </t>
  </si>
  <si>
    <t xml:space="preserve"> Witnessed an act of kindness that made my day.          </t>
  </si>
  <si>
    <t xml:space="preserve"> KindnessObserver</t>
  </si>
  <si>
    <t xml:space="preserve"> #Kindness #ActsOfKindness                  </t>
  </si>
  <si>
    <t xml:space="preserve"> Pride in completing a challenging fitness challenge.    </t>
  </si>
  <si>
    <t xml:space="preserve"> FitAchiever     </t>
  </si>
  <si>
    <t xml:space="preserve"> #Pride #FitnessChallengeCompleted          </t>
  </si>
  <si>
    <t xml:space="preserve"> UK            </t>
  </si>
  <si>
    <t xml:space="preserve"> A moment of shame for not speaking up against injustice.</t>
  </si>
  <si>
    <t xml:space="preserve"> ReflectiveSelf2 </t>
  </si>
  <si>
    <t xml:space="preserve"> Reflecting on the beauty of diversity in our world.     </t>
  </si>
  <si>
    <t xml:space="preserve"> DiversityLover  </t>
  </si>
  <si>
    <t xml:space="preserve"> #Acceptance #Diversity                      </t>
  </si>
  <si>
    <t xml:space="preserve"> Excitement for a quiet evening with a good book.        </t>
  </si>
  <si>
    <t xml:space="preserve"> BookwormJoy     </t>
  </si>
  <si>
    <t xml:space="preserve"> #Excitement #BookTime                       </t>
  </si>
  <si>
    <t xml:space="preserve"> Feeling bitter about the unfairness in the workplace.   </t>
  </si>
  <si>
    <t xml:space="preserve"> WorkplaceWoes   </t>
  </si>
  <si>
    <t xml:space="preserve"> #Bitter #Unfairness                         </t>
  </si>
  <si>
    <t xml:space="preserve"> Calmness prevails as I practice mindfulness.            </t>
  </si>
  <si>
    <t xml:space="preserve"> MindfulMe       </t>
  </si>
  <si>
    <t xml:space="preserve"> #Calmness #Mindfulness                      </t>
  </si>
  <si>
    <t xml:space="preserve"> Confusion surrounds me as I navigate through life's choices. </t>
  </si>
  <si>
    <t xml:space="preserve"> Confusion </t>
  </si>
  <si>
    <t xml:space="preserve"> ConfusedMind3   </t>
  </si>
  <si>
    <t xml:space="preserve"> #Confusion #LifeChoices                     </t>
  </si>
  <si>
    <t xml:space="preserve"> USA   </t>
  </si>
  <si>
    <t xml:space="preserve"> Excitement for a weekend road trip to explore new places. </t>
  </si>
  <si>
    <t xml:space="preserve"> Excitement </t>
  </si>
  <si>
    <t xml:space="preserve"> RoadTripper2    </t>
  </si>
  <si>
    <t xml:space="preserve"> #Excitement #WeekendAdventure               </t>
  </si>
  <si>
    <t xml:space="preserve"> Kindness witnessed today restores my faith in humanity.  </t>
  </si>
  <si>
    <t xml:space="preserve"> KindnessPrevails2</t>
  </si>
  <si>
    <t xml:space="preserve"> #Kindness #HumanityRestored                 </t>
  </si>
  <si>
    <t xml:space="preserve"> Pride in accomplishing personal and professional goals.  </t>
  </si>
  <si>
    <t xml:space="preserve"> GoalAchiever    </t>
  </si>
  <si>
    <t xml:space="preserve"> #Pride #Accomplishments                     </t>
  </si>
  <si>
    <t xml:space="preserve"> Shame for not being true to my values in a difficult situation.</t>
  </si>
  <si>
    <t xml:space="preserve"> Shame </t>
  </si>
  <si>
    <t xml:space="preserve"> ReflectiveSelf3 </t>
  </si>
  <si>
    <t xml:space="preserve"> #Shame #Integrity                           </t>
  </si>
  <si>
    <t xml:space="preserve"> Revisiting old memories, feeling a sense of elation. </t>
  </si>
  <si>
    <t xml:space="preserve"> Elation       </t>
  </si>
  <si>
    <t xml:space="preserve"> NostalgiaFan    </t>
  </si>
  <si>
    <t xml:space="preserve"> #Elation #Memories                             </t>
  </si>
  <si>
    <t xml:space="preserve"> The victory of our team brought euphoria to the city. </t>
  </si>
  <si>
    <t xml:space="preserve"> Euphoria      </t>
  </si>
  <si>
    <t xml:space="preserve"> SportsFanatic   </t>
  </si>
  <si>
    <t xml:space="preserve"> #Euphoria #Victory                             </t>
  </si>
  <si>
    <t xml:space="preserve"> Embracing the beauty of nature, a moment of contentment. </t>
  </si>
  <si>
    <t xml:space="preserve"> Contentment   </t>
  </si>
  <si>
    <t xml:space="preserve"> NatureLover2    </t>
  </si>
  <si>
    <t xml:space="preserve"> #Contentment #Nature                           </t>
  </si>
  <si>
    <t xml:space="preserve"> India       </t>
  </si>
  <si>
    <t xml:space="preserve"> Meditating by the serene lake, finding inner peace.   </t>
  </si>
  <si>
    <t xml:space="preserve"> Serenity      </t>
  </si>
  <si>
    <t xml:space="preserve"> ZenMaster2      </t>
  </si>
  <si>
    <t xml:space="preserve"> #Serenity #Meditation                          </t>
  </si>
  <si>
    <t xml:space="preserve"> UK          </t>
  </si>
  <si>
    <t xml:space="preserve"> Overflowing with gratitude for life's blessings.      </t>
  </si>
  <si>
    <t xml:space="preserve"> Gratitude     </t>
  </si>
  <si>
    <t xml:space="preserve"> ThankfulHeart   </t>
  </si>
  <si>
    <t xml:space="preserve"> #Gratitude #Blessed                            </t>
  </si>
  <si>
    <t xml:space="preserve"> Hopeful for a brighter tomorrow, despite challenges.  </t>
  </si>
  <si>
    <t xml:space="preserve"> Hope          </t>
  </si>
  <si>
    <t xml:space="preserve"> OptimisticSoul  </t>
  </si>
  <si>
    <t xml:space="preserve"> #Hope #Optimism                                </t>
  </si>
  <si>
    <t xml:space="preserve"> Empowered to make a difference in my community.        </t>
  </si>
  <si>
    <t xml:space="preserve"> Empowerment   </t>
  </si>
  <si>
    <t xml:space="preserve"> CommunityLeader </t>
  </si>
  <si>
    <t xml:space="preserve"> #Empowerment #Community                        </t>
  </si>
  <si>
    <t xml:space="preserve"> Compassion in action: supporting a local charity event. </t>
  </si>
  <si>
    <t xml:space="preserve"> Compassion    </t>
  </si>
  <si>
    <t xml:space="preserve"> CharitySupporter</t>
  </si>
  <si>
    <t xml:space="preserve"> #Compassion #CharityEvent                   </t>
  </si>
  <si>
    <t xml:space="preserve"> A moment of tenderness, connecting with loved ones.    </t>
  </si>
  <si>
    <t xml:space="preserve"> Tenderness    </t>
  </si>
  <si>
    <t xml:space="preserve"> LovingHeart     </t>
  </si>
  <si>
    <t xml:space="preserve"> #Tenderness #FamilyTime                       </t>
  </si>
  <si>
    <t xml:space="preserve"> Arousal of excitement as I await a special announcement.</t>
  </si>
  <si>
    <t xml:space="preserve"> Arousal       </t>
  </si>
  <si>
    <t xml:space="preserve"> ExcitementFan   </t>
  </si>
  <si>
    <t xml:space="preserve"> #Arousal #Excitement                           </t>
  </si>
  <si>
    <t xml:space="preserve"> Enthusiastically diving into a new project.            </t>
  </si>
  <si>
    <t xml:space="preserve"> Enthusiasm    </t>
  </si>
  <si>
    <t xml:space="preserve"> ProjectEnthusiast</t>
  </si>
  <si>
    <t xml:space="preserve"> #Enthusiasm #NewProject                       </t>
  </si>
  <si>
    <t xml:space="preserve"> USA  </t>
  </si>
  <si>
    <t xml:space="preserve"> Feeling a sense of fulfillment after reaching a milestone.</t>
  </si>
  <si>
    <t xml:space="preserve"> Fulfillment  </t>
  </si>
  <si>
    <t xml:space="preserve"> MilestoneAchiever</t>
  </si>
  <si>
    <t xml:space="preserve"> #Fulfillment #Milestone                       </t>
  </si>
  <si>
    <t xml:space="preserve"> Reverence for the beauty of a historic landmark.       </t>
  </si>
  <si>
    <t xml:space="preserve"> Reverence     </t>
  </si>
  <si>
    <t xml:space="preserve"> HistoryLover    </t>
  </si>
  <si>
    <t xml:space="preserve"> #Reverence #History                           </t>
  </si>
  <si>
    <t xml:space="preserve"> UK      </t>
  </si>
  <si>
    <t xml:space="preserve"> Elation after a surprise reunion with old friends.    </t>
  </si>
  <si>
    <t xml:space="preserve"> JoyfulReunion2  </t>
  </si>
  <si>
    <t xml:space="preserve"> #Elation #OldFriends                          </t>
  </si>
  <si>
    <t xml:space="preserve"> Canada      </t>
  </si>
  <si>
    <t xml:space="preserve"> The euphoria of a live music concert under the stars.  </t>
  </si>
  <si>
    <t xml:space="preserve"> MusicEnthusiast </t>
  </si>
  <si>
    <t xml:space="preserve"> #Euphoria #LiveMusic                          </t>
  </si>
  <si>
    <t xml:space="preserve"> Contentment in the simplicity of a quiet Sunday.       </t>
  </si>
  <si>
    <t xml:space="preserve"> SimpleJoys      </t>
  </si>
  <si>
    <t xml:space="preserve"> #Contentment #SundayMood                      </t>
  </si>
  <si>
    <t xml:space="preserve"> Serenity found in the pages of a favorite book.        </t>
  </si>
  <si>
    <t xml:space="preserve"> BookLover3      </t>
  </si>
  <si>
    <t xml:space="preserve"> #Serenity #BookTime                           </t>
  </si>
  <si>
    <t xml:space="preserve"> Gratitude for the support received during tough times. </t>
  </si>
  <si>
    <t xml:space="preserve"> SupportiveFriend</t>
  </si>
  <si>
    <t xml:space="preserve"> #Gratitude #Supportive                        </t>
  </si>
  <si>
    <t xml:space="preserve"> Hopeful about the possibilities of a new journey.      </t>
  </si>
  <si>
    <t xml:space="preserve"> JourneyOptimist </t>
  </si>
  <si>
    <t xml:space="preserve"> #Hope #NewBeginnings                          </t>
  </si>
  <si>
    <t xml:space="preserve"> Empowerment through learning and personal growth.      </t>
  </si>
  <si>
    <t xml:space="preserve"> GrowthSeeker    </t>
  </si>
  <si>
    <t xml:space="preserve"> #Empowerment #PersonalGrowth                  </t>
  </si>
  <si>
    <t xml:space="preserve"> Compassion towards those in need during the holidays.  </t>
  </si>
  <si>
    <t xml:space="preserve"> HolidayHelper   </t>
  </si>
  <si>
    <t xml:space="preserve"> #Compassion #HolidaySupport                   </t>
  </si>
  <si>
    <t xml:space="preserve"> Tenderness in the warmth of a cozy winter evening.     </t>
  </si>
  <si>
    <t xml:space="preserve"> WinterWarmth    </t>
  </si>
  <si>
    <t xml:space="preserve"> #Tenderness #CozyEvening                     </t>
  </si>
  <si>
    <t xml:space="preserve"> Arousal of excitement for an upcoming adventure.       </t>
  </si>
  <si>
    <t xml:space="preserve"> AdventureAwaits </t>
  </si>
  <si>
    <t xml:space="preserve"> #Arousal #AdventureTime                       </t>
  </si>
  <si>
    <t xml:space="preserve"> Enthusiasm for a creative project in the making.       </t>
  </si>
  <si>
    <t xml:space="preserve"> CreativeSpirit  </t>
  </si>
  <si>
    <t xml:space="preserve"> #Enthusiasm #Creativity                       </t>
  </si>
  <si>
    <t xml:space="preserve"> Fulfillment in completing a challenging workout routine.</t>
  </si>
  <si>
    <t xml:space="preserve"> FitnessAchiever </t>
  </si>
  <si>
    <t xml:space="preserve"> #Fulfillment #FitnessGoals                   </t>
  </si>
  <si>
    <t xml:space="preserve"> Reverence for the artistry displayed in a museum.      </t>
  </si>
  <si>
    <t xml:space="preserve"> ArtAppreciator  </t>
  </si>
  <si>
    <t xml:space="preserve"> #Reverence #ArtAppreciation                  </t>
  </si>
  <si>
    <t xml:space="preserve"> Elation after achieving a personal goal.               </t>
  </si>
  <si>
    <t xml:space="preserve"> GoalAchiever2   </t>
  </si>
  <si>
    <t xml:space="preserve"> #Elation #PersonalAchievement                </t>
  </si>
  <si>
    <t xml:space="preserve"> Elation over discovering a hidden gem in the city.   </t>
  </si>
  <si>
    <t xml:space="preserve"> UrbanExplorer2  </t>
  </si>
  <si>
    <t xml:space="preserve"> #Elation #HiddenGem                            </t>
  </si>
  <si>
    <t xml:space="preserve"> The euphoria of a surprise birthday celebration.     </t>
  </si>
  <si>
    <t xml:space="preserve"> BirthdayJoy     </t>
  </si>
  <si>
    <t xml:space="preserve"> #Euphoria #BirthdaySurprise                   </t>
  </si>
  <si>
    <t xml:space="preserve"> Contentment in the simplicity of a home-cooked meal. </t>
  </si>
  <si>
    <t xml:space="preserve"> HomeChef        </t>
  </si>
  <si>
    <t xml:space="preserve"> #Contentment #HomeCooking                     </t>
  </si>
  <si>
    <t xml:space="preserve"> Serenity found in the melody of a peaceful piano.    </t>
  </si>
  <si>
    <t xml:space="preserve"> MusicLover4     </t>
  </si>
  <si>
    <t xml:space="preserve"> #Serenity #PeacefulMelody                    </t>
  </si>
  <si>
    <t xml:space="preserve"> Gratitude for the supportive community around me.    </t>
  </si>
  <si>
    <t xml:space="preserve"> CommunityLove   </t>
  </si>
  <si>
    <t xml:space="preserve"> #Gratitude #CommunitySupport                   </t>
  </si>
  <si>
    <t xml:space="preserve"> Hopeful about the prospects of a new business venture.</t>
  </si>
  <si>
    <t xml:space="preserve"> EntrepreneurHope</t>
  </si>
  <si>
    <t xml:space="preserve"> #Hope #BusinessVenture                        </t>
  </si>
  <si>
    <t xml:space="preserve"> Empowerment through mentoring and guiding others.    </t>
  </si>
  <si>
    <t xml:space="preserve"> MentorEmpower   </t>
  </si>
  <si>
    <t xml:space="preserve"> #Empowerment #Mentorship                      </t>
  </si>
  <si>
    <t xml:space="preserve"> Compassion shown through acts of kindness in the community.</t>
  </si>
  <si>
    <t xml:space="preserve"> Compassion</t>
  </si>
  <si>
    <t xml:space="preserve"> KindnessInAction</t>
  </si>
  <si>
    <t xml:space="preserve"> #Compassion #CommunityKindness               </t>
  </si>
  <si>
    <t xml:space="preserve"> Tenderness in a heartfelt message to a loved one.    </t>
  </si>
  <si>
    <t xml:space="preserve"> LoveExpress     </t>
  </si>
  <si>
    <t xml:space="preserve"> #Tenderness #LoveNote                         </t>
  </si>
  <si>
    <t xml:space="preserve"> Arousal of excitement before a much-awaited trip.    </t>
  </si>
  <si>
    <t xml:space="preserve"> TravelExcitement</t>
  </si>
  <si>
    <t xml:space="preserve"> #Arousal #TravelAdventure                     </t>
  </si>
  <si>
    <t xml:space="preserve"> Enthusiasm for a new artistic project in the works.  </t>
  </si>
  <si>
    <t xml:space="preserve"> ArtisticSpirit  </t>
  </si>
  <si>
    <t xml:space="preserve"> #Enthusiasm #ArtisticProject                 </t>
  </si>
  <si>
    <t xml:space="preserve"> Feeling a sense of fulfillment after helping others. </t>
  </si>
  <si>
    <t xml:space="preserve"> Fulfillment   </t>
  </si>
  <si>
    <t xml:space="preserve"> HelperHeart     </t>
  </si>
  <si>
    <t xml:space="preserve"> #Fulfillment #HelpingOthers                  </t>
  </si>
  <si>
    <t xml:space="preserve"> Reverence for the historical significance of a landmark.</t>
  </si>
  <si>
    <t xml:space="preserve"> Reverence </t>
  </si>
  <si>
    <t xml:space="preserve"> HistoryBuff     </t>
  </si>
  <si>
    <t xml:space="preserve"> #Reverence #HistoricalSite                   </t>
  </si>
  <si>
    <t xml:space="preserve"> Elation after achieving a fitness milestone.         </t>
  </si>
  <si>
    <t xml:space="preserve"> FitnessAchiever2</t>
  </si>
  <si>
    <t xml:space="preserve"> #Elation #FitnessMilestone                   </t>
  </si>
  <si>
    <t xml:space="preserve"> The euphoria of a successful product launch.         </t>
  </si>
  <si>
    <t xml:space="preserve"> ProductLaunchJoy</t>
  </si>
  <si>
    <t xml:space="preserve"> #Euphoria #ProductLaunchSuccess              </t>
  </si>
  <si>
    <t xml:space="preserve"> Contentment in the embrace of a loved one.           </t>
  </si>
  <si>
    <t xml:space="preserve"> LovingEmbrace   </t>
  </si>
  <si>
    <t xml:space="preserve"> #Contentment #Love                             </t>
  </si>
  <si>
    <t xml:space="preserve"> Serenity found in the beauty of a sunset by the sea.  </t>
  </si>
  <si>
    <t xml:space="preserve"> SunsetWatcher2  </t>
  </si>
  <si>
    <t xml:space="preserve"> #Serenity #SunsetViews                       </t>
  </si>
  <si>
    <t xml:space="preserve"> Gratitude for the small joys that each day brings.   </t>
  </si>
  <si>
    <t xml:space="preserve"> JoyfulHeart2    </t>
  </si>
  <si>
    <t xml:space="preserve"> #Gratitude #SmallJoys                        </t>
  </si>
  <si>
    <t xml:space="preserve"> Hopeful about the potential for personal growth.      </t>
  </si>
  <si>
    <t xml:space="preserve"> GrowthOptimist  </t>
  </si>
  <si>
    <t xml:space="preserve"> #Hope #PersonalDevelopment                    </t>
  </si>
  <si>
    <t xml:space="preserve"> Empowerment through learning a new skill.            </t>
  </si>
  <si>
    <t xml:space="preserve"> SkillEmpower    </t>
  </si>
  <si>
    <t xml:space="preserve"> #Empowerment #SkillBuilding                   </t>
  </si>
  <si>
    <t xml:space="preserve"> India   </t>
  </si>
  <si>
    <t xml:space="preserve"> Compassion in volunteering for a local charity.       </t>
  </si>
  <si>
    <t xml:space="preserve"> CharityVolunteer</t>
  </si>
  <si>
    <t xml:space="preserve"> #Compassion #VolunteerWork                   </t>
  </si>
  <si>
    <t xml:space="preserve"> Tenderness in a quiet moment shared with a pet.      </t>
  </si>
  <si>
    <t xml:space="preserve"> PetLove         </t>
  </si>
  <si>
    <t xml:space="preserve"> #Tenderness #PetLove                          </t>
  </si>
  <si>
    <t xml:space="preserve"> Arousal of excitement for an upcoming festival.       </t>
  </si>
  <si>
    <t xml:space="preserve"> FestivalFan     </t>
  </si>
  <si>
    <t xml:space="preserve"> #Arousal #FestivalExcitement               </t>
  </si>
  <si>
    <t xml:space="preserve"> Enthusiasm for a DIY home improvement project.       </t>
  </si>
  <si>
    <t xml:space="preserve"> DIYEnthusiast   </t>
  </si>
  <si>
    <t xml:space="preserve"> #Enthusiasm #HomeImprovement                 </t>
  </si>
  <si>
    <t xml:space="preserve"> Fulfillment in completing a challenging puzzle.      </t>
  </si>
  <si>
    <t xml:space="preserve"> PuzzleMaster    </t>
  </si>
  <si>
    <t xml:space="preserve"> #Fulfillment #PuzzleChallenge                </t>
  </si>
  <si>
    <t xml:space="preserve"> Reverence for the wonders of nature on a hiking trail.</t>
  </si>
  <si>
    <t xml:space="preserve"> #Reverence #NatureExploration                </t>
  </si>
  <si>
    <t xml:space="preserve"> Elation after a surprise reunion with a childhood friend.</t>
  </si>
  <si>
    <t xml:space="preserve"> Elation   </t>
  </si>
  <si>
    <t xml:space="preserve"> ChildhoodJoy    </t>
  </si>
  <si>
    <t xml:space="preserve"> #Elation #FriendshipReunion                  </t>
  </si>
  <si>
    <t xml:space="preserve"> Suffering from despair after another setback.      </t>
  </si>
  <si>
    <t xml:space="preserve"> Despair         </t>
  </si>
  <si>
    <t xml:space="preserve"> StrugglingSoul    </t>
  </si>
  <si>
    <t xml:space="preserve"> #Despair #Struggle                              </t>
  </si>
  <si>
    <t xml:space="preserve"> Overwhelmed by grief, missing a loved one dearly.  </t>
  </si>
  <si>
    <t xml:space="preserve"> Grief           </t>
  </si>
  <si>
    <t xml:space="preserve"> MourningHeart     </t>
  </si>
  <si>
    <t xml:space="preserve"> #Grief #Loss                                   </t>
  </si>
  <si>
    <t xml:space="preserve"> Canada          </t>
  </si>
  <si>
    <t xml:space="preserve"> Loneliness creeps in as the night grows colder.    </t>
  </si>
  <si>
    <t xml:space="preserve"> Loneliness      </t>
  </si>
  <si>
    <t xml:space="preserve"> SolitarySoul      </t>
  </si>
  <si>
    <t xml:space="preserve"> #Loneliness #Isolation                         </t>
  </si>
  <si>
    <t xml:space="preserve"> Jealousy consumes me as I witness others' success. </t>
  </si>
  <si>
    <t xml:space="preserve"> Jealousy        </t>
  </si>
  <si>
    <t xml:space="preserve"> EnviousObserver   </t>
  </si>
  <si>
    <t xml:space="preserve"> #Jealousy #Envy                               </t>
  </si>
  <si>
    <t xml:space="preserve"> India        </t>
  </si>
  <si>
    <t xml:space="preserve"> Resentment building up over past betrayals.        </t>
  </si>
  <si>
    <t xml:space="preserve"> Resentment      </t>
  </si>
  <si>
    <t xml:space="preserve"> BitterHeart       </t>
  </si>
  <si>
    <t xml:space="preserve"> #Resentment #Bitterness                       </t>
  </si>
  <si>
    <t xml:space="preserve"> Australia     </t>
  </si>
  <si>
    <t xml:space="preserve"> Frustration mounts as obstacles block my path.     </t>
  </si>
  <si>
    <t xml:space="preserve"> Frustration     </t>
  </si>
  <si>
    <t xml:space="preserve"> BlockedGoals      </t>
  </si>
  <si>
    <t xml:space="preserve"> #Frustration #Obstacles                       </t>
  </si>
  <si>
    <t xml:space="preserve"> Boredom sets in, the day feels endlessly dull.     </t>
  </si>
  <si>
    <t xml:space="preserve"> Boredom         </t>
  </si>
  <si>
    <t xml:space="preserve"> BoredMind         </t>
  </si>
  <si>
    <t xml:space="preserve"> #Boredom #LackOfInterest                     </t>
  </si>
  <si>
    <t xml:space="preserve"> Canada        </t>
  </si>
  <si>
    <t xml:space="preserve"> Anxiety grips my heart, worry clouds my thoughts.  </t>
  </si>
  <si>
    <t xml:space="preserve"> Anxiety         </t>
  </si>
  <si>
    <t xml:space="preserve"> WorriedMind       </t>
  </si>
  <si>
    <t xml:space="preserve"> #Anxiety #Worry                               </t>
  </si>
  <si>
    <t xml:space="preserve"> Intimidation by the unknown future ahead.          </t>
  </si>
  <si>
    <t xml:space="preserve"> Intimidation    </t>
  </si>
  <si>
    <t xml:space="preserve"> FearfulSoul       </t>
  </si>
  <si>
    <t xml:space="preserve"> #Intimidation #Fear                           </t>
  </si>
  <si>
    <t xml:space="preserve"> Helplessness sinks in as challenges pile up.       </t>
  </si>
  <si>
    <t xml:space="preserve"> Helplessness    </t>
  </si>
  <si>
    <t xml:space="preserve"> OverwhelmedHeart  </t>
  </si>
  <si>
    <t xml:space="preserve"> #Helplessness #Overwhelmed                    </t>
  </si>
  <si>
    <t xml:space="preserve"> Envy eats away at me as I see others' prosperity.  </t>
  </si>
  <si>
    <t xml:space="preserve"> Envy            </t>
  </si>
  <si>
    <t xml:space="preserve"> CovetousMind     </t>
  </si>
  <si>
    <t xml:space="preserve"> #Envy #Desire                                </t>
  </si>
  <si>
    <t xml:space="preserve"> Regret over missed opportunities haunts my thoughts.</t>
  </si>
  <si>
    <t xml:space="preserve"> Regret         </t>
  </si>
  <si>
    <t xml:space="preserve"> RemorsefulSoul   </t>
  </si>
  <si>
    <t xml:space="preserve"> #Regret #MissedChances                       </t>
  </si>
  <si>
    <t xml:space="preserve"> Disgust at the sight of injustice and cruelty.     </t>
  </si>
  <si>
    <t xml:space="preserve"> Disgust         </t>
  </si>
  <si>
    <t xml:space="preserve"> DisgustedHeart   </t>
  </si>
  <si>
    <t xml:space="preserve"> #Disgust #Injustice                          </t>
  </si>
  <si>
    <t xml:space="preserve"> Drowning in despair, hope slipping through my fingers.</t>
  </si>
  <si>
    <t xml:space="preserve"> Despair      </t>
  </si>
  <si>
    <t xml:space="preserve"> HopelessHeart    </t>
  </si>
  <si>
    <t xml:space="preserve"> #Despair #Hopeless                           </t>
  </si>
  <si>
    <t xml:space="preserve"> Grief weighs heavy, tears a constant companion.    </t>
  </si>
  <si>
    <t xml:space="preserve"> TearfulSoul      </t>
  </si>
  <si>
    <t xml:space="preserve"> #Grief #Tears                                </t>
  </si>
  <si>
    <t xml:space="preserve"> Loneliness in a crowded room, a silent cry for connection.</t>
  </si>
  <si>
    <t xml:space="preserve"> Loneliness </t>
  </si>
  <si>
    <t xml:space="preserve"> IsolatedMind     </t>
  </si>
  <si>
    <t xml:space="preserve"> #Loneliness #SeekingConnection              </t>
  </si>
  <si>
    <t xml:space="preserve"> Jealousy gnaws at my confidence, a toxic emotion.  </t>
  </si>
  <si>
    <t xml:space="preserve"> SelfDoubt        </t>
  </si>
  <si>
    <t xml:space="preserve"> #Jealousy #Insecurity                       </t>
  </si>
  <si>
    <t xml:space="preserve"> India         </t>
  </si>
  <si>
    <t xml:space="preserve"> Resentment festers, poisoning relationships.       </t>
  </si>
  <si>
    <t xml:space="preserve"> BrokenTrust      </t>
  </si>
  <si>
    <t xml:space="preserve"> #Resentment #BrokenTrust                     </t>
  </si>
  <si>
    <t xml:space="preserve"> Frustration boils over, a volcanic eruption of emotions.</t>
  </si>
  <si>
    <t xml:space="preserve"> Frustration </t>
  </si>
  <si>
    <t xml:space="preserve"> ExplosiveMind    </t>
  </si>
  <si>
    <t xml:space="preserve"> #Frustration #EmotionalOutburst             </t>
  </si>
  <si>
    <t xml:space="preserve"> Boredom settles like dust, life feels mundane.     </t>
  </si>
  <si>
    <t xml:space="preserve"> MundaneHeart     </t>
  </si>
  <si>
    <t xml:space="preserve"> #Boredom #Monotony                          </t>
  </si>
  <si>
    <t xml:space="preserve"> Anxiety grips my chest, a relentless grip on my thoughts.</t>
  </si>
  <si>
    <t xml:space="preserve"> Anxiety   </t>
  </si>
  <si>
    <t xml:space="preserve"> RestlessMind     </t>
  </si>
  <si>
    <t xml:space="preserve"> #Anxiety #Restlessness                      </t>
  </si>
  <si>
    <t xml:space="preserve"> Intimidation by the challenges ahead, fear takes hold.</t>
  </si>
  <si>
    <t xml:space="preserve"> Intimidation </t>
  </si>
  <si>
    <t xml:space="preserve"> FearfulJourney   </t>
  </si>
  <si>
    <t xml:space="preserve"> #Intimidation #FacingFear                   </t>
  </si>
  <si>
    <t xml:space="preserve"> Helplessness engulfs me, drowning in a sea of problems.</t>
  </si>
  <si>
    <t xml:space="preserve"> Helplessness </t>
  </si>
  <si>
    <t xml:space="preserve"> OverwhelmedSoul  </t>
  </si>
  <si>
    <t xml:space="preserve"> #Helplessness #Struggling                   </t>
  </si>
  <si>
    <t xml:space="preserve"> Envy poisons my thoughts, coveting others' success.</t>
  </si>
  <si>
    <t xml:space="preserve"> GreenEyedMonster </t>
  </si>
  <si>
    <t xml:space="preserve"> #Envy #Success                              </t>
  </si>
  <si>
    <t xml:space="preserve"> Regret for decisions that led to a painful present.</t>
  </si>
  <si>
    <t xml:space="preserve"> RegretfulMind    </t>
  </si>
  <si>
    <t xml:space="preserve"> #Regret #PastChoices                        </t>
  </si>
  <si>
    <t xml:space="preserve"> Disgust at the corruption that stains society.     </t>
  </si>
  <si>
    <t xml:space="preserve"> CorruptedHeart   </t>
  </si>
  <si>
    <t xml:space="preserve"> #Disgust #Corruption                        </t>
  </si>
  <si>
    <t xml:space="preserve"> Sinking in despair, each day darker than the last. </t>
  </si>
  <si>
    <t xml:space="preserve"> DrowningSoul     </t>
  </si>
  <si>
    <t xml:space="preserve"> #Despair #DarkDays                          </t>
  </si>
  <si>
    <t xml:space="preserve"> Grief overwhelms, a storm of emotions within.      </t>
  </si>
  <si>
    <t xml:space="preserve"> StormyHeart      </t>
  </si>
  <si>
    <t xml:space="preserve"> #Grief #EmotionalStorm                      </t>
  </si>
  <si>
    <t xml:space="preserve"> Loneliness echoes in empty spaces, yearning for connection.</t>
  </si>
  <si>
    <t xml:space="preserve"> EchoingSoul     </t>
  </si>
  <si>
    <t xml:space="preserve"> #Loneliness #YearningForConnection         </t>
  </si>
  <si>
    <t xml:space="preserve"> Jealousy poisons my thoughts, resentment brewing within.</t>
  </si>
  <si>
    <t xml:space="preserve"> Jealousy    </t>
  </si>
  <si>
    <t xml:space="preserve"> PoisonedMind    </t>
  </si>
  <si>
    <t xml:space="preserve"> #Jealousy #Resentment                       </t>
  </si>
  <si>
    <t xml:space="preserve"> USA           </t>
  </si>
  <si>
    <t xml:space="preserve"> Resentment festers, a wound that refuses to heal.  </t>
  </si>
  <si>
    <t xml:space="preserve"> UnforgivingSoul  </t>
  </si>
  <si>
    <t xml:space="preserve"> #Resentment #Unforgiving                    </t>
  </si>
  <si>
    <t xml:space="preserve"> Frustration escalates, a thunderstorm of emotions. </t>
  </si>
  <si>
    <t xml:space="preserve"> ThunderingMind   </t>
  </si>
  <si>
    <t xml:space="preserve"> #Frustration #EmotionalOutburst            </t>
  </si>
  <si>
    <t xml:space="preserve"> Boredom lingers, a stagnant pool of indifference.  </t>
  </si>
  <si>
    <t xml:space="preserve"> StagnantHeart    </t>
  </si>
  <si>
    <t xml:space="preserve"> #Boredom #Stagnation                        </t>
  </si>
  <si>
    <t xml:space="preserve"> Embarking on a journey of discovery, fueled by curiosity and a thirst for knowledge. </t>
  </si>
  <si>
    <t xml:space="preserve"> Curiosity       </t>
  </si>
  <si>
    <t xml:space="preserve"> InquisitiveMind   </t>
  </si>
  <si>
    <t xml:space="preserve"> #Curiosity #Learning                        </t>
  </si>
  <si>
    <t xml:space="preserve"> Lost in the vast sea of information, an indifferent wave in the digital ocean. </t>
  </si>
  <si>
    <t xml:space="preserve"> Indifference    </t>
  </si>
  <si>
    <t xml:space="preserve"> ApatheticObserver </t>
  </si>
  <si>
    <t xml:space="preserve"> #Indifference #DigitalOverload              </t>
  </si>
  <si>
    <t xml:space="preserve"> The complex puzzle of life leaves me in a state of perpetual confusion, seeking answers in the chaos. </t>
  </si>
  <si>
    <t xml:space="preserve"> Confusion       </t>
  </si>
  <si>
    <t xml:space="preserve"> SeekingClarity    </t>
  </si>
  <si>
    <t xml:space="preserve"> #Confusion #LifePuzzle                     </t>
  </si>
  <si>
    <t xml:space="preserve"> A numbness settles over me, a shield against the overwhelming emotions life throws my way. </t>
  </si>
  <si>
    <t xml:space="preserve"> Numbness        </t>
  </si>
  <si>
    <t xml:space="preserve"> EmotionallyDistant </t>
  </si>
  <si>
    <t xml:space="preserve"> #Numbness #EmotionalShield                 </t>
  </si>
  <si>
    <t xml:space="preserve"> Gazing at the sunset, a melancholic longing for moments that slip through the fingers of time. </t>
  </si>
  <si>
    <t xml:space="preserve"> Melancholy      </t>
  </si>
  <si>
    <t xml:space="preserve"> SunsetDreamer     </t>
  </si>
  <si>
    <t xml:space="preserve"> #Melancholy #SunsetMoments                 </t>
  </si>
  <si>
    <t xml:space="preserve"> Revisiting old photographs, caught in the embrace of nostalgia's bittersweet symphony. </t>
  </si>
  <si>
    <t xml:space="preserve"> Nostalgia       </t>
  </si>
  <si>
    <t xml:space="preserve"> MemoryLaneTraveler </t>
  </si>
  <si>
    <t xml:space="preserve"> #Nostalgia #MemoryLane                     </t>
  </si>
  <si>
    <t xml:space="preserve"> Torn between conflicting emotions, an ambivalence that paints my decisions in shades of uncertainty. </t>
  </si>
  <si>
    <t xml:space="preserve"> Ambivalence     </t>
  </si>
  <si>
    <t xml:space="preserve"> MixedFeelings     </t>
  </si>
  <si>
    <t xml:space="preserve"> #Ambivalence #UncertainChoices             </t>
  </si>
  <si>
    <t xml:space="preserve"> Embracing the ebb and flow of life, finding acceptance in the dance of existence. </t>
  </si>
  <si>
    <t xml:space="preserve"> Acceptance      </t>
  </si>
  <si>
    <t xml:space="preserve"> ZenLifestyle      </t>
  </si>
  <si>
    <t xml:space="preserve"> Facing challenges head-on, a determination that fuels the fire within to achieve the impossible. </t>
  </si>
  <si>
    <t xml:space="preserve"> Determination   </t>
  </si>
  <si>
    <t xml:space="preserve"> ResilientSpirit   </t>
  </si>
  <si>
    <t xml:space="preserve"> #Determination #AchieveTheImpossible       </t>
  </si>
  <si>
    <t xml:space="preserve"> Serenity found in the stillness of nature, a tranquil retreat from the chaos of the modern world. </t>
  </si>
  <si>
    <t xml:space="preserve"> Serenity        </t>
  </si>
  <si>
    <t xml:space="preserve"> NatureSoul        </t>
  </si>
  <si>
    <t xml:space="preserve"> #Serenity #NatureRetreat                   </t>
  </si>
  <si>
    <t xml:space="preserve"> Curiosity leading me down the rabbit hole of knowledge, a perpetual student in life's classroom. </t>
  </si>
  <si>
    <t xml:space="preserve"> EternalLearner    </t>
  </si>
  <si>
    <t xml:space="preserve"> #Curiosity #KnowledgeQuest                </t>
  </si>
  <si>
    <t xml:space="preserve"> Floating through the day with an air of indifference, detached from the mundane happenings around. </t>
  </si>
  <si>
    <t xml:space="preserve"> AloofObserver     </t>
  </si>
  <si>
    <t xml:space="preserve"> #Indifference #FloatingThroughLife        </t>
  </si>
  <si>
    <t xml:space="preserve"> Entangled in the web of thoughts, confusion reigning as I navigate the labyrinth of ideas. </t>
  </si>
  <si>
    <t xml:space="preserve"> ThoughtExplorer   </t>
  </si>
  <si>
    <t xml:space="preserve"> #Confusion #ThoughtLabyrinth              </t>
  </si>
  <si>
    <t xml:space="preserve"> Numb to the chaos, emotions locked away, a stoic facade concealing the inner turmoil. </t>
  </si>
  <si>
    <t xml:space="preserve"> StoicSoul         </t>
  </si>
  <si>
    <t xml:space="preserve"> #Numbness #StoicFacade                    </t>
  </si>
  <si>
    <t xml:space="preserve"> Melancholy whispers in the breeze, a silent conversation with the echoes of forgotten dreams. </t>
  </si>
  <si>
    <t xml:space="preserve"> DreamerInSilence  </t>
  </si>
  <si>
    <t xml:space="preserve"> #Melancholy #WhispersInTheBreeze         </t>
  </si>
  <si>
    <t xml:space="preserve"> Stumbling upon an old journal, nostalgia flooding in waves, carrying me to moments long gone. </t>
  </si>
  <si>
    <t xml:space="preserve"> JournalKeeper     </t>
  </si>
  <si>
    <t xml:space="preserve"> #Nostalgia #JournalMoments               </t>
  </si>
  <si>
    <t xml:space="preserve"> A tapestry of conflicting feelings, weaving through uncertainty, caught in the threads of ambivalence. </t>
  </si>
  <si>
    <t xml:space="preserve"> ThreadWeaver      </t>
  </si>
  <si>
    <t xml:space="preserve"> #Ambivalence #ConflictingFeelings        </t>
  </si>
  <si>
    <t xml:space="preserve"> Embracing the flaws, finding acceptance in imperfection, a journey towards self-love. </t>
  </si>
  <si>
    <t xml:space="preserve"> SelfLoveAdvocate  </t>
  </si>
  <si>
    <t xml:space="preserve"> #Acceptance #SelfLoveJourney              </t>
  </si>
  <si>
    <t xml:space="preserve"> Determination burning like a wildfire, overcoming obstacles, turning dreams into reality. </t>
  </si>
  <si>
    <t xml:space="preserve"> DreamChaser       </t>
  </si>
  <si>
    <t xml:space="preserve"> #Determination #DreamsIntoReality        </t>
  </si>
  <si>
    <t xml:space="preserve"> Tranquil moments by the ocean, serenity washing over, a peaceful retreat within the waves' embrace. </t>
  </si>
  <si>
    <t xml:space="preserve"> OceanSoul         </t>
  </si>
  <si>
    <t xml:space="preserve"> #Serenity #OceanRetreat                   </t>
  </si>
  <si>
    <t xml:space="preserve"> Exploring new horizons with the spark of curiosity, an adventurer in the vast landscape of knowledge. </t>
  </si>
  <si>
    <t xml:space="preserve"> HorizonExplorer   </t>
  </si>
  <si>
    <t xml:space="preserve"> #Curiosity #NewHorizons                  </t>
  </si>
  <si>
    <t xml:space="preserve"> Drifting through the day with a nonchalant demeanor, embracing the art of indifference. </t>
  </si>
  <si>
    <t xml:space="preserve"> NonchalantSpirit  </t>
  </si>
  <si>
    <t xml:space="preserve"> #Indifference #DriftingThroughLife       </t>
  </si>
  <si>
    <t xml:space="preserve"> Wrestling with thoughts, a perplexed mind lost in the labyrinth of life's complexities. </t>
  </si>
  <si>
    <t xml:space="preserve"> ComplexThinker    </t>
  </si>
  <si>
    <t xml:space="preserve"> #Confusion #PerplexedMind                </t>
  </si>
  <si>
    <t xml:space="preserve"> Immersed in a state of emotional numbness, a shield against the storm of daily struggles. </t>
  </si>
  <si>
    <t xml:space="preserve"> ShieldedHeart     </t>
  </si>
  <si>
    <t xml:space="preserve"> #Numbness #EmotionalShield               </t>
  </si>
  <si>
    <t xml:space="preserve"> A melancholic symphony playing in the background, the soundtrack of a wistful heart. </t>
  </si>
  <si>
    <t xml:space="preserve"> SymphonySoul      </t>
  </si>
  <si>
    <t xml:space="preserve"> #Melancholy #WistfulHeart                </t>
  </si>
  <si>
    <t xml:space="preserve"> Flipping through the pages of an old yearbook, nostalgia painting smiles and tears on my face. </t>
  </si>
  <si>
    <t xml:space="preserve"> YearbookExplorer  </t>
  </si>
  <si>
    <t xml:space="preserve"> #Nostalgia #YearbookMemories            </t>
  </si>
  <si>
    <t xml:space="preserve"> Torn between opposing emotions, an ambivalence that colors my decisions with shades of uncertainty. </t>
  </si>
  <si>
    <t xml:space="preserve"> DecisiveDilemma   </t>
  </si>
  <si>
    <t xml:space="preserve"> #Ambivalence #ShadesOfUncertainty       </t>
  </si>
  <si>
    <t xml:space="preserve"> Embracing life's imperfections, finding acceptance in the journey, scars and all. </t>
  </si>
  <si>
    <t xml:space="preserve"> ImperfectHarmony  </t>
  </si>
  <si>
    <t xml:space="preserve"> #Acceptance #ImperfectJourney            </t>
  </si>
  <si>
    <t xml:space="preserve"> A fiery determination burning within, fueled by the vision of reaching unparalleled heights. </t>
  </si>
  <si>
    <t xml:space="preserve"> VisionarySpirit   </t>
  </si>
  <si>
    <t xml:space="preserve"> #Determination #UnparalleledHeights      </t>
  </si>
  <si>
    <t xml:space="preserve"> Basking in the serenity of a quiet forest, where the whispers of nature bring peace to the soul. </t>
  </si>
  <si>
    <t xml:space="preserve"> ForestDreamer     </t>
  </si>
  <si>
    <t xml:space="preserve"> #Serenity #NatureWhispers                </t>
  </si>
  <si>
    <t xml:space="preserve"> Indifferent to the noise of the world, a silent observer in the midst of life's cacophony. </t>
  </si>
  <si>
    <t xml:space="preserve"> SilentSpectator   </t>
  </si>
  <si>
    <t xml:space="preserve"> #Indifference #SilentObserver            </t>
  </si>
  <si>
    <t xml:space="preserve"> Navigating through the labyrinth of thoughts, confusion a constant companion in the maze of ideas. </t>
  </si>
  <si>
    <t xml:space="preserve"> MazeNavigator     </t>
  </si>
  <si>
    <t xml:space="preserve"> An impenetrable numbness shields me from the emotional storms, a fortress of stoic resilience. </t>
  </si>
  <si>
    <t xml:space="preserve"> ResilientFortress </t>
  </si>
  <si>
    <t xml:space="preserve"> #Numbness #StoicResilience               </t>
  </si>
  <si>
    <t xml:space="preserve"> Melancholy painting the world in hues of nostalgia, a canvas of bittersweet memories. </t>
  </si>
  <si>
    <t xml:space="preserve"> CanvasDreamer     </t>
  </si>
  <si>
    <t xml:space="preserve"> #Melancholy #BittersweetMemories         </t>
  </si>
  <si>
    <t xml:space="preserve"> A journey into the past, flipping through the pages of an old diary, nostalgia taking the lead. </t>
  </si>
  <si>
    <t xml:space="preserve"> DiaryExplorer     </t>
  </si>
  <si>
    <t xml:space="preserve"> #Nostalgia #DiaryJourney                 </t>
  </si>
  <si>
    <t xml:space="preserve"> Ambivalence clouding decisions, caught in the crossroads of conflicting emotions. </t>
  </si>
  <si>
    <t xml:space="preserve"> CrossroadsTraveler </t>
  </si>
  <si>
    <t xml:space="preserve"> #Ambivalence #ConflictingEmotions        </t>
  </si>
  <si>
    <t xml:space="preserve"> Embracing imperfections, finding acceptance in the mosaic of life's beautiful chaos. </t>
  </si>
  <si>
    <t xml:space="preserve"> MosaicDreamer     </t>
  </si>
  <si>
    <t xml:space="preserve"> #Acceptance #BeautifulChaos              </t>
  </si>
  <si>
    <t xml:space="preserve"> Determination as the driving force, propelling me forward on the path to extraordinary achievements. </t>
  </si>
  <si>
    <t xml:space="preserve"> PathfinderSpirit  </t>
  </si>
  <si>
    <t xml:space="preserve"> #Determination #ExtraordinaryPath        </t>
  </si>
  <si>
    <t xml:space="preserve"> Seeking serenity in the melody of raindrops, a tranquil escape from the noise of everyday life. </t>
  </si>
  <si>
    <t xml:space="preserve"> RaindropHarmony   </t>
  </si>
  <si>
    <t xml:space="preserve"> #Serenity #RaindropMelody                </t>
  </si>
  <si>
    <t xml:space="preserve"> Curiosity driving the exploration of the unknown, a seeker of knowledge in uncharted territories. </t>
  </si>
  <si>
    <t xml:space="preserve"> SeekerOfUnknowns  </t>
  </si>
  <si>
    <t xml:space="preserve"> #Curiosity #SeekerOfKnowledge            </t>
  </si>
  <si>
    <t xml:space="preserve"> Drifting through the day with an air of nonchalance, indifferent to the trivialities of life. </t>
  </si>
  <si>
    <t xml:space="preserve"> NonchalantWanderer</t>
  </si>
  <si>
    <t xml:space="preserve"> Lost in the labyrinth of thoughts, confusion casting shadows on the quest for clarity. </t>
  </si>
  <si>
    <t xml:space="preserve"> ShadowedSeeker    </t>
  </si>
  <si>
    <t xml:space="preserve"> #Confusion #LabyrinthOfThoughts          </t>
  </si>
  <si>
    <t xml:space="preserve"> Wrapped in the cloak of emotional numbness, a shield against the storms of life's turbulence. </t>
  </si>
  <si>
    <t xml:space="preserve"> TurbulentShield   </t>
  </si>
  <si>
    <t xml:space="preserve"> #Numbness #EmotionalStorms               </t>
  </si>
  <si>
    <t xml:space="preserve"> Melancholy as a companion, painting the canvas of life with the brushstrokes of wistful yearning. </t>
  </si>
  <si>
    <t xml:space="preserve"> WistfulPainter    </t>
  </si>
  <si>
    <t xml:space="preserve"> #Melancholy #WistfulYearning             </t>
  </si>
  <si>
    <t xml:space="preserve"> Leafing through the pages of an old photo album, nostalgia weaving tales of laughter and tears. </t>
  </si>
  <si>
    <t xml:space="preserve"> TaleWeaver        </t>
  </si>
  <si>
    <t xml:space="preserve"> #Nostalgia #PhotoAlbumStories            </t>
  </si>
  <si>
    <t xml:space="preserve"> Ambivalence in the air, caught between the crossroads of conflicting emotions and decisions. </t>
  </si>
  <si>
    <t xml:space="preserve"> CrossroadsExplorer</t>
  </si>
  <si>
    <t xml:space="preserve"> #Ambivalence #CrossroadsConfusion        </t>
  </si>
  <si>
    <t xml:space="preserve"> Embracing the beauty in imperfections, finding acceptance in the mosaic of life's unpredictable art. </t>
  </si>
  <si>
    <t xml:space="preserve"> MosaicArtist      </t>
  </si>
  <si>
    <t xml:space="preserve"> #Acceptance #UnpredictableArt            </t>
  </si>
  <si>
    <t xml:space="preserve"> Determination ablaze, forging a path through challenges, sculpting dreams into tangible realities. </t>
  </si>
  <si>
    <t xml:space="preserve"> DreamSculptor     </t>
  </si>
  <si>
    <t xml:space="preserve"> #Determination #SculptingDreams          </t>
  </si>
  <si>
    <t xml:space="preserve"> Immerse in the serenity of a moonlit night, where the quiet whispers of nature bring peace to the soul. </t>
  </si>
  <si>
    <t xml:space="preserve"> MoonlitSoul       </t>
  </si>
  <si>
    <t xml:space="preserve"> #Serenity #MoonlitPeace                  </t>
  </si>
  <si>
    <t xml:space="preserve"> Fueled by curiosity, venturing into uncharted realms, a fearless explorer of the mysteries of the world. </t>
  </si>
  <si>
    <t xml:space="preserve"> FearlessExplorer  </t>
  </si>
  <si>
    <t xml:space="preserve"> #Curiosity #FearlessExplorer              </t>
  </si>
  <si>
    <t xml:space="preserve">Wrapped in the cloak of emotional numbness, a shield against the storms of life's turbulence. </t>
  </si>
  <si>
    <t xml:space="preserve"> Numbness </t>
  </si>
  <si>
    <t xml:space="preserve"> TurbulentShield </t>
  </si>
  <si>
    <t xml:space="preserve"> #Numbness #EmotionalStorms </t>
  </si>
  <si>
    <t xml:space="preserve"> Dancing through life with the exuberance of a carefree spirit, embracing joy and zest at every turn. </t>
  </si>
  <si>
    <t xml:space="preserve"> Zest </t>
  </si>
  <si>
    <t xml:space="preserve"> JoyfulDancer </t>
  </si>
  <si>
    <t xml:space="preserve"> Twitter </t>
  </si>
  <si>
    <t xml:space="preserve"> #Zest #CarefreeSpirit </t>
  </si>
  <si>
    <t xml:space="preserve"> Basking in the golden glow of contentment, a serene river flowing through the landscape of the heart. </t>
  </si>
  <si>
    <t xml:space="preserve"> Contentment </t>
  </si>
  <si>
    <t xml:space="preserve"> SereneBasker </t>
  </si>
  <si>
    <t xml:space="preserve"> #Contentment #GoldenGlow </t>
  </si>
  <si>
    <t xml:space="preserve"> Gazing towards the horizon with hopeful eyes, painting a canvas of dreams illuminated by the sun of optimism. </t>
  </si>
  <si>
    <t xml:space="preserve"> Hopeful </t>
  </si>
  <si>
    <t xml:space="preserve"> DreamPainter </t>
  </si>
  <si>
    <t xml:space="preserve"> #Hopeful #CanvasOfDreams </t>
  </si>
  <si>
    <t xml:space="preserve"> Standing tall, proud as an oak, the branches of achievement reaching towards the sky of accomplishment. </t>
  </si>
  <si>
    <t xml:space="preserve"> Proud </t>
  </si>
  <si>
    <t xml:space="preserve"> OakAchiever </t>
  </si>
  <si>
    <t xml:space="preserve"> #Proud #BranchesOfAchievement </t>
  </si>
  <si>
    <t xml:space="preserve"> A heart overflowing with gratitude, a garden where appreciation blooms in the soil of kindness and connection. </t>
  </si>
  <si>
    <t xml:space="preserve"> Grateful </t>
  </si>
  <si>
    <t xml:space="preserve"> HeartGardener </t>
  </si>
  <si>
    <t xml:space="preserve"> #Grateful #BlossomingConnection </t>
  </si>
  <si>
    <t xml:space="preserve"> Extending a hand, empathetic threads weaving a tapestry of understanding, embracing the joys and sorrows of others. </t>
  </si>
  <si>
    <t xml:space="preserve"> Empathetic </t>
  </si>
  <si>
    <t xml:space="preserve"> ThreadWeaver </t>
  </si>
  <si>
    <t xml:space="preserve"> #Empathetic #TapestryOfUnderstanding </t>
  </si>
  <si>
    <t xml:space="preserve"> Compassionate clouds, heavy with care, showering empathy on the parched grounds of human suffering. </t>
  </si>
  <si>
    <t xml:space="preserve"> Compassionate </t>
  </si>
  <si>
    <t xml:space="preserve"> CloudCaretaker </t>
  </si>
  <si>
    <t xml:space="preserve"> #Compassionate #ShowerOfEmpathy </t>
  </si>
  <si>
    <t xml:space="preserve"> Playfully dancing in the rain of laughter, a whimsical spirit twirling in the puddles of joy and lightheartedness. </t>
  </si>
  <si>
    <t xml:space="preserve"> Playful </t>
  </si>
  <si>
    <t xml:space="preserve"> RainDancer </t>
  </si>
  <si>
    <t xml:space="preserve"> #Playful #DanceInTheRain </t>
  </si>
  <si>
    <t xml:space="preserve"> Soaring on the wings of a free spirit, unburdened by the chains of conformity, painting the sky with independence. </t>
  </si>
  <si>
    <t xml:space="preserve"> Free-spirited </t>
  </si>
  <si>
    <t xml:space="preserve"> SkyPainter </t>
  </si>
  <si>
    <t xml:space="preserve"> #FreeSpirit #PaintingTheSky </t>
  </si>
  <si>
    <t xml:space="preserve"> Bathed in the glow of inspiration, a creative phoenix rising from the ashes of ordinary thoughts to explore new realms. </t>
  </si>
  <si>
    <t xml:space="preserve"> Inspired </t>
  </si>
  <si>
    <t xml:space="preserve"> PhoenixExplorer </t>
  </si>
  <si>
    <t xml:space="preserve"> #Inspired #CreativePhoenix </t>
  </si>
  <si>
    <t xml:space="preserve"> Navigating the sea of hope, sailing towards the sunrise of possibilities, confident in the ship of positive anticipation. </t>
  </si>
  <si>
    <t xml:space="preserve"> SunriseNavigator </t>
  </si>
  <si>
    <t xml:space="preserve"> #Hopeful #SunriseOfPossibilities </t>
  </si>
  <si>
    <t xml:space="preserve"> Striding with confidence, footprints of self-assuredness imprinted on the sands of challenges conquered and victories claimed. </t>
  </si>
  <si>
    <t xml:space="preserve"> Confident </t>
  </si>
  <si>
    <t xml:space="preserve"> SandStrider </t>
  </si>
  <si>
    <t xml:space="preserve"> #Confident #FootprintsOfAssuredness </t>
  </si>
  <si>
    <t xml:space="preserve"> Lost in the symphony of the night, a moonlit serenade that whispers tales of wanderlust and moonlit dreams. </t>
  </si>
  <si>
    <t xml:space="preserve"> Serenity </t>
  </si>
  <si>
    <t xml:space="preserve"> NightSerenader </t>
  </si>
  <si>
    <t xml:space="preserve"> #Serenity #MoonlitSerenade </t>
  </si>
  <si>
    <t xml:space="preserve"> Unveiling the layers of curiosity, a labyrinth of questions leading to the treasure troves of undiscovered knowledge. </t>
  </si>
  <si>
    <t xml:space="preserve"> Curiosity </t>
  </si>
  <si>
    <t xml:space="preserve"> KnowledgeSeeker </t>
  </si>
  <si>
    <t xml:space="preserve"> #Curiosity #LabyrinthOfQuestions </t>
  </si>
  <si>
    <t xml:space="preserve"> In the embrace of the autumn breeze, leaves of ambivalence dancing in a waltz between choices and uncertainties. </t>
  </si>
  <si>
    <t xml:space="preserve"> Ambivalence </t>
  </si>
  <si>
    <t xml:space="preserve"> BreezeWaltzer </t>
  </si>
  <si>
    <t xml:space="preserve"> #Ambivalence #AutumnWaltz </t>
  </si>
  <si>
    <t xml:space="preserve"> Gratitude as a guiding star, navigating the constellation of blessings in the vast universe of life's precious moments. </t>
  </si>
  <si>
    <t xml:space="preserve"> StarNavigator </t>
  </si>
  <si>
    <t xml:space="preserve"> #Grateful #GuidingStar </t>
  </si>
  <si>
    <t xml:space="preserve"> With a zestful heart, sprinting through fields of enthusiasm, chasing sunbeams and laughter in the meadows of joy. </t>
  </si>
  <si>
    <t xml:space="preserve"> MeadowSprinter </t>
  </si>
  <si>
    <t xml:space="preserve"> #Zest #FieldsOfEnthusiasm </t>
  </si>
  <si>
    <t xml:space="preserve"> A compassionate rain, tears of empathy falling gently, nurturing the seeds of kindness in the garden of human connections. </t>
  </si>
  <si>
    <t xml:space="preserve"> RainNurturer </t>
  </si>
  <si>
    <t xml:space="preserve"> #Compassionate #TearsOfEmpathy </t>
  </si>
  <si>
    <t xml:space="preserve"> Proudly scaling the peaks of achievement, a mountaineer conquering challenges and planting the flag of success. </t>
  </si>
  <si>
    <t xml:space="preserve"> PeakConqueror </t>
  </si>
  <si>
    <t xml:space="preserve"> #Proud #ScalingPeaks </t>
  </si>
  <si>
    <t xml:space="preserve"> Embraced by the hopeful dawn, a gardener sowing seeds of optimism, tending to the blooms of a brighter tomorrow. </t>
  </si>
  <si>
    <t xml:space="preserve"> DawnGardener </t>
  </si>
  <si>
    <t xml:space="preserve"> #Hopeful #SeedsOfOptimism </t>
  </si>
  <si>
    <t xml:space="preserve"> A playful escapade in the carnival of life, carousel laughter and cotton candy dreams swirling in the joyous atmosphere. </t>
  </si>
  <si>
    <t xml:space="preserve"> CarnivalDreamer </t>
  </si>
  <si>
    <t xml:space="preserve"> #Playful #CarnivalEscapade </t>
  </si>
  <si>
    <t xml:space="preserve"> Floating on clouds of inspiration, an artist painting the sky with strokes of creativity, creating a masterpiece of dreams. </t>
  </si>
  <si>
    <t xml:space="preserve"> SkyArtist </t>
  </si>
  <si>
    <t xml:space="preserve"> #Inspired #CloudsOfCreativity </t>
  </si>
  <si>
    <t xml:space="preserve"> Navigating the river of contentment, a serene boat cruise through the tranquil waters of inner peace and acceptance. </t>
  </si>
  <si>
    <t xml:space="preserve"> RiverNavigator </t>
  </si>
  <si>
    <t xml:space="preserve"> #Contentment #TranquilWaters </t>
  </si>
  <si>
    <t xml:space="preserve"> With empathy as a lantern, wandering through the dark alleys of sorrow, illuminating the path with compassion and care. </t>
  </si>
  <si>
    <t xml:space="preserve"> LanternWanderer </t>
  </si>
  <si>
    <t xml:space="preserve"> #Empathetic #LanternOfCompassion </t>
  </si>
  <si>
    <t xml:space="preserve"> A free spirit soaring on the wings of dreams, leaving trails of independence in the azure sky of boundless possibilities. </t>
  </si>
  <si>
    <t xml:space="preserve"> DreamSoarer </t>
  </si>
  <si>
    <t xml:space="preserve"> #FreeSpirit #WingsOfDreams </t>
  </si>
  <si>
    <t xml:space="preserve"> Bathed in the golden hues of gratefulness, a sunset of appreciation casting its warm glow on the landscapes of the heart. </t>
  </si>
  <si>
    <t xml:space="preserve"> SunsetAdmirer </t>
  </si>
  <si>
    <t xml:space="preserve"> #Grateful #GoldenHues </t>
  </si>
  <si>
    <t xml:space="preserve"> Confident strides in the dance of life, a ballroom where self-assuredness leads, twirling through challenges with grace. </t>
  </si>
  <si>
    <t xml:space="preserve"> DanceStrider </t>
  </si>
  <si>
    <t xml:space="preserve"> #Confident #DanceOfLife </t>
  </si>
  <si>
    <t xml:space="preserve"> Hopeful whispers of wind, carrying the promises of a brighter tomorrow, a symphony of optimism in the air of possibilities. </t>
  </si>
  <si>
    <t xml:space="preserve"> WindWhisperer </t>
  </si>
  <si>
    <t xml:space="preserve"> #Hopeful #BrighterTomorrows </t>
  </si>
  <si>
    <t xml:space="preserve"> Playfully juggling responsibilities, a circus performer balancing the acts of work and joy, tossing laughter into the air. </t>
  </si>
  <si>
    <t xml:space="preserve"> JugglingArtist </t>
  </si>
  <si>
    <t xml:space="preserve"> #Playful #JugglingResponsibilities </t>
  </si>
  <si>
    <t xml:space="preserve"> Whispering tales of inspiration to the stars, a storyteller crafting constellations from the threads of imagination. </t>
  </si>
  <si>
    <t xml:space="preserve"> StarStoryteller </t>
  </si>
  <si>
    <t xml:space="preserve"> #Inspired #TalesToTheStars </t>
  </si>
  <si>
    <t xml:space="preserve"> Charting a course through the waves of hopeful anticipation, a sailor steering towards the shores of dreams yet unexplored. </t>
  </si>
  <si>
    <t xml:space="preserve"> WaveNavigator </t>
  </si>
  <si>
    <t xml:space="preserve"> #Hopeful #SailorOfDreams </t>
  </si>
  <si>
    <t xml:space="preserve"> Drowning in the abyss of despair, a heart shattered into fragments, lost in the echoing silence of hopelessness. </t>
  </si>
  <si>
    <t xml:space="preserve"> Despair </t>
  </si>
  <si>
    <t xml:space="preserve"> ShatteredHeart </t>
  </si>
  <si>
    <t xml:space="preserve"> #Despair #EchoingSilence </t>
  </si>
  <si>
    <t xml:space="preserve"> Bitterness festering like a venomous vine, entwining the soul in a web of resentment, poisoning the garden of peace. </t>
  </si>
  <si>
    <t xml:space="preserve"> Bitterness </t>
  </si>
  <si>
    <t xml:space="preserve"> VenomousSoul </t>
  </si>
  <si>
    <t xml:space="preserve"> #Bitterness #ResentmentWeb </t>
  </si>
  <si>
    <t xml:space="preserve"> Wandering through the desert of loneliness, each step a heavy sigh, mirages of connection shimmering but never materializing. </t>
  </si>
  <si>
    <t xml:space="preserve"> DesertWanderer </t>
  </si>
  <si>
    <t xml:space="preserve"> #Loneliness #MiragesOfConnection </t>
  </si>
  <si>
    <t xml:space="preserve"> Yearning for a touch that's not there, echoes of a distant warmth haunting the heart in the cold embrace of solitude. </t>
  </si>
  <si>
    <t xml:space="preserve"> Yearning </t>
  </si>
  <si>
    <t xml:space="preserve"> ColdEmbrace </t>
  </si>
  <si>
    <t xml:space="preserve"> #Yearning #DistantWarmth </t>
  </si>
  <si>
    <t xml:space="preserve"> Eyes wide open in the night, fearful shadows dancing on the walls, the mind a prisoner of imagined horrors. </t>
  </si>
  <si>
    <t xml:space="preserve"> Fearful </t>
  </si>
  <si>
    <t xml:space="preserve"> NightPrisoner </t>
  </si>
  <si>
    <t xml:space="preserve"> #Fearful #ImaginedHorrors </t>
  </si>
  <si>
    <t xml:space="preserve"> Apprehensive steps on the tightrope of uncertainty, a balancing act where the fall seems inevitable, anxiety a constant companion. </t>
  </si>
  <si>
    <t xml:space="preserve"> Apprehensive </t>
  </si>
  <si>
    <t xml:space="preserve"> TightropeWalker </t>
  </si>
  <si>
    <t xml:space="preserve"> #Apprehensive #BalancingAct </t>
  </si>
  <si>
    <t xml:space="preserve"> Overwhelmed by the weight of the world, Atlas with trembling shoulders, each responsibility a boulder in the landscape of exhaustion. </t>
  </si>
  <si>
    <t xml:space="preserve"> Overwhelmed </t>
  </si>
  <si>
    <t xml:space="preserve"> AtlasBearer </t>
  </si>
  <si>
    <t xml:space="preserve"> #Overwhelmed #BouldersOfExhaustion </t>
  </si>
  <si>
    <t xml:space="preserve"> Jealousy, a green-eyed monster, lurking in the shadows, casting a dark cloud over the sunshine of others' success. </t>
  </si>
  <si>
    <t xml:space="preserve"> Jealous </t>
  </si>
  <si>
    <t xml:space="preserve"> GreenMonster </t>
  </si>
  <si>
    <t xml:space="preserve"> #Jealous #GreenEyedMonster </t>
  </si>
  <si>
    <t xml:space="preserve"> Devastated by the storm of betrayal, the wreckage of trust scattered like debris, a heart torn by the winds of broken promises. </t>
  </si>
  <si>
    <t xml:space="preserve"> Devastated </t>
  </si>
  <si>
    <t xml:space="preserve"> StormSurvivor </t>
  </si>
  <si>
    <t xml:space="preserve"> #Devastated #WindsOfBrokenPromises </t>
  </si>
  <si>
    <t xml:space="preserve"> Frustrated fingers tapping on the keyboard, a symphony of annoyance composing an unsolvable puzzle of unmet expectations. </t>
  </si>
  <si>
    <t xml:space="preserve"> Frustrated </t>
  </si>
  <si>
    <t xml:space="preserve"> PuzzleComposer </t>
  </si>
  <si>
    <t xml:space="preserve"> #Frustrated #UnsolvablePuzzle </t>
  </si>
  <si>
    <t xml:space="preserve"> Envious eyes fixated on the gilded prize, a heartache fueled by the painful desire for possessions that seem forever out of reach. </t>
  </si>
  <si>
    <t xml:space="preserve"> Envious </t>
  </si>
  <si>
    <t xml:space="preserve"> GildedHeartache </t>
  </si>
  <si>
    <t xml:space="preserve"> #Envious #GildedPrize </t>
  </si>
  <si>
    <t xml:space="preserve"> Dismissive glances, a fortress built with indifference, walls impenetrable to the pleas of understanding and recognition. </t>
  </si>
  <si>
    <t xml:space="preserve"> Dismissive </t>
  </si>
  <si>
    <t xml:space="preserve"> IndifferentFort </t>
  </si>
  <si>
    <t xml:space="preserve"> #Dismissive #ImpenetrableWalls </t>
  </si>
  <si>
    <t xml:space="preserve"> Shattered dreams lie on the floor like fragments of glass, a mosaic of disappointment crafted by the hands of frustration. </t>
  </si>
  <si>
    <t xml:space="preserve"> DreamMosaic </t>
  </si>
  <si>
    <t xml:space="preserve"> #Frustrated #MosaicOfDisappointment </t>
  </si>
  <si>
    <t xml:space="preserve"> Loneliness, a silent companion in the night, the only echo in the chamber of solitude, a heart's solitary nocturne. </t>
  </si>
  <si>
    <t xml:space="preserve"> NocturnalEcho </t>
  </si>
  <si>
    <t xml:space="preserve"> #Loneliness #SolitaryNocturne </t>
  </si>
  <si>
    <t xml:space="preserve"> Fearful whispers in the dark, the mind haunted by the specter of the unknown, shadows dancing to the rhythm of anxiety's tune. </t>
  </si>
  <si>
    <t xml:space="preserve"> DarkWhispers </t>
  </si>
  <si>
    <t xml:space="preserve"> #Fearful #SpecterOfTheUnknown </t>
  </si>
  <si>
    <t xml:space="preserve"> Bitterness, a bitter aftertaste lingering on the tongue, each word a reminder of wounds that refuse to heal with the passing of time. </t>
  </si>
  <si>
    <t xml:space="preserve"> LingeringTaste </t>
  </si>
  <si>
    <t xml:space="preserve"> #Bitterness #BitterAftertaste </t>
  </si>
  <si>
    <t xml:space="preserve"> Overwhelmed by the cacophony of expectations, a drowning soul in the tempest of pressure, struggling to stay afloat. </t>
  </si>
  <si>
    <t xml:space="preserve"> TempestSurvivor </t>
  </si>
  <si>
    <t xml:space="preserve"> #Overwhelmed #DrowningSoul </t>
  </si>
  <si>
    <t xml:space="preserve"> Jealousy, a venom that seeps through the veins, poisoning the heart and turning it into a breeding ground for discontent. </t>
  </si>
  <si>
    <t xml:space="preserve"> VenomousHeart </t>
  </si>
  <si>
    <t xml:space="preserve"> #Jealous #HeartOfDiscontent </t>
  </si>
  <si>
    <t xml:space="preserve"> Devastated by the revelation of betrayal, the trust shattered like fragile glass, leaving shards of pain in its wake. </t>
  </si>
  <si>
    <t xml:space="preserve"> FragileTrust </t>
  </si>
  <si>
    <t xml:space="preserve"> #Devastated #ShatteredTrust </t>
  </si>
  <si>
    <t xml:space="preserve"> Frustrated attempts to mend a broken connection, the threads of understanding slipping through the fingers like grains of sand. </t>
  </si>
  <si>
    <t xml:space="preserve"> BrokenThreads </t>
  </si>
  <si>
    <t xml:space="preserve"> #Frustrated #SlippingThreads </t>
  </si>
  <si>
    <t xml:space="preserve"> Envious gazes cast upon the podium of success, a bitter pill swallowed, the taste lingering as a constant reminder of unattained heights. </t>
  </si>
  <si>
    <t xml:space="preserve"> SuccessPill </t>
  </si>
  <si>
    <t xml:space="preserve"> #Envious #BitterPill </t>
  </si>
  <si>
    <t xml:space="preserve"> Dismissive gestures, a curtain drawn to shield the vulnerability, a stage where emotions take a backseat to the performance of indifference. </t>
  </si>
  <si>
    <t xml:space="preserve"> CurtainShield </t>
  </si>
  <si>
    <t xml:space="preserve"> #Dismissive #IndifferencePerformance </t>
  </si>
  <si>
    <t xml:space="preserve"> Despair like a heavy fog, enveloping every thought, blurring the path ahead, a journey in the labyrinth of utter hopelessness. </t>
  </si>
  <si>
    <t xml:space="preserve"> FoggyLabyrinth </t>
  </si>
  <si>
    <t xml:space="preserve"> #Despair #LabyrinthOfHopelessness </t>
  </si>
  <si>
    <t xml:space="preserve"> Bitterness, a bitter chill in the air, freezing moments into icicles of resentment that dangle precariously over the landscape of memory. </t>
  </si>
  <si>
    <t xml:space="preserve"> IcyResentment </t>
  </si>
  <si>
    <t xml:space="preserve"> #Bitterness #IciclesOfResentment </t>
  </si>
  <si>
    <t xml:space="preserve"> Loneliness, a solitary moon in a starless sky, casting a cold glow on the landscape of isolation, where echoes bounce in empty spaces. </t>
  </si>
  <si>
    <t xml:space="preserve"> SolitaryMoon </t>
  </si>
  <si>
    <t xml:space="preserve"> #Loneliness #StarlessSky </t>
  </si>
  <si>
    <t xml:space="preserve"> Yearning for the warmth of a vanished sun, a heartache painted in the hues of a sunset that never graced the horizon. </t>
  </si>
  <si>
    <t xml:space="preserve"> VanishedSunset </t>
  </si>
  <si>
    <t xml:space="preserve"> #Yearning #HuesOfSunset </t>
  </si>
  <si>
    <t xml:space="preserve"> Fearful eyes scanning the shadows, a prisoner of the night, terrorized by the lurking monsters born from the mind's darkest corners. </t>
  </si>
  <si>
    <t xml:space="preserve"> #Fearful #LurkingMonsters </t>
  </si>
  <si>
    <t xml:space="preserve"> Apprehensive whispers in the wind, a forecast of uncertainty, the mind's weather vane spinning wildly in the storm of doubt. </t>
  </si>
  <si>
    <t xml:space="preserve"> #Apprehensive #StormOfDoubt </t>
  </si>
  <si>
    <t xml:space="preserve"> Overwhelmed by the maze of expectations, a minotaur of pressure lurking in the labyrinth, waiting to devour the spirit of resilience. </t>
  </si>
  <si>
    <t xml:space="preserve"> MazeExplorer </t>
  </si>
  <si>
    <t xml:space="preserve"> #Overwhelmed #MinotaurOfPressure </t>
  </si>
  <si>
    <t xml:space="preserve"> Jealousy, a festering wound, the pain intensifying with each glance at the garden of others' achievements, blooming beyond the fence. </t>
  </si>
  <si>
    <t xml:space="preserve"> WoundedGarden </t>
  </si>
  <si>
    <t xml:space="preserve"> #Jealous #BloomingAchievements </t>
  </si>
  <si>
    <t xml:space="preserve"> Devastated, a heart in ruins, the echoes of shattered dreams reverberating in the chambers, a requiem for what once was whole. </t>
  </si>
  <si>
    <t xml:space="preserve"> RuinedHeart </t>
  </si>
  <si>
    <t xml:space="preserve"> #Devastated #EchoesOfShatteredDreams </t>
  </si>
  <si>
    <t xml:space="preserve"> Frustrated attempts to untangle the knot of confusion, the threads of understanding slipping further into the labyrinth of miscommunication. </t>
  </si>
  <si>
    <t xml:space="preserve"> KnotUntangler </t>
  </si>
  <si>
    <t xml:space="preserve"> #Frustrated #LabyrinthOfMiscommunication </t>
  </si>
  <si>
    <t xml:space="preserve"> Envious eyes locked on the treasure chest of opportunities, a heartache fueled by the desire for keys that seem forever elusive. </t>
  </si>
  <si>
    <t xml:space="preserve"> ElusiveKeys </t>
  </si>
  <si>
    <t xml:space="preserve"> #Envious #DesireForKeys </t>
  </si>
  <si>
    <t xml:space="preserve">Awe-struck by the breathtaking sunrise over the mountains.      </t>
  </si>
  <si>
    <t xml:space="preserve"> Awe           </t>
  </si>
  <si>
    <t xml:space="preserve"> NatureAdmirer  </t>
  </si>
  <si>
    <t xml:space="preserve"> #Awe #BreathtakingSunrise                   </t>
  </si>
  <si>
    <t xml:space="preserve"> USA               </t>
  </si>
  <si>
    <t xml:space="preserve">Navigating through the challenges with determination.          </t>
  </si>
  <si>
    <t xml:space="preserve"> Determination </t>
  </si>
  <si>
    <t xml:space="preserve"> GoalPursuer    </t>
  </si>
  <si>
    <t xml:space="preserve"> #Determination #Challenges                  </t>
  </si>
  <si>
    <t xml:space="preserve"> Canada            </t>
  </si>
  <si>
    <t xml:space="preserve">Nostalgia hits while flipping through an old photo album.     </t>
  </si>
  <si>
    <t xml:space="preserve"> Nostalgia      </t>
  </si>
  <si>
    <t xml:space="preserve"> MemoryLane     </t>
  </si>
  <si>
    <t xml:space="preserve"> #Nostalgia #OldMemories                     </t>
  </si>
  <si>
    <t xml:space="preserve"> UK                </t>
  </si>
  <si>
    <t xml:space="preserve">Thrilled to witness the grandeur of a cultural festival.       </t>
  </si>
  <si>
    <t xml:space="preserve"> Thrill        </t>
  </si>
  <si>
    <t xml:space="preserve"> CultureEnthusiast </t>
  </si>
  <si>
    <t xml:space="preserve"> #Thrill #CulturalCelebration              </t>
  </si>
  <si>
    <t xml:space="preserve"> India              </t>
  </si>
  <si>
    <t xml:space="preserve">Calmness found in the rhythm of raindrops on the windowpane.   </t>
  </si>
  <si>
    <t xml:space="preserve"> Calmness      </t>
  </si>
  <si>
    <t xml:space="preserve"> RainWatcher    </t>
  </si>
  <si>
    <t xml:space="preserve"> #Calmness #RainyDays                        </t>
  </si>
  <si>
    <t xml:space="preserve"> Australia          </t>
  </si>
  <si>
    <t>Overwhelmed by the support received during a personal challenge.</t>
  </si>
  <si>
    <t xml:space="preserve"> Overwhelmed   </t>
  </si>
  <si>
    <t xml:space="preserve"> PersonalJourney </t>
  </si>
  <si>
    <t xml:space="preserve"> #Overwhelmed #SupportiveCommunity          </t>
  </si>
  <si>
    <t xml:space="preserve">Excitement builds as the countdown to a long-awaited vacation begins. </t>
  </si>
  <si>
    <t xml:space="preserve"> #Excitement #VacationCountdown        </t>
  </si>
  <si>
    <t xml:space="preserve"> France            </t>
  </si>
  <si>
    <t xml:space="preserve">Reflecting on life's journey, grateful for the lessons learned. </t>
  </si>
  <si>
    <t xml:space="preserve"> Gratitude   </t>
  </si>
  <si>
    <t xml:space="preserve"> LifeLearner   </t>
  </si>
  <si>
    <t xml:space="preserve"> #Gratitude #LifeLessons                    </t>
  </si>
  <si>
    <t xml:space="preserve"> Brazil            </t>
  </si>
  <si>
    <t xml:space="preserve">Bittersweet emotions arise while bidding farewell to a dear friend. </t>
  </si>
  <si>
    <t xml:space="preserve"> Bittersweet </t>
  </si>
  <si>
    <t xml:space="preserve"> FarewellSender </t>
  </si>
  <si>
    <t xml:space="preserve"> #Bittersweet #Farewell                     </t>
  </si>
  <si>
    <t xml:space="preserve"> Japan             </t>
  </si>
  <si>
    <t xml:space="preserve">Curiosity sparked by exploring a mysterious ancient ruin.      </t>
  </si>
  <si>
    <t xml:space="preserve"> Curiosity     </t>
  </si>
  <si>
    <t xml:space="preserve"> HistoryExplorer </t>
  </si>
  <si>
    <t xml:space="preserve"> #Curiosity #AncientDiscovery          </t>
  </si>
  <si>
    <t xml:space="preserve"> Greece            </t>
  </si>
  <si>
    <t xml:space="preserve">Admiration for the intricate details of a handcrafted masterpiece. </t>
  </si>
  <si>
    <t xml:space="preserve"> Admiration    </t>
  </si>
  <si>
    <t xml:space="preserve"> CraftEnthusiast </t>
  </si>
  <si>
    <t xml:space="preserve"> #Admiration #HandcraftedArt               </t>
  </si>
  <si>
    <t xml:space="preserve">Overjoyed by the warmth of a cozy fireplace on a winter evening.   </t>
  </si>
  <si>
    <t xml:space="preserve"> Overjoyed     </t>
  </si>
  <si>
    <t xml:space="preserve"> WinterLover     </t>
  </si>
  <si>
    <t xml:space="preserve"> #Overjoyed #WinterWarmth                  </t>
  </si>
  <si>
    <t>Inspiration strikes while observing the colors of a vibrant sunset.</t>
  </si>
  <si>
    <t xml:space="preserve"> Inspiration   </t>
  </si>
  <si>
    <t xml:space="preserve"> SunsetWatcher   </t>
  </si>
  <si>
    <t xml:space="preserve"> #Inspiration #ColorfulSunset             </t>
  </si>
  <si>
    <t xml:space="preserve">Motivated to achieve fitness goals after an invigorating workout.  </t>
  </si>
  <si>
    <t xml:space="preserve"> Motivation    </t>
  </si>
  <si>
    <t xml:space="preserve"> FitnessJunkie   </t>
  </si>
  <si>
    <t xml:space="preserve"> #Motivation #FitnessGoals                 </t>
  </si>
  <si>
    <t xml:space="preserve">Gratitude for the simple joys found in a cup of morning coffee.    </t>
  </si>
  <si>
    <t xml:space="preserve"> CoffeeLover     </t>
  </si>
  <si>
    <t xml:space="preserve"> #Gratitude #MorningCoffee                 </t>
  </si>
  <si>
    <t xml:space="preserve"> India             </t>
  </si>
  <si>
    <t xml:space="preserve">Feeling empowered after conquering a challenging hiking trail.     </t>
  </si>
  <si>
    <t xml:space="preserve"> HikingExplorer  </t>
  </si>
  <si>
    <t xml:space="preserve"> #Empowerment #HikingAdventure             </t>
  </si>
  <si>
    <t xml:space="preserve">Amused by the antics of playful kittens during playtime.           </t>
  </si>
  <si>
    <t xml:space="preserve"> Amusement     </t>
  </si>
  <si>
    <t xml:space="preserve"> KittyObserver   </t>
  </si>
  <si>
    <t xml:space="preserve"> #Amusement #PlayfulKittens               </t>
  </si>
  <si>
    <t xml:space="preserve">Contemplating life's mysteries under the starry night sky.         </t>
  </si>
  <si>
    <t xml:space="preserve"> Contemplation </t>
  </si>
  <si>
    <t xml:space="preserve"> #Contemplation #StarryNight               </t>
  </si>
  <si>
    <t xml:space="preserve">Joyful reunion with long-lost friends after years of separation.   </t>
  </si>
  <si>
    <t xml:space="preserve"> JoyfulReunion </t>
  </si>
  <si>
    <t xml:space="preserve"> FriendshipRenewal </t>
  </si>
  <si>
    <t xml:space="preserve"> #JoyfulReunion #Friendship               </t>
  </si>
  <si>
    <t xml:space="preserve">Excitement builds while preparing for a surprise celebration.     </t>
  </si>
  <si>
    <t xml:space="preserve"> Excitement    </t>
  </si>
  <si>
    <t xml:space="preserve"> CelebrationPlanner </t>
  </si>
  <si>
    <t xml:space="preserve"> #Excitement #SurpriseCelebration         </t>
  </si>
  <si>
    <t xml:space="preserve">Satisfaction derived from successfully completing a DIY project.  </t>
  </si>
  <si>
    <t xml:space="preserve"> Satisfaction  </t>
  </si>
  <si>
    <t xml:space="preserve"> #Satisfaction #DIYProject                 </t>
  </si>
  <si>
    <t xml:space="preserve">Feeling blessed for the supportive community in times of need.    </t>
  </si>
  <si>
    <t xml:space="preserve"> Blessed       </t>
  </si>
  <si>
    <t xml:space="preserve"> CommunityHelper </t>
  </si>
  <si>
    <t xml:space="preserve"> #Blessed #SupportiveCommunity            </t>
  </si>
  <si>
    <t xml:space="preserve">Captivated by the serenity of a tranquil garden in full bloom.     </t>
  </si>
  <si>
    <t xml:space="preserve"> GardenEnthusiast </t>
  </si>
  <si>
    <t xml:space="preserve"> #Serenity #TranquilGarden                </t>
  </si>
  <si>
    <t xml:space="preserve">Anticipation for an upcoming adventure in an exotic destination.   </t>
  </si>
  <si>
    <t xml:space="preserve"> Anticipation  </t>
  </si>
  <si>
    <t xml:space="preserve"> Wanderlust      </t>
  </si>
  <si>
    <t xml:space="preserve"> #Anticipation #AdventureAwaits           </t>
  </si>
  <si>
    <t xml:space="preserve">Reflecting on personal growth achieved through life experiences.  </t>
  </si>
  <si>
    <t xml:space="preserve"> Reflection    </t>
  </si>
  <si>
    <t xml:space="preserve"> #Reflection #PersonalGrowth              </t>
  </si>
  <si>
    <t xml:space="preserve">Nostalgic memories flood in while revisiting childhood favorites. </t>
  </si>
  <si>
    <t xml:space="preserve"> Nostalgia     </t>
  </si>
  <si>
    <t xml:space="preserve"> ChildhoodMemories </t>
  </si>
  <si>
    <t xml:space="preserve"> #Nostalgia #ChildhoodFavorites           </t>
  </si>
  <si>
    <t xml:space="preserve">Appreciation for the vibrant culture experienced during travel.   </t>
  </si>
  <si>
    <t xml:space="preserve"> Appreciation  </t>
  </si>
  <si>
    <t xml:space="preserve"> CultureExplorer </t>
  </si>
  <si>
    <t xml:space="preserve"> #Appreciation #CulturalExperience        </t>
  </si>
  <si>
    <t xml:space="preserve">Confidence soars after overcoming public speaking anxiety.       </t>
  </si>
  <si>
    <t xml:space="preserve"> Confidence    </t>
  </si>
  <si>
    <t xml:space="preserve"> PublicSpeaker   </t>
  </si>
  <si>
    <t xml:space="preserve"> #Confidence #OvercomingAnxiety          </t>
  </si>
  <si>
    <t xml:space="preserve">Contentment in the midst of a family gathering filled with laughter. </t>
  </si>
  <si>
    <t xml:space="preserve"> FamilyCelebration </t>
  </si>
  <si>
    <t xml:space="preserve"> #Contentment #FamilyLaughter             </t>
  </si>
  <si>
    <t xml:space="preserve">Enthusiasm for learning new skills and expanding knowledge.      </t>
  </si>
  <si>
    <t xml:space="preserve"> LifelongLearner </t>
  </si>
  <si>
    <t xml:space="preserve"> #Enthusiasm #SkillBuilding               </t>
  </si>
  <si>
    <t xml:space="preserve">Surprise and delight at discovering a hidden gem in the city.    </t>
  </si>
  <si>
    <t xml:space="preserve"> Surprise      </t>
  </si>
  <si>
    <t xml:space="preserve"> CityExplorer    </t>
  </si>
  <si>
    <t xml:space="preserve"> #Surprise #HiddenGem                      </t>
  </si>
  <si>
    <t>A sense of accomplishment after completing a challenging workout.</t>
  </si>
  <si>
    <t xml:space="preserve"> Accomplishment </t>
  </si>
  <si>
    <t xml:space="preserve"> #Accomplishment #FitnessSuccess         </t>
  </si>
  <si>
    <t xml:space="preserve">Wonderment at the beauty of a double rainbow after the rain.     </t>
  </si>
  <si>
    <t xml:space="preserve"> Wonderment    </t>
  </si>
  <si>
    <t xml:space="preserve"> RainbowChaser   </t>
  </si>
  <si>
    <t xml:space="preserve"> #Wonderment #DoubleRainbow               </t>
  </si>
  <si>
    <t xml:space="preserve">Optimism for a bright future amidst challenging times.           </t>
  </si>
  <si>
    <t xml:space="preserve"> Optimism      </t>
  </si>
  <si>
    <t xml:space="preserve"> FutureOptimist  </t>
  </si>
  <si>
    <t xml:space="preserve"> #Optimism #BrightFuture                  </t>
  </si>
  <si>
    <t xml:space="preserve">Pride in achieving a personal milestone in career progression.   </t>
  </si>
  <si>
    <t xml:space="preserve"> Pride         </t>
  </si>
  <si>
    <t xml:space="preserve"> CareerAchiever  </t>
  </si>
  <si>
    <t xml:space="preserve"> #Pride #CareerMilestone                  </t>
  </si>
  <si>
    <t xml:space="preserve">Happiness blooms like flowers in a garden on a sunny day.        </t>
  </si>
  <si>
    <t xml:space="preserve"> Happiness     </t>
  </si>
  <si>
    <t xml:space="preserve"> SunnyDayEnthusiast </t>
  </si>
  <si>
    <t xml:space="preserve"> #Happiness #SunnyDay                      </t>
  </si>
  <si>
    <t xml:space="preserve">Elation over discovering a rare book in a quaint bookstore.      </t>
  </si>
  <si>
    <t xml:space="preserve"> Bookworm        </t>
  </si>
  <si>
    <t xml:space="preserve"> #Elation #RareBookDiscovery              </t>
  </si>
  <si>
    <t>Curiosity piqued by the mysteries of an ancient archaeological site.</t>
  </si>
  <si>
    <t xml:space="preserve"> Curiosity   </t>
  </si>
  <si>
    <t xml:space="preserve"> ArchaeologyEnthusiast </t>
  </si>
  <si>
    <t xml:space="preserve"> #Curiosity #AncientMysteries            </t>
  </si>
  <si>
    <t xml:space="preserve">Mesmerized by the cosmic dance of fireflies on a moonlit night.    </t>
  </si>
  <si>
    <t xml:space="preserve"> Enchantment   </t>
  </si>
  <si>
    <t xml:space="preserve"> NightSkyObserver </t>
  </si>
  <si>
    <t xml:space="preserve"> #Enchantment #CosmicFireflies             </t>
  </si>
  <si>
    <t xml:space="preserve"> Brazil           </t>
  </si>
  <si>
    <t xml:space="preserve">Intrigued by the symphony of colors in an abstract art exhibition. </t>
  </si>
  <si>
    <t xml:space="preserve"> Intrigue      </t>
  </si>
  <si>
    <t xml:space="preserve"> ArtConnoisseur  </t>
  </si>
  <si>
    <t xml:space="preserve"> #Intrigue #AbstractArt                   </t>
  </si>
  <si>
    <t xml:space="preserve"> France           </t>
  </si>
  <si>
    <t xml:space="preserve">Giggles and joy echo in the air during a children's playdate.      </t>
  </si>
  <si>
    <t xml:space="preserve"> PlayfulJoy    </t>
  </si>
  <si>
    <t xml:space="preserve"> PlayfulParent   </t>
  </si>
  <si>
    <t xml:space="preserve"> #PlayfulJoy #ChildrensPlaydate           </t>
  </si>
  <si>
    <t xml:space="preserve"> Japan            </t>
  </si>
  <si>
    <t xml:space="preserve">Enveloped in serenity while practicing mindfulness by the lake.    </t>
  </si>
  <si>
    <t xml:space="preserve"> Mindfulness   </t>
  </si>
  <si>
    <t xml:space="preserve"> ZenSeeker       </t>
  </si>
  <si>
    <t xml:space="preserve"> #Mindfulness #LakeTranquility            </t>
  </si>
  <si>
    <t xml:space="preserve"> Canada           </t>
  </si>
  <si>
    <t xml:space="preserve">Chasing dreams like a kite soaring high in the vast open sky.      </t>
  </si>
  <si>
    <t xml:space="preserve"> DreamChaser   </t>
  </si>
  <si>
    <t xml:space="preserve"> SkyDreamer      </t>
  </si>
  <si>
    <t xml:space="preserve"> #DreamChaser #SkyHighDreams              </t>
  </si>
  <si>
    <t xml:space="preserve"> Australia         </t>
  </si>
  <si>
    <t xml:space="preserve">Spellbound by the elegance of a ballroom dance under crystal chandeliers. </t>
  </si>
  <si>
    <t xml:space="preserve"> Elegance </t>
  </si>
  <si>
    <t xml:space="preserve"> DanceEnthusiast </t>
  </si>
  <si>
    <t xml:space="preserve"> #Elegance #BallroomDance                </t>
  </si>
  <si>
    <t xml:space="preserve"> UK               </t>
  </si>
  <si>
    <t xml:space="preserve">Whimsical delight in a world of fairy tales and magical creatures.  </t>
  </si>
  <si>
    <t xml:space="preserve"> Whimsy        </t>
  </si>
  <si>
    <t xml:space="preserve"> FairyTaleExplorer </t>
  </si>
  <si>
    <t xml:space="preserve"> #Whimsy #MagicalWorld                    </t>
  </si>
  <si>
    <t xml:space="preserve"> USA             </t>
  </si>
  <si>
    <t xml:space="preserve">Pensive contemplation amid the ancient ruins of a forgotten civilization. </t>
  </si>
  <si>
    <t xml:space="preserve"> Pensive </t>
  </si>
  <si>
    <t xml:space="preserve"> RuinsExplorer   </t>
  </si>
  <si>
    <t xml:space="preserve"> #Pensive #AncientCivilization           </t>
  </si>
  <si>
    <t xml:space="preserve"> Greece           </t>
  </si>
  <si>
    <t xml:space="preserve">Embracing the thrill of speed on a rollercoaster's exhilarating twists. </t>
  </si>
  <si>
    <t xml:space="preserve"> Thrill      </t>
  </si>
  <si>
    <t xml:space="preserve"> RollercoasterFan </t>
  </si>
  <si>
    <t xml:space="preserve"> #Thrill #RollercoasterAdventure        </t>
  </si>
  <si>
    <t xml:space="preserve"> Germany         </t>
  </si>
  <si>
    <t xml:space="preserve">Harmony resonates as musicians play a melody of unity and togetherness. </t>
  </si>
  <si>
    <t xml:space="preserve"> Harmony    </t>
  </si>
  <si>
    <t xml:space="preserve"> MusicHarmonist  </t>
  </si>
  <si>
    <t xml:space="preserve"> #Harmony #MusicalUnity                   </t>
  </si>
  <si>
    <t xml:space="preserve"> Sweden          </t>
  </si>
  <si>
    <t xml:space="preserve">A burst of creativity in the quiet solitude of an artist's studio.  </t>
  </si>
  <si>
    <t xml:space="preserve"> Creativity   </t>
  </si>
  <si>
    <t xml:space="preserve"> StudioArtist    </t>
  </si>
  <si>
    <t xml:space="preserve"> #Creativity #ArtistsHaven               </t>
  </si>
  <si>
    <t xml:space="preserve"> Italy           </t>
  </si>
  <si>
    <t xml:space="preserve">Radiant joy akin to blooming flowers on a sun-kissed spring morning. </t>
  </si>
  <si>
    <t xml:space="preserve"> Radiance    </t>
  </si>
  <si>
    <t xml:space="preserve"> SpringEnthusiast </t>
  </si>
  <si>
    <t xml:space="preserve"> #Radiance #SpringBlooms                 </t>
  </si>
  <si>
    <t xml:space="preserve"> Netherlands     </t>
  </si>
  <si>
    <t xml:space="preserve">A sense of wonder at the vastness of the cosmos on a stargazing night. </t>
  </si>
  <si>
    <t xml:space="preserve"> Wonder     </t>
  </si>
  <si>
    <t xml:space="preserve"> CosmosExplorer  </t>
  </si>
  <si>
    <t xml:space="preserve"> #Wonder #StargazingAdventure            </t>
  </si>
  <si>
    <t xml:space="preserve"> South Africa    </t>
  </si>
  <si>
    <t xml:space="preserve">Rejuvenated by the salty breeze and the sound of waves at the seaside. </t>
  </si>
  <si>
    <t xml:space="preserve"> Rejuvenation </t>
  </si>
  <si>
    <t xml:space="preserve"> SeaBreezeLover </t>
  </si>
  <si>
    <t xml:space="preserve"> #Rejuvenation #SeasideEscape            </t>
  </si>
  <si>
    <t xml:space="preserve"> Spain           </t>
  </si>
  <si>
    <t xml:space="preserve">Whispers of inspiration from the rustling leaves in a serene forest. </t>
  </si>
  <si>
    <t xml:space="preserve"> Inspiration </t>
  </si>
  <si>
    <t xml:space="preserve"> ForestDreamer   </t>
  </si>
  <si>
    <t xml:space="preserve"> #Inspiration #ForestWhispers            </t>
  </si>
  <si>
    <t xml:space="preserve"> Portugal        </t>
  </si>
  <si>
    <t xml:space="preserve">Savoring the warmth of a cup of cocoa on a chilly winter evening.   </t>
  </si>
  <si>
    <t xml:space="preserve"> Coziness     </t>
  </si>
  <si>
    <t xml:space="preserve"> #Coziness #WarmWinterEvening           </t>
  </si>
  <si>
    <t xml:space="preserve"> Switzerland     </t>
  </si>
  <si>
    <t xml:space="preserve">Heartfelt gratitude for the laughter shared during a family reunion. </t>
  </si>
  <si>
    <t xml:space="preserve"> Gratitude  </t>
  </si>
  <si>
    <t xml:space="preserve"> FamilyGatherer </t>
  </si>
  <si>
    <t xml:space="preserve"> #Gratitude #FamilyLaughter              </t>
  </si>
  <si>
    <t xml:space="preserve"> Austria         </t>
  </si>
  <si>
    <t xml:space="preserve">Embarking on a culinary adventure, savoring exotic flavors around the world. </t>
  </si>
  <si>
    <t xml:space="preserve"> Adventure </t>
  </si>
  <si>
    <t xml:space="preserve"> CulinaryExplorer </t>
  </si>
  <si>
    <t xml:space="preserve"> #Adventure #CulinaryJourney             </t>
  </si>
  <si>
    <t xml:space="preserve"> Belgium         </t>
  </si>
  <si>
    <t xml:space="preserve">Euphoria floods in as the final puzzle piece clicks into place.       </t>
  </si>
  <si>
    <t xml:space="preserve"> Euphoria   </t>
  </si>
  <si>
    <t xml:space="preserve"> PuzzleSolver    </t>
  </si>
  <si>
    <t xml:space="preserve"> #Euphoria #PuzzleCompletion            </t>
  </si>
  <si>
    <t xml:space="preserve"> Denmark         </t>
  </si>
  <si>
    <t xml:space="preserve">Awe-inspired by the grandeur of an ancient cathedral's intricate architecture. </t>
  </si>
  <si>
    <t xml:space="preserve"> Awe    </t>
  </si>
  <si>
    <t xml:space="preserve"> CathedralVisitor </t>
  </si>
  <si>
    <t xml:space="preserve"> #Awe #ArchitecturalGrandeur            </t>
  </si>
  <si>
    <t xml:space="preserve"> Czech Republic  </t>
  </si>
  <si>
    <t xml:space="preserve">Captivated by the ethereal beauty of a field filled with fireflies. </t>
  </si>
  <si>
    <t xml:space="preserve"> #Enchantment #FireflyField              </t>
  </si>
  <si>
    <t xml:space="preserve">Immersed in the enchanting melodies of a street musician's violin. </t>
  </si>
  <si>
    <t xml:space="preserve"> Melodic       </t>
  </si>
  <si>
    <t xml:space="preserve"> MusicLover      </t>
  </si>
  <si>
    <t xml:space="preserve"> #Melodic #StreetMusic                   </t>
  </si>
  <si>
    <t xml:space="preserve">Joyful laughter resonates through a lively summer carnival.         </t>
  </si>
  <si>
    <t xml:space="preserve"> FestiveJoy    </t>
  </si>
  <si>
    <t xml:space="preserve"> CarnivalGoer    </t>
  </si>
  <si>
    <t xml:space="preserve"> #FestiveJoy #SummerCarnival             </t>
  </si>
  <si>
    <t xml:space="preserve">Exploring the universe within during a mindful meditation session. </t>
  </si>
  <si>
    <t xml:space="preserve"> InnerJourney  </t>
  </si>
  <si>
    <t xml:space="preserve"> MindfulExplorer </t>
  </si>
  <si>
    <t xml:space="preserve"> #InnerJourney #MeditationBliss          </t>
  </si>
  <si>
    <t xml:space="preserve">Soaring like a free spirit on the winds of a coastal cliff.        </t>
  </si>
  <si>
    <t xml:space="preserve"> Freedom       </t>
  </si>
  <si>
    <t xml:space="preserve"> CoastalExplorer </t>
  </si>
  <si>
    <t xml:space="preserve"> #Freedom #CoastalAdventure              </t>
  </si>
  <si>
    <t xml:space="preserve">Dazzled by the elegance of a masquerade ball's dazzling costumes. </t>
  </si>
  <si>
    <t xml:space="preserve"> Dazzle        </t>
  </si>
  <si>
    <t xml:space="preserve"> MasqueradeAttendee </t>
  </si>
  <si>
    <t xml:space="preserve"> #Dazzle #MasqueradeElegance            </t>
  </si>
  <si>
    <t xml:space="preserve">Whimsical delight in a world of whimsical fairy tales.             </t>
  </si>
  <si>
    <t xml:space="preserve"> FairyTaleAdventurer </t>
  </si>
  <si>
    <t xml:space="preserve"> #Whimsy #FairyTaleMagic                 </t>
  </si>
  <si>
    <t xml:space="preserve">Reflective contemplation amid the ruins of a forgotten era.        </t>
  </si>
  <si>
    <t xml:space="preserve"> #Reflection #ForgottenEra               </t>
  </si>
  <si>
    <t xml:space="preserve">Riding the adrenaline rush on a rollercoaster's wild twists.      </t>
  </si>
  <si>
    <t xml:space="preserve"> Adrenaline     </t>
  </si>
  <si>
    <t xml:space="preserve"> ThrillSeeker    </t>
  </si>
  <si>
    <t xml:space="preserve"> #Adrenaline #RollercoasterThrills      </t>
  </si>
  <si>
    <t xml:space="preserve">Harmony resonates as musicians play a symphony of unity.           </t>
  </si>
  <si>
    <t xml:space="preserve"> Harmony       </t>
  </si>
  <si>
    <t xml:space="preserve">A burst of artistic creativity in the quietude of an artist's studio. </t>
  </si>
  <si>
    <t xml:space="preserve"> ArtisticBurst </t>
  </si>
  <si>
    <t xml:space="preserve"> #ArtisticBurst #StudioCreativity       </t>
  </si>
  <si>
    <t xml:space="preserve">Radiant joy akin to blossoming flowers on a sunlit spring morning. </t>
  </si>
  <si>
    <t xml:space="preserve"> Radiance      </t>
  </si>
  <si>
    <t xml:space="preserve">Awe-inspired by the vastness of the cosmos on a stargazing night.   </t>
  </si>
  <si>
    <t xml:space="preserve"> Wonder       </t>
  </si>
  <si>
    <t xml:space="preserve"> Inspiration  </t>
  </si>
  <si>
    <t xml:space="preserve">Embarking on a culinary odyssey, savoring flavors around the world. </t>
  </si>
  <si>
    <t xml:space="preserve"> CulinaryOdyssey </t>
  </si>
  <si>
    <t xml:space="preserve"> #CulinaryOdyssey #FlavorsAroundTheWorld </t>
  </si>
  <si>
    <t xml:space="preserve">Euphoria floods in as the final puzzle piece fits perfectly.       </t>
  </si>
  <si>
    <t xml:space="preserve"> Euphoria     </t>
  </si>
  <si>
    <t xml:space="preserve"> #Euphoria #PerfectPuzzle               </t>
  </si>
  <si>
    <t xml:space="preserve">Awe-struck by the grandeur of an ancient cathedral's intricate architecture. </t>
  </si>
  <si>
    <t xml:space="preserve">Curiosity awakened by the mysteries of an ancient archaeological site. </t>
  </si>
  <si>
    <t xml:space="preserve"> Curiosity  </t>
  </si>
  <si>
    <t xml:space="preserve"> #Curiosity #AncientMysteries          </t>
  </si>
  <si>
    <t xml:space="preserve">Giddy with excitement as the first snowflakes dance from the sky. </t>
  </si>
  <si>
    <t xml:space="preserve"> SnowfallEnthusiast </t>
  </si>
  <si>
    <t xml:space="preserve"> #Excitement #SnowfallMagic             </t>
  </si>
  <si>
    <t xml:space="preserve"> Canada         </t>
  </si>
  <si>
    <t xml:space="preserve">Contentment envelops as the aroma of freshly baked bread fills the air. </t>
  </si>
  <si>
    <t xml:space="preserve"> BreadLover     </t>
  </si>
  <si>
    <t xml:space="preserve"> #Contentment #FreshBreadAroma          </t>
  </si>
  <si>
    <t xml:space="preserve"> France          </t>
  </si>
  <si>
    <t xml:space="preserve">Inspired by the resilience of a lone tree standing tall in a storm. </t>
  </si>
  <si>
    <t xml:space="preserve"> Resilience   </t>
  </si>
  <si>
    <t xml:space="preserve"> NatureResilient </t>
  </si>
  <si>
    <t xml:space="preserve"> #Resilience #StandingTall              </t>
  </si>
  <si>
    <t xml:space="preserve">Lost in the pages of a captivating novel, transported to another world. </t>
  </si>
  <si>
    <t xml:space="preserve"> Immersion </t>
  </si>
  <si>
    <t xml:space="preserve"> Bookworm       </t>
  </si>
  <si>
    <t xml:space="preserve"> #Immersion #CaptivatingNovel           </t>
  </si>
  <si>
    <t xml:space="preserve"> UK              </t>
  </si>
  <si>
    <t xml:space="preserve">Drenched in nostalgia while flipping through an old family photo album. </t>
  </si>
  <si>
    <t xml:space="preserve"> Nostalgia </t>
  </si>
  <si>
    <t xml:space="preserve"> FamilyHistorian </t>
  </si>
  <si>
    <t xml:space="preserve"> #Nostalgia #FamilyPhotoAlbum           </t>
  </si>
  <si>
    <t xml:space="preserve"> India          </t>
  </si>
  <si>
    <t xml:space="preserve">Spark of inspiration ignites like a shooting star in the night sky. </t>
  </si>
  <si>
    <t xml:space="preserve"> Spark        </t>
  </si>
  <si>
    <t xml:space="preserve"> NightSkyWatcher </t>
  </si>
  <si>
    <t xml:space="preserve"> #Spark #InspirationIgnited             </t>
  </si>
  <si>
    <t xml:space="preserve"> Australia      </t>
  </si>
  <si>
    <t xml:space="preserve">Imbued with gratitude for the simple pleasure of a warm cup of tea. </t>
  </si>
  <si>
    <t xml:space="preserve"> Gratitude    </t>
  </si>
  <si>
    <t xml:space="preserve"> TeaEnthusiast  </t>
  </si>
  <si>
    <t xml:space="preserve"> #Gratitude #WarmTea                    </t>
  </si>
  <si>
    <t xml:space="preserve"> Japan           </t>
  </si>
  <si>
    <t xml:space="preserve">Marveling at the kaleidoscope of colors in a vibrant street market. </t>
  </si>
  <si>
    <t xml:space="preserve"> Marvel       </t>
  </si>
  <si>
    <t xml:space="preserve"> MarketExplorer </t>
  </si>
  <si>
    <t xml:space="preserve"> #Marvel #ColorfulStreetMarket          </t>
  </si>
  <si>
    <t xml:space="preserve"> Brazil          </t>
  </si>
  <si>
    <t xml:space="preserve">Awash with serenity as the sun sets over a tranquil lakeside retreat. </t>
  </si>
  <si>
    <t xml:space="preserve"> Serenity   </t>
  </si>
  <si>
    <t xml:space="preserve"> LakesideRetreater </t>
  </si>
  <si>
    <t xml:space="preserve"> #Serenity #TranquilSunset              </t>
  </si>
  <si>
    <t xml:space="preserve"> Germany       </t>
  </si>
  <si>
    <t xml:space="preserve">Drowning in sorrow as memories of lost love resurface.            </t>
  </si>
  <si>
    <t xml:space="preserve"> Heartbreak    </t>
  </si>
  <si>
    <t xml:space="preserve"> LostInLove      </t>
  </si>
  <si>
    <t xml:space="preserve"> #Heartbreak #LostLove                    </t>
  </si>
  <si>
    <t xml:space="preserve">Numbness sets in as the weight of loneliness grows heavier.       </t>
  </si>
  <si>
    <t xml:space="preserve"> Loneliness    </t>
  </si>
  <si>
    <t xml:space="preserve"> SolitudeSeeker </t>
  </si>
  <si>
    <t xml:space="preserve"> #Loneliness #HeavyHeart                  </t>
  </si>
  <si>
    <t xml:space="preserve">Tears fall like raindrops, mourning the end of a cherished friendship. </t>
  </si>
  <si>
    <t xml:space="preserve"> Grief      </t>
  </si>
  <si>
    <t xml:space="preserve"> FriendshipsEnd  </t>
  </si>
  <si>
    <t xml:space="preserve"> #Grief #LostFriendship                  </t>
  </si>
  <si>
    <t xml:space="preserve">Despair clouds the mind, feeling adrift in an endless sea of darkness. </t>
  </si>
  <si>
    <t xml:space="preserve"> Despair   </t>
  </si>
  <si>
    <t xml:space="preserve"> LostInDarkness  </t>
  </si>
  <si>
    <t xml:space="preserve"> #Despair #EndlessDarkness               </t>
  </si>
  <si>
    <t xml:space="preserve"> Australia        </t>
  </si>
  <si>
    <t xml:space="preserve">Shattered by betrayal, trust crumbles like fragile glass.          </t>
  </si>
  <si>
    <t xml:space="preserve"> Betrayal      </t>
  </si>
  <si>
    <t xml:space="preserve"> BrokenTrust     </t>
  </si>
  <si>
    <t xml:space="preserve"> #Betrayal #ShatteredTrust               </t>
  </si>
  <si>
    <t xml:space="preserve">Aching heart, the symphony of pain plays in the silence of solitude. </t>
  </si>
  <si>
    <t xml:space="preserve"> Suffering </t>
  </si>
  <si>
    <t xml:space="preserve"> SilentSufferer  </t>
  </si>
  <si>
    <t xml:space="preserve"> #Suffering #HeartacheSymphony          </t>
  </si>
  <si>
    <t xml:space="preserve">Emotional storm, a whirlwind of sadness engulfs every thought.    </t>
  </si>
  <si>
    <t xml:space="preserve"> EmotionalStorm </t>
  </si>
  <si>
    <t xml:space="preserve"> StormyFeelings  </t>
  </si>
  <si>
    <t xml:space="preserve"> #EmotionalStorm #SadnessWhirlwind      </t>
  </si>
  <si>
    <t xml:space="preserve">Haunted by regrets, the ghost of the past lingers relentlessly.   </t>
  </si>
  <si>
    <t xml:space="preserve"> Regret        </t>
  </si>
  <si>
    <t xml:space="preserve"> LingeringGhost  </t>
  </si>
  <si>
    <t xml:space="preserve"> #Regret #HauntedPast                    </t>
  </si>
  <si>
    <t xml:space="preserve"> France         </t>
  </si>
  <si>
    <t xml:space="preserve">Torn apart by grief, the echoes of loss reverberate through the soul. </t>
  </si>
  <si>
    <t xml:space="preserve"> EchoesOfLoss    </t>
  </si>
  <si>
    <t xml:space="preserve"> #Grief #TornApart                       </t>
  </si>
  <si>
    <t xml:space="preserve"> Italy         </t>
  </si>
  <si>
    <t xml:space="preserve">Isolation deepens, an emotional winter where warmth is but a distant memory. </t>
  </si>
  <si>
    <t xml:space="preserve"> Isolation </t>
  </si>
  <si>
    <t xml:space="preserve"> WinterOfEmotions </t>
  </si>
  <si>
    <t xml:space="preserve"> #Isolation #EmotionalWinter            </t>
  </si>
  <si>
    <t xml:space="preserve"> Japan       </t>
  </si>
  <si>
    <t xml:space="preserve">Soul-crushing disappointment, hopes shattered like fragile glass. </t>
  </si>
  <si>
    <t xml:space="preserve"> Disappointment </t>
  </si>
  <si>
    <t xml:space="preserve"> ShatteredHopes  </t>
  </si>
  <si>
    <t xml:space="preserve"> #Disappointment #CrushedHopes          </t>
  </si>
  <si>
    <t xml:space="preserve"> Spain        </t>
  </si>
  <si>
    <t xml:space="preserve">Painful echoes of a love once cherished, now lost in the abyss of time. </t>
  </si>
  <si>
    <t xml:space="preserve"> LostLove </t>
  </si>
  <si>
    <t xml:space="preserve"> AbyssOfTime     </t>
  </si>
  <si>
    <t xml:space="preserve"> #LostLove #PainfulEchoes               </t>
  </si>
  <si>
    <t xml:space="preserve"> Netherlands  </t>
  </si>
  <si>
    <t xml:space="preserve">Heartache deepens, a solitary journey through the abyss of despair. </t>
  </si>
  <si>
    <t xml:space="preserve"> SolitaryDescent </t>
  </si>
  <si>
    <t xml:space="preserve"> #Despair #AbyssOfHeartache             </t>
  </si>
  <si>
    <t xml:space="preserve"> South Africa </t>
  </si>
  <si>
    <t xml:space="preserve">Melancholy lingers, a bittersweet serenade in the quietude of solitude. </t>
  </si>
  <si>
    <t xml:space="preserve"> Melancholy </t>
  </si>
  <si>
    <t xml:space="preserve"> SerenadeOfSolitude </t>
  </si>
  <si>
    <t xml:space="preserve"> #Melancholy #QuietSerenade             </t>
  </si>
  <si>
    <t xml:space="preserve">Bitterness like a poison, seeping into every crevice of the wounded heart. </t>
  </si>
  <si>
    <t xml:space="preserve"> PoisonedHeart   </t>
  </si>
  <si>
    <t xml:space="preserve"> #Bitterness #WoundedHeart              </t>
  </si>
  <si>
    <t xml:space="preserve">Emotional exhaustion, the weight of the world crushing weary shoulders. </t>
  </si>
  <si>
    <t xml:space="preserve"> Exhaustion </t>
  </si>
  <si>
    <t xml:space="preserve"> WearySoulCrushed </t>
  </si>
  <si>
    <t xml:space="preserve"> #Exhaustion #CrushedSpirit             </t>
  </si>
  <si>
    <t xml:space="preserve">Sorrowful echoes, a symphony of pain played by the strings of loss. </t>
  </si>
  <si>
    <t xml:space="preserve"> Sorrow      </t>
  </si>
  <si>
    <t xml:space="preserve"> StringsOfSorrow </t>
  </si>
  <si>
    <t xml:space="preserve"> #Sorrow #SymphonyOfLoss                </t>
  </si>
  <si>
    <t xml:space="preserve"> Germany     </t>
  </si>
  <si>
    <t xml:space="preserve">Darkness descends, engulfing the soul in the shadows of despair.  </t>
  </si>
  <si>
    <t xml:space="preserve"> Darkness     </t>
  </si>
  <si>
    <t xml:space="preserve"> SoulInShadow    </t>
  </si>
  <si>
    <t xml:space="preserve"> #Darkness #SoulEngulfed                 </t>
  </si>
  <si>
    <t xml:space="preserve"> USA         </t>
  </si>
  <si>
    <t xml:space="preserve">Desperation whispers, the silent plea for a glimmer of hope in the abyss. </t>
  </si>
  <si>
    <t xml:space="preserve"> Desperation </t>
  </si>
  <si>
    <t xml:space="preserve"> WhisperedDespair </t>
  </si>
  <si>
    <t xml:space="preserve"> #Desperation #GlimmerOfHope            </t>
  </si>
  <si>
    <t xml:space="preserve"> France    </t>
  </si>
  <si>
    <t xml:space="preserve">Heart in ruins, the remnants of shattered dreams scattered in the wind. </t>
  </si>
  <si>
    <t xml:space="preserve"> Ruins      </t>
  </si>
  <si>
    <t xml:space="preserve"> DreamsInWind    </t>
  </si>
  <si>
    <t xml:space="preserve"> #Ruins #ShatteredDreams                </t>
  </si>
  <si>
    <t xml:space="preserve"> Brazil     </t>
  </si>
  <si>
    <t xml:space="preserve">Shattered by the echoes of a shattered dream, fragments of hope scattered. </t>
  </si>
  <si>
    <t xml:space="preserve"> Desolation </t>
  </si>
  <si>
    <t xml:space="preserve"> DreamEchoes </t>
  </si>
  <si>
    <t xml:space="preserve"> #Desolation #ScatteredHope </t>
  </si>
  <si>
    <t xml:space="preserve">Avoiding the thorns of regret, walking barefoot on the path of remorse. </t>
  </si>
  <si>
    <t xml:space="preserve"> Regret </t>
  </si>
  <si>
    <t xml:space="preserve"> RemorseWalker </t>
  </si>
  <si>
    <t xml:space="preserve"> #Regret #PathOfRemorse </t>
  </si>
  <si>
    <t xml:space="preserve">In the labyrinth of grief, the walls echo with the footsteps of lost joy. </t>
  </si>
  <si>
    <t xml:space="preserve"> Grief </t>
  </si>
  <si>
    <t xml:space="preserve"> JoyLabyrinth </t>
  </si>
  <si>
    <t xml:space="preserve"> #Grief #LostJoyFootsteps </t>
  </si>
  <si>
    <t xml:space="preserve">A soul adrift in the sea of solitude, waves of loneliness crashing relentlessly. </t>
  </si>
  <si>
    <t xml:space="preserve"> SolitudeSeas </t>
  </si>
  <si>
    <t xml:space="preserve"> #Loneliness #CrashingWaves </t>
  </si>
  <si>
    <t xml:space="preserve">The bitterness of betrayal, a taste that lingers, staining the palate of trust. </t>
  </si>
  <si>
    <t xml:space="preserve"> PalateStainer </t>
  </si>
  <si>
    <t xml:space="preserve"> #Bitterness #StainedTrust </t>
  </si>
  <si>
    <t xml:space="preserve"> Germany </t>
  </si>
  <si>
    <t xml:space="preserve">In the ruins of hope, echoes of shattered dreams whisper tales of loss. </t>
  </si>
  <si>
    <t xml:space="preserve"> HopeRuins </t>
  </si>
  <si>
    <t xml:space="preserve"> #Desolation #WhisperedLoss </t>
  </si>
  <si>
    <t xml:space="preserve"> Brazil </t>
  </si>
  <si>
    <t xml:space="preserve">Sinking like a stone in the ocean of heartbreak, each ripple a sigh of despair. </t>
  </si>
  <si>
    <t xml:space="preserve"> Heartbreak </t>
  </si>
  <si>
    <t xml:space="preserve"> OceanSinker </t>
  </si>
  <si>
    <t xml:space="preserve"> #Heartbreak #RippleOfDespair </t>
  </si>
  <si>
    <t xml:space="preserve"> France </t>
  </si>
  <si>
    <t xml:space="preserve">Tears, the ink staining the pages of a journal, a testament to silent grief. </t>
  </si>
  <si>
    <t xml:space="preserve"> InkJournalist </t>
  </si>
  <si>
    <t xml:space="preserve"> #Grief #SilentTears </t>
  </si>
  <si>
    <t xml:space="preserve">In the wasteland of lost trust, the echoes of broken promises reverberate. </t>
  </si>
  <si>
    <t xml:space="preserve"> Betrayal </t>
  </si>
  <si>
    <t xml:space="preserve"> TrustWasteland </t>
  </si>
  <si>
    <t xml:space="preserve"> #Betrayal #ReverberatingPromises </t>
  </si>
  <si>
    <t xml:space="preserve"> Italy </t>
  </si>
  <si>
    <t xml:space="preserve">Avoiding the shards of shattered dreams, walking the tightrope of resilience. </t>
  </si>
  <si>
    <t xml:space="preserve"> Resilience </t>
  </si>
  <si>
    <t xml:space="preserve"> DreamTightrope </t>
  </si>
  <si>
    <t xml:space="preserve"> #Resilience #TightropeWalk </t>
  </si>
  <si>
    <t xml:space="preserve"> Japan </t>
  </si>
  <si>
    <t xml:space="preserve">Suffocating in the silence of solitude, where echoes of laughter once thrived. </t>
  </si>
  <si>
    <t xml:space="preserve"> EchoedLaughter </t>
  </si>
  <si>
    <t xml:space="preserve"> #Isolation #SilentSolitude </t>
  </si>
  <si>
    <t xml:space="preserve">Haunted by the specter of lost possibilities, a ghost that refuses to fade away. </t>
  </si>
  <si>
    <t xml:space="preserve"> PossibilityGhost </t>
  </si>
  <si>
    <t xml:space="preserve"> #Regret #FadingPossibilities </t>
  </si>
  <si>
    <t xml:space="preserve"> Spain </t>
  </si>
  <si>
    <t xml:space="preserve">In the labyrinth of despair, the echoes of a broken heart reverberate endlessly. </t>
  </si>
  <si>
    <t xml:space="preserve"> EndlessLabyrinth </t>
  </si>
  <si>
    <t xml:space="preserve"> #Despair #EndlessReverberation </t>
  </si>
  <si>
    <t xml:space="preserve">Sinking like autumn leaves in the river of sorrow, carried away by the current. </t>
  </si>
  <si>
    <t xml:space="preserve"> Sorrow </t>
  </si>
  <si>
    <t xml:space="preserve"> RiverOfSorrow </t>
  </si>
  <si>
    <t xml:space="preserve"> #Sorrow #AutumnLeaves </t>
  </si>
  <si>
    <t xml:space="preserve">In the garden of broken dreams, petals fall, a silent testimony to shattered hopes. </t>
  </si>
  <si>
    <t xml:space="preserve"> DreamGardener </t>
  </si>
  <si>
    <t xml:space="preserve"> #Desolation #ShatteredHopes </t>
  </si>
  <si>
    <t xml:space="preserve">Tears, the currency of grief, spent in the marketplace of lost love and longing. </t>
  </si>
  <si>
    <t xml:space="preserve"> CurrencyOfTears </t>
  </si>
  <si>
    <t xml:space="preserve"> #Grief #LostLoveLonging </t>
  </si>
  <si>
    <t xml:space="preserve">Wandering in the maze of betrayal, the walls closing in with every wrong turn. </t>
  </si>
  <si>
    <t xml:space="preserve"> MazeWanderer </t>
  </si>
  <si>
    <t xml:space="preserve"> #Betrayal #ClosingWalls </t>
  </si>
  <si>
    <t xml:space="preserve">A soul weathered by the storm of heartbreak, seeking refuge in the calm after. </t>
  </si>
  <si>
    <t xml:space="preserve"> StormSeeker </t>
  </si>
  <si>
    <t xml:space="preserve"> #Heartbreak #CalmAfterStorm </t>
  </si>
  <si>
    <t xml:space="preserve">In the tapestry of despair, threads of hope unravel, leaving a portrait of sorrow. </t>
  </si>
  <si>
    <t xml:space="preserve"> TapestrySorrow </t>
  </si>
  <si>
    <t xml:space="preserve"> #Despair #UnraveledHope </t>
  </si>
  <si>
    <t xml:space="preserve">Like a withered rose in the garden of love, petals fall, a silent surrender to time. </t>
  </si>
  <si>
    <t xml:space="preserve"> Loss </t>
  </si>
  <si>
    <t xml:space="preserve"> WitheredRose </t>
  </si>
  <si>
    <t xml:space="preserve"> #Loss #SilentSurrender </t>
  </si>
  <si>
    <t xml:space="preserve">In the void of heartache, echoes of a love song play, each note a pang of longing. </t>
  </si>
  <si>
    <t xml:space="preserve"> Heartache </t>
  </si>
  <si>
    <t xml:space="preserve"> LoveSongEcho </t>
  </si>
  <si>
    <t xml:space="preserve"> #Heartache #LoveSongLonging </t>
  </si>
  <si>
    <t xml:space="preserve">Nostalgia, a bittersweet dance in the moonlit ballroom of cherished memories. </t>
  </si>
  <si>
    <t xml:space="preserve"> MoonlitMemories </t>
  </si>
  <si>
    <t xml:space="preserve"> #Nostalgia #CherishedMemories </t>
  </si>
  <si>
    <t xml:space="preserve">In the symphony of grief, each tear is a note, composing a melancholic melody. </t>
  </si>
  <si>
    <t xml:space="preserve"> SymphonyOfTears </t>
  </si>
  <si>
    <t xml:space="preserve"> #Grief #MelancholicMelody </t>
  </si>
  <si>
    <t xml:space="preserve">Betrayal, a venomous serpent slithering through the garden of trust, poisoning roots. </t>
  </si>
  <si>
    <t xml:space="preserve"> VenomousGarden </t>
  </si>
  <si>
    <t xml:space="preserve"> #Betrayal #PoisonedTrust </t>
  </si>
  <si>
    <t xml:space="preserve">Sinking in the quicksand of despair, the harder you fight, the deeper you descend. </t>
  </si>
  <si>
    <t xml:space="preserve"> QuicksandFighter </t>
  </si>
  <si>
    <t xml:space="preserve"> #Despair #DeepDescent </t>
  </si>
  <si>
    <t xml:space="preserve">Wandering through the cemetery of lost dreams, tombstones marking untold sorrows. </t>
  </si>
  <si>
    <t xml:space="preserve"> DreamCemetery </t>
  </si>
  <si>
    <t xml:space="preserve"> #Desolation #UntoldSorrows </t>
  </si>
  <si>
    <t xml:space="preserve">Swept away by the river of regret, the currents of the past refusing to release. </t>
  </si>
  <si>
    <t xml:space="preserve"> RegretRiver </t>
  </si>
  <si>
    <t xml:space="preserve"> #Regret #PastCurrents </t>
  </si>
  <si>
    <t xml:space="preserve">Whispers of lost love linger in the attic of the heart, forgotten but not erased. </t>
  </si>
  <si>
    <t xml:space="preserve"> HeartAttic </t>
  </si>
  <si>
    <t xml:space="preserve"> #Loss #ForgottenLove </t>
  </si>
  <si>
    <t xml:space="preserve">In the gallery of broken promises, each shattered vow framed, a painful exhibition. </t>
  </si>
  <si>
    <t xml:space="preserve"> PromiseGallery </t>
  </si>
  <si>
    <t xml:space="preserve"> #Betrayal #ShatteredVows </t>
  </si>
  <si>
    <t xml:space="preserve">The echoes of solitude, a silent conversation between a soul and its shadows. </t>
  </si>
  <si>
    <t xml:space="preserve"> Solitude </t>
  </si>
  <si>
    <t xml:space="preserve"> EchoedConversation </t>
  </si>
  <si>
    <t xml:space="preserve"> #Solitude #ShadowConversation </t>
  </si>
  <si>
    <t xml:space="preserve">Dancing on sunshine, each step a celebration of the joy found in simple moments. </t>
  </si>
  <si>
    <t xml:space="preserve"> Joy </t>
  </si>
  <si>
    <t xml:space="preserve"> SunshineDancer </t>
  </si>
  <si>
    <t xml:space="preserve"> #Joy #SimpleMoments </t>
  </si>
  <si>
    <t xml:space="preserve">Laughter echoes in the air, a chorus of happiness that lifts the spirit higher. </t>
  </si>
  <si>
    <t xml:space="preserve"> Happiness </t>
  </si>
  <si>
    <t xml:space="preserve"> #Happiness #SpiritLifter </t>
  </si>
  <si>
    <t xml:space="preserve">In the garden of contentment, each bloom whispers tales of inner peace and joy. </t>
  </si>
  <si>
    <t xml:space="preserve"> GardenOfJoy </t>
  </si>
  <si>
    <t xml:space="preserve"> #Contentment #InnerPeace </t>
  </si>
  <si>
    <t xml:space="preserve">Chasing dreams under the vibrant sky, a journey fueled by hope and enthusiasm. </t>
  </si>
  <si>
    <t xml:space="preserve"> Enthusiasm </t>
  </si>
  <si>
    <t xml:space="preserve"> DreamChaser </t>
  </si>
  <si>
    <t xml:space="preserve"> #Enthusiasm #HopefulJourney </t>
  </si>
  <si>
    <t xml:space="preserve">Serenading the stars with a heart full of gratitude, a melody of thankfulness. </t>
  </si>
  <si>
    <t xml:space="preserve"> Gratitude </t>
  </si>
  <si>
    <t xml:space="preserve"> StarSerenader </t>
  </si>
  <si>
    <t xml:space="preserve"> #Gratitude #ThankfulMelody </t>
  </si>
  <si>
    <t xml:space="preserve">Basking in the glow of accomplishment, each milestone a stepping stone to happiness. </t>
  </si>
  <si>
    <t xml:space="preserve"> GlowAchiever </t>
  </si>
  <si>
    <t xml:space="preserve"> #Accomplishment #HappinessMilestone </t>
  </si>
  <si>
    <t xml:space="preserve">In the dance of positivity, every step is a rhythm, uplifting the soul in harmony. </t>
  </si>
  <si>
    <t xml:space="preserve"> Positivity </t>
  </si>
  <si>
    <t xml:space="preserve"> DanceHarmony </t>
  </si>
  <si>
    <t xml:space="preserve"> #Positivity #SoulUpliftment </t>
  </si>
  <si>
    <t xml:space="preserve">Overflowing with joy, a cup of laughter shared with friends, a moment cherished. </t>
  </si>
  <si>
    <t xml:space="preserve"> LaughterCup </t>
  </si>
  <si>
    <t xml:space="preserve"> #Joy #CherishedMoment </t>
  </si>
  <si>
    <t xml:space="preserve">Draped in the warmth of kindness, a quilt of compassion stitched with love. </t>
  </si>
  <si>
    <t xml:space="preserve"> Kindness </t>
  </si>
  <si>
    <t xml:space="preserve"> QuiltedCompassion </t>
  </si>
  <si>
    <t xml:space="preserve"> #Kindness #LoveStitches </t>
  </si>
  <si>
    <t xml:space="preserve">In the garden of friendships, each bloom a testament to the beauty of camaraderie. </t>
  </si>
  <si>
    <t xml:space="preserve"> Friendship </t>
  </si>
  <si>
    <t xml:space="preserve"> FriendshipGarden </t>
  </si>
  <si>
    <t xml:space="preserve"> #Friendship #CamaraderieBlooms </t>
  </si>
  <si>
    <t xml:space="preserve">In the embrace of love, each heartbeat is a melody, dancing to the rhythm of affection. </t>
  </si>
  <si>
    <t xml:space="preserve"> Love </t>
  </si>
  <si>
    <t xml:space="preserve"> MelodyOfLove </t>
  </si>
  <si>
    <t xml:space="preserve"> #Love #RhythmOfAffection </t>
  </si>
  <si>
    <t xml:space="preserve">Surrounded by the colors of joy, a canvas painted with laughter and endless smiles. </t>
  </si>
  <si>
    <t xml:space="preserve"> ColorfulLaughter </t>
  </si>
  <si>
    <t xml:space="preserve"> #Joy #EndlessSmiles </t>
  </si>
  <si>
    <t xml:space="preserve">In the symphony of excitement, each note is a burst of energy, igniting the soul with fervor. </t>
  </si>
  <si>
    <t xml:space="preserve"> SymphonyFervor </t>
  </si>
  <si>
    <t xml:space="preserve"> #Excitement #IgnitedSoul </t>
  </si>
  <si>
    <t xml:space="preserve">A surprise gift, wrapped in anticipation, unfolds a moment of delight and wonder. </t>
  </si>
  <si>
    <t xml:space="preserve"> Surprise </t>
  </si>
  <si>
    <t xml:space="preserve"> WrappedDelight </t>
  </si>
  <si>
    <t xml:space="preserve"> #Surprise #WonderfulMoment </t>
  </si>
  <si>
    <t xml:space="preserve">Lost in the maze of curiosity, each twist and turn unveils the treasures of discovery. </t>
  </si>
  <si>
    <t xml:space="preserve"> MazeDiscovery </t>
  </si>
  <si>
    <t xml:space="preserve"> #Curiosity #TreasuresOfDiscovery </t>
  </si>
  <si>
    <t xml:space="preserve">Floating on clouds of gratitude, each raindrop a blessing, a shower of thankfulness. </t>
  </si>
  <si>
    <t xml:space="preserve"> CloudsOfBlessings </t>
  </si>
  <si>
    <t xml:space="preserve"> #Gratitude #ShowerOfThankfulness </t>
  </si>
  <si>
    <t xml:space="preserve">Like a comet of inspiration, streaking through the sky of creativity, leaving trails of brilliance. </t>
  </si>
  <si>
    <t xml:space="preserve"> CometCreativity </t>
  </si>
  <si>
    <t xml:space="preserve"> #Inspiration #BrilliantTrails </t>
  </si>
  <si>
    <t xml:space="preserve">In the celebration of success, fireworks of accomplishment light up the night sky of triumph. </t>
  </si>
  <si>
    <t xml:space="preserve"> Success </t>
  </si>
  <si>
    <t xml:space="preserve"> FireworksTriumph </t>
  </si>
  <si>
    <t xml:space="preserve"> #Success #NightSkyTriumph </t>
  </si>
  <si>
    <t xml:space="preserve">A symphony of laughter, each note a key to unlocking the door of boundless happiness. </t>
  </si>
  <si>
    <t xml:space="preserve"> LaughterSymphony </t>
  </si>
  <si>
    <t xml:space="preserve"> #Happiness #BoundlessLaughter </t>
  </si>
  <si>
    <t xml:space="preserve">In the carnival of emotions, the rollercoaster of thrill sends the heart on a wild ride. </t>
  </si>
  <si>
    <t xml:space="preserve"> Thrill </t>
  </si>
  <si>
    <t xml:space="preserve"> EmotionCarnival </t>
  </si>
  <si>
    <t xml:space="preserve"> #Thrill #WildHeartRide </t>
  </si>
  <si>
    <t xml:space="preserve">Standing before the grandeur of the Eiffel Tower, a moment to reflect on the beauty of Parisian dreams. </t>
  </si>
  <si>
    <t xml:space="preserve"> Reflection </t>
  </si>
  <si>
    <t xml:space="preserve"> ParisDreamer </t>
  </si>
  <si>
    <t xml:space="preserve"> #Reflection #ParisianDreams </t>
  </si>
  <si>
    <t xml:space="preserve">Lost in the enchantment of Disneyland, each ride a journey into the realm of childhood fantasies. </t>
  </si>
  <si>
    <t xml:space="preserve"> Enchantment </t>
  </si>
  <si>
    <t xml:space="preserve"> DisneylandExplorer </t>
  </si>
  <si>
    <t xml:space="preserve"> #Enchantment #ChildhoodFantasies </t>
  </si>
  <si>
    <t xml:space="preserve">Exploring the wonders of Ferrari World, the roar of engines creating a symphony of speed. </t>
  </si>
  <si>
    <t xml:space="preserve"> FerrariSpeedster </t>
  </si>
  <si>
    <t xml:space="preserve"> #Excitement #SymphonyOfSpeed </t>
  </si>
  <si>
    <t xml:space="preserve">Amidst the tulip fields of Keukenhof, a tapestry of colors that paints the soul with springtime joy. </t>
  </si>
  <si>
    <t xml:space="preserve"> KeukenhofAdventurer </t>
  </si>
  <si>
    <t xml:space="preserve"> #Joy #SpringtimeColors </t>
  </si>
  <si>
    <t xml:space="preserve"> Netherlands </t>
  </si>
  <si>
    <t xml:space="preserve">Wandering through the historical streets of Kyoto, each step a journey into the heart of Japan's traditions. </t>
  </si>
  <si>
    <t xml:space="preserve"> Exploration </t>
  </si>
  <si>
    <t xml:space="preserve"> KyotoAdventurer </t>
  </si>
  <si>
    <t xml:space="preserve"> #Exploration #JapaneseTraditions </t>
  </si>
  <si>
    <t xml:space="preserve">In the embrace of the Grand Canyon, nature's masterpiece, a moment to marvel at Earth's grandeur. </t>
  </si>
  <si>
    <t xml:space="preserve"> Awe </t>
  </si>
  <si>
    <t xml:space="preserve"> CanyonMarveler </t>
  </si>
  <si>
    <t xml:space="preserve"> #Awe #EarthsGrandeur </t>
  </si>
  <si>
    <t xml:space="preserve">Journeying through the serenity of Santorini, where each sunset paints the sky with hues of tranquility. </t>
  </si>
  <si>
    <t xml:space="preserve"> SantoriniTraveler </t>
  </si>
  <si>
    <t xml:space="preserve"> #Serenity #SunsetHues </t>
  </si>
  <si>
    <t xml:space="preserve"> Greece </t>
  </si>
  <si>
    <t xml:space="preserve">Amazed by the architectural marvels of Petra, each stone telling tales of an ancient civilization. </t>
  </si>
  <si>
    <t xml:space="preserve"> Amazement </t>
  </si>
  <si>
    <t xml:space="preserve"> PetraExplorer </t>
  </si>
  <si>
    <t xml:space="preserve"> #Amazement #AncientTales </t>
  </si>
  <si>
    <t xml:space="preserve"> Jordan </t>
  </si>
  <si>
    <t xml:space="preserve">Embarking on a gondola ride in Venice, each canal reflecting the romance of this timeless city. </t>
  </si>
  <si>
    <t xml:space="preserve"> Romance </t>
  </si>
  <si>
    <t xml:space="preserve"> VeniceRomantic </t>
  </si>
  <si>
    <t xml:space="preserve"> #Romance #TimelessCity </t>
  </si>
  <si>
    <t xml:space="preserve">At the summit of Machu Picchu, a breathtaking panorama that whispers the secrets of ancient civilizations. </t>
  </si>
  <si>
    <t xml:space="preserve"> MachuPicchuAdventurer </t>
  </si>
  <si>
    <t xml:space="preserve"> #Awe #AncientCivilizations </t>
  </si>
  <si>
    <t xml:space="preserve"> Peru </t>
  </si>
  <si>
    <t xml:space="preserve">In the heart of New York City, Times Square dazzles with lights, a vibrant spectacle of urban energy. </t>
  </si>
  <si>
    <t xml:space="preserve"> TimesSquareExplorer </t>
  </si>
  <si>
    <t xml:space="preserve"> #Excitement #UrbanEnergy </t>
  </si>
  <si>
    <t xml:space="preserve">Captivated by the historical charm of the Colosseum, each stone echoing tales of gladiator valor. </t>
  </si>
  <si>
    <t xml:space="preserve"> Captivation </t>
  </si>
  <si>
    <t xml:space="preserve"> ColosseumAdventurer </t>
  </si>
  <si>
    <t xml:space="preserve"> #Captivation #GladiatorTales </t>
  </si>
  <si>
    <t xml:space="preserve">Sailing the azure waters of the Maldives, each wave a whisper of serenity in paradise. </t>
  </si>
  <si>
    <t xml:space="preserve"> MaldivesSailor </t>
  </si>
  <si>
    <t xml:space="preserve"> #Serenity #ParadiseWhispers </t>
  </si>
  <si>
    <t xml:space="preserve"> Maldives </t>
  </si>
  <si>
    <t xml:space="preserve">In the midst of the Amazon rainforest, a symphony of wildlife creates an orchestra of nature's wonders. </t>
  </si>
  <si>
    <t xml:space="preserve"> Wonder </t>
  </si>
  <si>
    <t xml:space="preserve"> AmazonExplorer </t>
  </si>
  <si>
    <t xml:space="preserve"> #Wonder #NatureOrchestra </t>
  </si>
  <si>
    <t xml:space="preserve">Walking the Great Wall of China, each step a testament to ancient engineering marvels. </t>
  </si>
  <si>
    <t xml:space="preserve"> GreatWallWalker </t>
  </si>
  <si>
    <t xml:space="preserve"> #Awe #EngineeringMarvels </t>
  </si>
  <si>
    <t xml:space="preserve"> China </t>
  </si>
  <si>
    <t xml:space="preserve">At the summit of Mount Fuji, a breathtaking sunrise that paints the sky with hues of accomplishment. </t>
  </si>
  <si>
    <t xml:space="preserve"> FujiSummitAchiever </t>
  </si>
  <si>
    <t xml:space="preserve"> #Accomplishment #SunriseHues </t>
  </si>
  <si>
    <t xml:space="preserve">Exploring the ancient ruins of Angkor Wat, each stone whispering stories of Khmer civilization. </t>
  </si>
  <si>
    <t xml:space="preserve"> AngkorWatAdventurer </t>
  </si>
  <si>
    <t xml:space="preserve"> #Exploration #KhmerStories </t>
  </si>
  <si>
    <t xml:space="preserve"> Cambodia </t>
  </si>
  <si>
    <t xml:space="preserve">Skiing down the slopes of the Swiss Alps, each turn a dance with the majesty of snow-capped peaks. </t>
  </si>
  <si>
    <t xml:space="preserve"> AlpsSkiAdventurer </t>
  </si>
  <si>
    <t xml:space="preserve"> #Adventure #SnowPeakDance </t>
  </si>
  <si>
    <t xml:space="preserve"> Switzerland </t>
  </si>
  <si>
    <t xml:space="preserve">In the tranquility of Kyoto's bamboo forest, whispers of ancient Zen wisdom echo through the groves. </t>
  </si>
  <si>
    <t xml:space="preserve"> Tranquility </t>
  </si>
  <si>
    <t xml:space="preserve"> KyotoBambooSeeker </t>
  </si>
  <si>
    <t xml:space="preserve"> #Tranquility #ZenWisdom </t>
  </si>
  <si>
    <t xml:space="preserve">Cruising the fjords of Norway, each icy landscape a breathtaking masterpiece of nature's grandeur. </t>
  </si>
  <si>
    <t xml:space="preserve"> Grandeur </t>
  </si>
  <si>
    <t xml:space="preserve"> NorwayFjordExplorer </t>
  </si>
  <si>
    <t xml:space="preserve"> #Grandeur #IcyMasterpiece </t>
  </si>
  <si>
    <t xml:space="preserve"> Norway </t>
  </si>
  <si>
    <t xml:space="preserve">At the front row of Adele's concert, each note of 'Someone Like You' resonates with soul-stirring emotion. </t>
  </si>
  <si>
    <t xml:space="preserve"> Emotion </t>
  </si>
  <si>
    <t xml:space="preserve"> AdeleConcertGoer </t>
  </si>
  <si>
    <t xml:space="preserve"> #Emotion #AdeleConcert </t>
  </si>
  <si>
    <t xml:space="preserve">Dancing under the stars at BeyoncÃ©'s live show, feeling the power of 'Single Ladies' in every move. </t>
  </si>
  <si>
    <t xml:space="preserve"> Energy </t>
  </si>
  <si>
    <t xml:space="preserve"> BeyonceDancer </t>
  </si>
  <si>
    <t xml:space="preserve"> #Energy #BeyonceConcert </t>
  </si>
  <si>
    <t xml:space="preserve">In the crowd of a Taylor Swift concert, the lyrics of 'Love Story' create an enchanting fairy tale. </t>
  </si>
  <si>
    <t xml:space="preserve"> SwiftieDreamer </t>
  </si>
  <si>
    <t xml:space="preserve"> #Enchantment #TaylorSwift </t>
  </si>
  <si>
    <t xml:space="preserve">Rocking out to the guitar solos at a Queen tribute concert, a journey back in time with Freddie's spirit. </t>
  </si>
  <si>
    <t xml:space="preserve"> QueenTributeFan </t>
  </si>
  <si>
    <t xml:space="preserve"> #Nostalgia #QueenTribute </t>
  </si>
  <si>
    <t xml:space="preserve">Swaying to Ed Sheeran's acoustic melodies, a serene evening filled with 'Perfect' moments. </t>
  </si>
  <si>
    <t xml:space="preserve"> SheeranMelodyLover </t>
  </si>
  <si>
    <t xml:space="preserve"> #Serenity #EdSheeranConcert </t>
  </si>
  <si>
    <t xml:space="preserve">Immersed in the pulsating beats of a Bruno Mars concert, where 'Uptown Funk' becomes a city of joy. </t>
  </si>
  <si>
    <t xml:space="preserve"> MarsJoyExplorer </t>
  </si>
  <si>
    <t xml:space="preserve"> #Joy #BrunoMars </t>
  </si>
  <si>
    <t xml:space="preserve">At a Michael Jackson tribute show, moonwalking through the hits, a celebration of the King of Pop. </t>
  </si>
  <si>
    <t xml:space="preserve"> Celebration </t>
  </si>
  <si>
    <t xml:space="preserve"> MJTributeDancer </t>
  </si>
  <si>
    <t xml:space="preserve"> #Celebration #MJTribute </t>
  </si>
  <si>
    <t xml:space="preserve">Swinging to the rhythms of a Frank Sinatra tribute, feeling the timeless charm of 'Fly Me to the Moon'. </t>
  </si>
  <si>
    <t xml:space="preserve"> Charm </t>
  </si>
  <si>
    <t xml:space="preserve"> SinatraCharmListener </t>
  </si>
  <si>
    <t xml:space="preserve"> #Charm #SinatraTribute </t>
  </si>
  <si>
    <t xml:space="preserve">In the mosh pit of a Metallica concert, the thunderous chords create a symphony of headbanging ecstasy. </t>
  </si>
  <si>
    <t xml:space="preserve"> Ecstasy </t>
  </si>
  <si>
    <t xml:space="preserve"> MetallicaMoshWarrior </t>
  </si>
  <si>
    <t xml:space="preserve"> #Ecstasy #MetallicaConcert </t>
  </si>
  <si>
    <t xml:space="preserve">Experiencing the magic of a Coldplay concert, where 'Fix You' becomes a beacon of hope in the night. </t>
  </si>
  <si>
    <t xml:space="preserve"> Hope </t>
  </si>
  <si>
    <t xml:space="preserve"> ColdplayHopeSeeker </t>
  </si>
  <si>
    <t xml:space="preserve"> #Hope #ColdplayMagic </t>
  </si>
  <si>
    <t xml:space="preserve">At a Justin Bieber concert, the infectious beats of 'Baby' create a dance floor of unbridled enthusiasm. </t>
  </si>
  <si>
    <t xml:space="preserve"> BieberDanceEnthusiast </t>
  </si>
  <si>
    <t xml:space="preserve"> #Enthusiasm #JustinBieber </t>
  </si>
  <si>
    <t xml:space="preserve">In the spotlight at a Lady Gaga show, each costume change is a metamorphosis of creativity and artistry. </t>
  </si>
  <si>
    <t xml:space="preserve"> Creativity </t>
  </si>
  <si>
    <t xml:space="preserve"> GagaArtisticChameleon </t>
  </si>
  <si>
    <t xml:space="preserve"> #Creativity #LadyGaga </t>
  </si>
  <si>
    <t xml:space="preserve">Immersed in the soulful melodies of Adele, tears flow freely, moved by the emotion of 'Hello'. </t>
  </si>
  <si>
    <t xml:space="preserve"> AdeleMelodyTearjerker </t>
  </si>
  <si>
    <t xml:space="preserve"> #Emotion #AdeleMelodies </t>
  </si>
  <si>
    <t xml:space="preserve">Drenched in confetti at a Katy Perry concert, a kaleidoscope of colors igniting the night sky. </t>
  </si>
  <si>
    <t xml:space="preserve"> Colorful </t>
  </si>
  <si>
    <t xml:space="preserve"> KatyPerryColorExplosion </t>
  </si>
  <si>
    <t xml:space="preserve"> #Colorful #KatyPerry </t>
  </si>
  <si>
    <t xml:space="preserve">In the audience of a Jay-Z performance, the lyrics of 'Empire State of Mind' become an anthem of pride. </t>
  </si>
  <si>
    <t xml:space="preserve"> Pride </t>
  </si>
  <si>
    <t xml:space="preserve"> JayZEmpireListener </t>
  </si>
  <si>
    <t xml:space="preserve"> #Pride #JayZAnthem </t>
  </si>
  <si>
    <t xml:space="preserve">Dancing to Shakira's rhythmic beats, hips swaying to the hypnotic charm of 'Hips Don't Lie'. </t>
  </si>
  <si>
    <t xml:space="preserve"> Hypnotic </t>
  </si>
  <si>
    <t xml:space="preserve"> ShakiraHipsDancer </t>
  </si>
  <si>
    <t xml:space="preserve"> #Hypnotic #ShakiraRhythms </t>
  </si>
  <si>
    <t xml:space="preserve"> Colombia </t>
  </si>
  <si>
    <t xml:space="preserve">At a U2 concert, the anthemic chords of 'With or Without You' create a timeless moment of connection. </t>
  </si>
  <si>
    <t xml:space="preserve"> Connection </t>
  </si>
  <si>
    <t xml:space="preserve"> U2ConnectionSeeker </t>
  </si>
  <si>
    <t xml:space="preserve"> #Connection #U2Anthem </t>
  </si>
  <si>
    <t xml:space="preserve"> Ireland </t>
  </si>
  <si>
    <t xml:space="preserve">Rocking out at a Guns N' Roses show, the iconic riffs of 'Sweet Child o' Mine' echoing in the night. </t>
  </si>
  <si>
    <t xml:space="preserve"> Iconic </t>
  </si>
  <si>
    <t xml:space="preserve"> GunsNRosesRiffRockstar </t>
  </si>
  <si>
    <t xml:space="preserve"> #Iconic #GNRConcert </t>
  </si>
  <si>
    <t xml:space="preserve">In the crowd of an Ariana Grande concert, the high notes of 'Into You' create a euphoric symphony. </t>
  </si>
  <si>
    <t xml:space="preserve"> Euphoria </t>
  </si>
  <si>
    <t xml:space="preserve"> ArianaEuphoriaChaser </t>
  </si>
  <si>
    <t xml:space="preserve"> #Euphoria #ArianaGrande </t>
  </si>
  <si>
    <t xml:space="preserve">Swaying to the reggae vibes of Bob Marley's tribute concert, each chord a journey to Jamaica's soul. </t>
  </si>
  <si>
    <t xml:space="preserve"> Journey </t>
  </si>
  <si>
    <t xml:space="preserve"> MarleyReggaeTraveler </t>
  </si>
  <si>
    <t xml:space="preserve"> #Journey #BobMarleyTribute </t>
  </si>
  <si>
    <t xml:space="preserve"> Jamaica </t>
  </si>
  <si>
    <t xml:space="preserve">Captivated by the spellbinding plot twists, the audience applauds, experiencing a rollercoaster of emotions at the movie premiere. </t>
  </si>
  <si>
    <t xml:space="preserve"> MovieEnthusiastPremiereAttendee </t>
  </si>
  <si>
    <t xml:space="preserve"> #Excitement #MoviePremiereThrills </t>
  </si>
  <si>
    <t xml:space="preserve">As the credits roll, a profound sense of nostalgia washes over, reminiscent of cherished moments in classic films. </t>
  </si>
  <si>
    <t xml:space="preserve"> FilmLoverNostalgiaSeeker </t>
  </si>
  <si>
    <t xml:space="preserve"> #Nostalgia #ClassicFilmMoments </t>
  </si>
  <si>
    <t xml:space="preserve">Streaming the latest web series, the viewer is engrossed in the characters' journey, feeling a sense of connection and empathy. </t>
  </si>
  <si>
    <t xml:space="preserve"> Engagement </t>
  </si>
  <si>
    <t xml:space="preserve"> WebSeriesViewerCharacterConnection </t>
  </si>
  <si>
    <t xml:space="preserve"> #Engagement #WebSeriesJourney </t>
  </si>
  <si>
    <t xml:space="preserve">At the film festival, the indie filmmaker's creation receives a standing ovation, evoking pride and a sense of accomplishment. </t>
  </si>
  <si>
    <t xml:space="preserve"> IndieFilmmakerFestivalSuccess </t>
  </si>
  <si>
    <t xml:space="preserve"> #Pride #IndieFilmSuccess </t>
  </si>
  <si>
    <t xml:space="preserve">Watching a heartwarming family drama, tears flow freely as the characters overcome challenges, leaving the viewer with a warm glow. </t>
  </si>
  <si>
    <t xml:space="preserve"> Touched </t>
  </si>
  <si>
    <t xml:space="preserve"> DramaEnthusiastHeartwarmingMoments </t>
  </si>
  <si>
    <t xml:space="preserve"> #Touched #FamilyDramaMoments </t>
  </si>
  <si>
    <t xml:space="preserve">At the Oscars, the actor graciously accepts an award, radiating joy and gratitude for the recognition of their outstanding performance. </t>
  </si>
  <si>
    <t xml:space="preserve"> AwardWinningActorOscarsRecipient </t>
  </si>
  <si>
    <t xml:space="preserve"> #Gratitude #OscarWinningMoment </t>
  </si>
  <si>
    <t xml:space="preserve">Discovering a hidden gem in the world of documentaries, the viewer is enlightened and inspired, feeling a renewed sense of curiosity. </t>
  </si>
  <si>
    <t xml:space="preserve"> DocumentaryEnthusiastHiddenGemFinder </t>
  </si>
  <si>
    <t xml:space="preserve"> #Inspiration #HiddenGemDiscovery </t>
  </si>
  <si>
    <t xml:space="preserve">As the movie credits roll, the viewer experiences a mix of awe and contemplation, pondering the deeper meanings woven into the storyline. </t>
  </si>
  <si>
    <t xml:space="preserve"> FilmBuffContemplativeViewer </t>
  </si>
  <si>
    <t xml:space="preserve"> #Contemplation #DeepMeanings </t>
  </si>
  <si>
    <t xml:space="preserve">Binge-watching a thrilling crime series, the suspense keeps the viewer on the edge of their seat, creating a rush of adrenaline. </t>
  </si>
  <si>
    <t xml:space="preserve"> Suspense </t>
  </si>
  <si>
    <t xml:space="preserve"> CrimeSeriesEnthusiastThrillSeeker </t>
  </si>
  <si>
    <t xml:space="preserve"> #Suspense #CrimeSeriesThrills </t>
  </si>
  <si>
    <t xml:space="preserve">As the closing scene unfolds, a sense of satisfaction washes over, completing the cinematic journey with a profound and fulfilling ending. </t>
  </si>
  <si>
    <t xml:space="preserve"> Satisfaction </t>
  </si>
  <si>
    <t xml:space="preserve"> FilmCriticSatisfactionSeeker </t>
  </si>
  <si>
    <t xml:space="preserve"> #Satisfaction #FulfillingEnding </t>
  </si>
  <si>
    <t xml:space="preserve">Celebrating a historic victory in the World Cup, the nation erupts in joy, united by the triumph of their football team. </t>
  </si>
  <si>
    <t xml:space="preserve"> FootballFanWorldCupCelebration </t>
  </si>
  <si>
    <t xml:space="preserve"> #Joy #WorldCupTriumph </t>
  </si>
  <si>
    <t xml:space="preserve">At the Olympics, the athlete's perseverance shines through, earning a gold medal and inspiring a generation with their remarkable achievement. </t>
  </si>
  <si>
    <t xml:space="preserve"> OlympicsEnthusiastGoldMedalWinner </t>
  </si>
  <si>
    <t xml:space="preserve"> #Inspiration #OlympicAchievement </t>
  </si>
  <si>
    <t xml:space="preserve">In the cricket championship, a nail-biting finish leaves fans on the edge of their seats, experiencing a rollercoaster of emotions. </t>
  </si>
  <si>
    <t xml:space="preserve"> CricketFanChampionshipThrills </t>
  </si>
  <si>
    <t xml:space="preserve"> #Excitement #CricketChampionship </t>
  </si>
  <si>
    <t xml:space="preserve">Witnessing a record-breaking marathon, spectators are filled with awe and admiration for the endurance and dedication of the runners. </t>
  </si>
  <si>
    <t xml:space="preserve"> Admiration </t>
  </si>
  <si>
    <t xml:space="preserve"> MarathonSpectatorRecordBreaking </t>
  </si>
  <si>
    <t xml:space="preserve"> #Admiration #MarathonRecords </t>
  </si>
  <si>
    <t xml:space="preserve"> Kenya </t>
  </si>
  <si>
    <t xml:space="preserve">In the tennis grand slam, a fierce rivalry unfolds, captivating fans with a display of skill and sportsmanship on the world stage. </t>
  </si>
  <si>
    <t xml:space="preserve"> TennisEnthusiastGrandSlamDrama </t>
  </si>
  <si>
    <t xml:space="preserve"> #Captivation #TennisRivalry </t>
  </si>
  <si>
    <t xml:space="preserve">Cheering for the underdog in the basketball finals, the crowd erupts in applause as the team defies odds to claim the championship title. </t>
  </si>
  <si>
    <t xml:space="preserve"> Triumph </t>
  </si>
  <si>
    <t xml:space="preserve"> BasketballFanUnderdogTriumph </t>
  </si>
  <si>
    <t xml:space="preserve"> #Triumph #BasketballFinals </t>
  </si>
  <si>
    <t xml:space="preserve">At the golf tournament, the golfer's precision and focus lead to a stunning victory, leaving spectators in awe of their exceptional skill. </t>
  </si>
  <si>
    <t xml:space="preserve"> GolfEnthusiastPrecisionVictory </t>
  </si>
  <si>
    <t xml:space="preserve"> #Awe #GolfVictory </t>
  </si>
  <si>
    <t xml:space="preserve"> Scotland </t>
  </si>
  <si>
    <t xml:space="preserve">Experiencing the thrill of a high-speed Formula 1 race, fans are on the edge of their seats as drivers compete for the championship. </t>
  </si>
  <si>
    <t xml:space="preserve"> F1FanHighSpeedRaceExcitement </t>
  </si>
  <si>
    <t xml:space="preserve"> #Thrill #Formula1Championship </t>
  </si>
  <si>
    <t xml:space="preserve">In the cycling world championship, the climber conquers challenging terrains, symbolizing determination and achievement against all odds. </t>
  </si>
  <si>
    <t xml:space="preserve"> CyclingEnthusiastWorldChampion </t>
  </si>
  <si>
    <t xml:space="preserve"> #Determination #CyclingChampion </t>
  </si>
  <si>
    <t xml:space="preserve">Witnessing a heartwarming comeback in the hockey finals, fans share tears of joy as the team secures a historic victory after adversity. </t>
  </si>
  <si>
    <t xml:space="preserve"> Heartwarming </t>
  </si>
  <si>
    <t xml:space="preserve"> HockeyFanComebackVictory </t>
  </si>
  <si>
    <t xml:space="preserve"> #Heartwarming #HockeyFinalsComeback </t>
  </si>
  <si>
    <t xml:space="preserve">After a series of defeats, the soccer team faces disappointment, struggling to find the silver lining in a challenging season. </t>
  </si>
  <si>
    <t xml:space="preserve"> SoccerFanTeamDefeats </t>
  </si>
  <si>
    <t xml:space="preserve"> #Disappointment #SoccerDefeats </t>
  </si>
  <si>
    <t xml:space="preserve">In the tennis tournament, a highly anticipated player experiences a setback, leaving fans in shock and questioning the unforeseen turn of events. </t>
  </si>
  <si>
    <t xml:space="preserve"> TennisEnthusiastUnexpectedSetback </t>
  </si>
  <si>
    <t xml:space="preserve"> #Frustration #TennisSetback </t>
  </si>
  <si>
    <t xml:space="preserve">Facing a defeat in the championship, the boxer reflects on the challenges, vowing to return stronger and more determined in the next bout. </t>
  </si>
  <si>
    <t xml:space="preserve"> BoxingFanChampionshipDefeat </t>
  </si>
  <si>
    <t xml:space="preserve"> #Reflection #BoxingDefeat </t>
  </si>
  <si>
    <t xml:space="preserve">In the midst of a cycling race, a tire blowout leads to frustration for the cyclist, who valiantly tries to overcome the unexpected obstacle. </t>
  </si>
  <si>
    <t xml:space="preserve"> Obstacle </t>
  </si>
  <si>
    <t xml:space="preserve"> CyclingEnthusiastTireBlowout </t>
  </si>
  <si>
    <t xml:space="preserve"> #Obstacle #CyclingFrustration </t>
  </si>
  <si>
    <t xml:space="preserve">The gymnast's unexpected fall during a routine sparks a wave of sympathy from the audience, highlighting the vulnerability of sports. </t>
  </si>
  <si>
    <t xml:space="preserve"> Sympathy </t>
  </si>
  <si>
    <t xml:space="preserve"> GymnasticsFanRoutineFall </t>
  </si>
  <si>
    <t xml:space="preserve"> #Sympathy #GymnasticsFall </t>
  </si>
  <si>
    <t xml:space="preserve">In the golf tournament, a missed crucial putt results in defeat, causing the golfer to reflect on the pressure of high-stakes competition. </t>
  </si>
  <si>
    <t xml:space="preserve"> Pressure </t>
  </si>
  <si>
    <t xml:space="preserve"> GolfEnthusiastMissedPutt </t>
  </si>
  <si>
    <t xml:space="preserve"> #Pressure #GolfDefeat </t>
  </si>
  <si>
    <t xml:space="preserve">Experiencing a series of losses in the basketball season, the team grapples with frustration, determined to turn the tide with renewed effort. </t>
  </si>
  <si>
    <t xml:space="preserve"> Renewed Effort </t>
  </si>
  <si>
    <t xml:space="preserve"> BasketballFanTeamLosses </t>
  </si>
  <si>
    <t xml:space="preserve"> #RenewedEffort #BasketballStruggles </t>
  </si>
  <si>
    <t xml:space="preserve">Despite meticulous training, the swimmer faces disappointment as a split-second miscalculation costs them the lead in a crucial race. </t>
  </si>
  <si>
    <t xml:space="preserve"> Miscalculation </t>
  </si>
  <si>
    <t xml:space="preserve"> SwimmingEnthusiastRaceSetback </t>
  </si>
  <si>
    <t xml:space="preserve"> #Miscalculation #SwimmingDisappointment </t>
  </si>
  <si>
    <t xml:space="preserve">The weightlifter's failed attempt at a personal record results in frustration, highlighting the challenging nature of pushing physical limits. </t>
  </si>
  <si>
    <t xml:space="preserve"> Challenge </t>
  </si>
  <si>
    <t xml:space="preserve"> WeightliftingFanFailedRecord </t>
  </si>
  <si>
    <t xml:space="preserve"> #Challenge #WeightliftingFailure </t>
  </si>
  <si>
    <t xml:space="preserve">In the midst of a soccer match, an unexpected own goal creates a moment of despair for the player, as teammates console and encourage them. </t>
  </si>
  <si>
    <t xml:space="preserve"> SoccerPlayerOwnGoalMoment </t>
  </si>
  <si>
    <t xml:space="preserve"> #Despair #OwnGoal </t>
  </si>
  <si>
    <t xml:space="preserve">In the serene beauty of a sunset, nature unfolds a canvas of colors, evoking a sense of tranquility and wonder. </t>
  </si>
  <si>
    <t xml:space="preserve"> NatureEnthusiastSunsetWonder </t>
  </si>
  <si>
    <t xml:space="preserve"> #Tranquility #SunsetBeauty </t>
  </si>
  <si>
    <t xml:space="preserve">Embarking on a spontaneous road trip, the traveler discovers hidden gems, creating memories that will be cherished for a lifetime. </t>
  </si>
  <si>
    <t xml:space="preserve"> TravelEnthusiastRoadTripDiscovery </t>
  </si>
  <si>
    <t xml:space="preserve"> #Adventure #RoadTripMemories </t>
  </si>
  <si>
    <t xml:space="preserve">Amidst the bustling city, a quiet cafÃ© becomes a sanctuary for reflection, where a cup of coffee brings solace to the wandering mind. </t>
  </si>
  <si>
    <t xml:space="preserve"> Solace </t>
  </si>
  <si>
    <t xml:space="preserve"> UrbanExplorerCafeSolitude </t>
  </si>
  <si>
    <t xml:space="preserve"> #Solace #CafeReflection </t>
  </si>
  <si>
    <t xml:space="preserve">Exploring the vibrant street art of a cultural neighborhood, each mural tells a story, infusing the city with creativity and expression. </t>
  </si>
  <si>
    <t xml:space="preserve"> ArtEnthusiastStreetArtExploration </t>
  </si>
  <si>
    <t xml:space="preserve"> #Creativity #StreetArtVibes </t>
  </si>
  <si>
    <t xml:space="preserve">In the world of science, a breakthrough discovery unfolds, pushing the boundaries of knowledge and opening new frontiers of exploration. </t>
  </si>
  <si>
    <t xml:space="preserve"> Breakthrough </t>
  </si>
  <si>
    <t xml:space="preserve"> ScienceEnthusiastDiscoveryMoment </t>
  </si>
  <si>
    <t xml:space="preserve"> #Breakthrough #ScientificDiscovery </t>
  </si>
  <si>
    <t xml:space="preserve">Connecting with the melody of a live orchestra, the music enthusiast experiences a symphony that resonates deep within the soul. </t>
  </si>
  <si>
    <t xml:space="preserve"> Harmony </t>
  </si>
  <si>
    <t xml:space="preserve"> MusicLoverLiveOrchestraExperience </t>
  </si>
  <si>
    <t xml:space="preserve"> #Harmony #OrchestraMelody </t>
  </si>
  <si>
    <t xml:space="preserve">Embracing the aroma of freshly baked bread, the home chef finds joy in the art of baking, creating delicious memories for loved ones. </t>
  </si>
  <si>
    <t xml:space="preserve"> Joy in Baking </t>
  </si>
  <si>
    <t xml:space="preserve"> HomeBakerDeliciousMemories </t>
  </si>
  <si>
    <t xml:space="preserve"> #JoyInBaking #HomemadeDelights </t>
  </si>
  <si>
    <t xml:space="preserve">Wandering through a historical museum, the history enthusiast becomes immersed in the tales of the past, envisioning bygone eras. </t>
  </si>
  <si>
    <t xml:space="preserve"> Envisioning History </t>
  </si>
  <si>
    <t xml:space="preserve"> HistoryBuffMuseumExploration </t>
  </si>
  <si>
    <t xml:space="preserve"> #EnvisioningHistory #MuseumTales </t>
  </si>
  <si>
    <t xml:space="preserve">In the realm of literature, a captivating novel transports the reader to distant lands, weaving a tapestry of imagination and escape. </t>
  </si>
  <si>
    <t xml:space="preserve"> Imagination </t>
  </si>
  <si>
    <t xml:space="preserve"> BookwormCaptivatingNovelEscape </t>
  </si>
  <si>
    <t xml:space="preserve"> #Imagination #LiteraryEscape </t>
  </si>
  <si>
    <t xml:space="preserve">Capturing the essence of a bustling market, the photographer freezes moments in time, each frame telling a unique and vibrant story. </t>
  </si>
  <si>
    <t xml:space="preserve"> Vibrancy </t>
  </si>
  <si>
    <t xml:space="preserve"> PhotographyEnthusiastMarketMoments </t>
  </si>
  <si>
    <t xml:space="preserve"> #Vibrancy #MarketStories </t>
  </si>
  <si>
    <t xml:space="preserve">Underneath the city lights, the dancer expresses emotions through graceful movements, creating a mesmerizing performance under the night sky. </t>
  </si>
  <si>
    <t xml:space="preserve"> Mesmerizing </t>
  </si>
  <si>
    <t xml:space="preserve"> DanceEnthusiastCityNightPerformance </t>
  </si>
  <si>
    <t xml:space="preserve"> #Mesmerizing #NightDancePerformance </t>
  </si>
  <si>
    <t xml:space="preserve">In the heart of a bustling market, the street food connoisseur indulges in a culinary adventure, savoring diverse flavors and aromas. </t>
  </si>
  <si>
    <t xml:space="preserve"> Culinary Adventure </t>
  </si>
  <si>
    <t xml:space="preserve"> FoodieMarketStreetFoodExploration </t>
  </si>
  <si>
    <t xml:space="preserve"> #CulinaryAdventure #StreetFoodDelights </t>
  </si>
  <si>
    <t xml:space="preserve"> Thailand </t>
  </si>
  <si>
    <t xml:space="preserve">As the first snowflake descends, the winter enthusiast eagerly prepares for a season of frosty delights, anticipating the magic of snow-covered landscapes. </t>
  </si>
  <si>
    <t xml:space="preserve"> Winter Magic </t>
  </si>
  <si>
    <t xml:space="preserve"> SnowLoverWinterEnthusiast </t>
  </si>
  <si>
    <t xml:space="preserve"> #WinterMagic #SnowyLandscapes </t>
  </si>
  <si>
    <t xml:space="preserve">Amidst the pages of a captivating mystery novel, the reader unravels clues and secrets, experiencing a thrilling journey of suspense and revelation. </t>
  </si>
  <si>
    <t xml:space="preserve"> Thrilling Journey </t>
  </si>
  <si>
    <t xml:space="preserve"> MysteryBookwormSuspensefulRead </t>
  </si>
  <si>
    <t xml:space="preserve"> #ThrillingJourney #MysteryNovel </t>
  </si>
  <si>
    <t xml:space="preserve">Surrounded by the vibrant colors of a flower garden, the gardener nurtures blossoms, finding joy in the beauty of nature's ever-changing canvas. </t>
  </si>
  <si>
    <t xml:space="preserve"> Nature's Beauty </t>
  </si>
  <si>
    <t xml:space="preserve"> GardeningEnthusiastFlowerGarden </t>
  </si>
  <si>
    <t xml:space="preserve"> #NaturesBeauty #FloralJoy </t>
  </si>
  <si>
    <t xml:space="preserve">At the astronomy observatory, the stargazer marvels at the vastness of the cosmos, contemplating the mysteries hidden within the celestial expanse. </t>
  </si>
  <si>
    <t xml:space="preserve"> Celestial Wonder </t>
  </si>
  <si>
    <t xml:space="preserve"> AstronomyEnthusiastStargazing </t>
  </si>
  <si>
    <t xml:space="preserve"> #CelestialWonder #Stargazing </t>
  </si>
  <si>
    <t xml:space="preserve">Engulfed in the aroma of freshly brewed coffee, the writer finds inspiration in every sip, embarking on a journey of creativity and prose. </t>
  </si>
  <si>
    <t xml:space="preserve"> Creative Inspiration </t>
  </si>
  <si>
    <t xml:space="preserve"> CoffeeLoverWritersRetreat </t>
  </si>
  <si>
    <t xml:space="preserve"> #CreativeInspiration #CoffeeJourney </t>
  </si>
  <si>
    <t xml:space="preserve">In the realm of fashion, the designer unveils a collection that tells a story, blending innovation and tradition on the runway of creativity. </t>
  </si>
  <si>
    <t xml:space="preserve"> Runway Creativity </t>
  </si>
  <si>
    <t xml:space="preserve"> FashionEnthusiastDesignerShowcase </t>
  </si>
  <si>
    <t xml:space="preserve"> #RunwayCreativity #FashionInnovation </t>
  </si>
  <si>
    <t xml:space="preserve">As the waves crash against the shore, the surfer embraces the thrill of riding the ocean's energy, capturing the essence of freedom in each wave. </t>
  </si>
  <si>
    <t xml:space="preserve"> Ocean's Freedom </t>
  </si>
  <si>
    <t xml:space="preserve"> SurfingEnthusiastWaveRider </t>
  </si>
  <si>
    <t xml:space="preserve"> #OceansFreedom #SurfingThrills </t>
  </si>
  <si>
    <t xml:space="preserve">Exploring the historical architecture of an ancient city, the traveler is transported to a bygone era, where each monument whispers tales of the past. </t>
  </si>
  <si>
    <t xml:space="preserve"> Whispers of the Past </t>
  </si>
  <si>
    <t xml:space="preserve"> HistoryExplorerAncientCityTour </t>
  </si>
  <si>
    <t xml:space="preserve"> #WhispersOfThePast #HistoricalTour </t>
  </si>
  <si>
    <t xml:space="preserve">Successfully avoided eye contact with my crush in the hallway. Mission accomplished. #TeenCrush #StealthMode </t>
  </si>
  <si>
    <t xml:space="preserve"> CrushAvoider </t>
  </si>
  <si>
    <t xml:space="preserve"> #CrushStruggles #AvoidingEyeContact </t>
  </si>
  <si>
    <t xml:space="preserve"> USA</t>
  </si>
  <si>
    <t xml:space="preserve">Ran out of snacks during a movie marathon. Crisis level: Emergency! #MovieNightStruggles #TeenProblems </t>
  </si>
  <si>
    <t xml:space="preserve"> Boredom </t>
  </si>
  <si>
    <t xml:space="preserve"> MovieBuff </t>
  </si>
  <si>
    <t xml:space="preserve"> #SnackCrisis #TeenLife </t>
  </si>
  <si>
    <t xml:space="preserve"> Canada</t>
  </si>
  <si>
    <t xml:space="preserve">Spent an hour choosing the perfect filter for a selfie. The struggle for that Instagram aesthetic is real. #SelfieQueen #TeenVibes </t>
  </si>
  <si>
    <t xml:space="preserve"> SelfieAddict </t>
  </si>
  <si>
    <t xml:space="preserve"> #SelfieStruggle #TeenConfessions </t>
  </si>
  <si>
    <t xml:space="preserve"> UK</t>
  </si>
  <si>
    <t xml:space="preserve">Lost my headphones again. How do they vanish into thin air? #HeadphoneMystery #TeenLife </t>
  </si>
  <si>
    <t xml:space="preserve"> AudioExplorer </t>
  </si>
  <si>
    <t xml:space="preserve"> #TeenProblems #LostHeadphones </t>
  </si>
  <si>
    <t xml:space="preserve">Decided to study for exams but ended up making memes about studying instead. Procrastination level: Expert. #ProcrastinationNation #TeenConfessions </t>
  </si>
  <si>
    <t xml:space="preserve"> MemeCreator </t>
  </si>
  <si>
    <t xml:space="preserve"> #StudyingMemes #TeenLife </t>
  </si>
  <si>
    <t xml:space="preserve">Got dressed for the day, then remembered it's Saturday. Oops. #WeekendVibes #TeenStruggles </t>
  </si>
  <si>
    <t xml:space="preserve"> Indifference </t>
  </si>
  <si>
    <t xml:space="preserve"> FashionBlunder </t>
  </si>
  <si>
    <t xml:space="preserve"> #WeekendOops #TeenFashion </t>
  </si>
  <si>
    <t xml:space="preserve">Survived a group project without any drama. Miracles do happen. #GroupProjectSuccess #TeenAchievements </t>
  </si>
  <si>
    <t xml:space="preserve"> GroupGenius </t>
  </si>
  <si>
    <t xml:space="preserve"> #TeenSuccess #ProjectMiracle </t>
  </si>
  <si>
    <t xml:space="preserve">Entered the kitchen with the intention to cook. Left with a bag of chips. Cooking is overrated, anyway. #MasterChefInTraining #TeenHumor </t>
  </si>
  <si>
    <t xml:space="preserve"> Disgust </t>
  </si>
  <si>
    <t xml:space="preserve"> ChipExplorer </t>
  </si>
  <si>
    <t xml:space="preserve"> #TeenChef #CookingFail </t>
  </si>
  <si>
    <t xml:space="preserve">Staring at the clock in class, waiting for the bell to ring like it's the most exciting event of the day. #ClassCountdown #TeenLife </t>
  </si>
  <si>
    <t xml:space="preserve"> ExcitementSeeker </t>
  </si>
  <si>
    <t xml:space="preserve"> #ClassEvent #TeenExcitement </t>
  </si>
  <si>
    <t xml:space="preserve">Discovered a new book series and spent the whole night reading. Who needs sleep, anyway? #BookwormLife #LateNightReading </t>
  </si>
  <si>
    <t xml:space="preserve"> NightReader </t>
  </si>
  <si>
    <t xml:space="preserve"> #BookDiscoveries #TeenReading </t>
  </si>
  <si>
    <t xml:space="preserve">Bought a new video game, played for hours, forgot to eat. The ultimate gaming session. #GamerLife #NoFoodGaming </t>
  </si>
  <si>
    <t xml:space="preserve"> GamingEnthusiast </t>
  </si>
  <si>
    <t xml:space="preserve"> #GameOn #TeenGamer </t>
  </si>
  <si>
    <t xml:space="preserve">Spent the day binge-watching a new series. Productivity level: Zero. #LazyDay #TVSeriesMarathon </t>
  </si>
  <si>
    <t xml:space="preserve"> LazyWatcher </t>
  </si>
  <si>
    <t xml:space="preserve"> #BingeWatchDay #TeenLife </t>
  </si>
  <si>
    <t xml:space="preserve">Caught up on the latest fashion trends and now planning a shopping spree. #Fashionista #TrendyTeen </t>
  </si>
  <si>
    <t xml:space="preserve"> TrendExplorer </t>
  </si>
  <si>
    <t xml:space="preserve"> #FashionGoals #TeenStyle </t>
  </si>
  <si>
    <t xml:space="preserve">Decided to learn a new instrument. Day one: Still trying to figure out how to hold it. #MusicNovice #LearningJourney </t>
  </si>
  <si>
    <t xml:space="preserve"> MusicalExplorer </t>
  </si>
  <si>
    <t xml:space="preserve"> #InstrumentLearning #TeenMusic </t>
  </si>
  <si>
    <t xml:space="preserve">Spent hours creating the perfect playlist for every mood. Music is my therapy. #PlaylistMaker #TeenMusicLover </t>
  </si>
  <si>
    <t xml:space="preserve"> MusicAficionado </t>
  </si>
  <si>
    <t xml:space="preserve"> #MusicTherapy #TeenPlaylist </t>
  </si>
  <si>
    <t xml:space="preserve">Successfully cooked a gourmet meal for the family. Chef skills unlocked! #ChefMode #TeenChef </t>
  </si>
  <si>
    <t xml:space="preserve"> HomeChef </t>
  </si>
  <si>
    <t xml:space="preserve"> #CookingSuccess #TeenCook </t>
  </si>
  <si>
    <t xml:space="preserve">Spontaneously booked a weekend getaway. Adventure awaits! #TravelBug #WeekendEscape </t>
  </si>
  <si>
    <t xml:space="preserve"> AdventureSeeker </t>
  </si>
  <si>
    <t xml:space="preserve"> #GetawayGoals #TeenTravel </t>
  </si>
  <si>
    <t xml:space="preserve">Attended a concert and danced the night away. Music is the heartbeat of life. #ConcertVibes #DanceAllNight </t>
  </si>
  <si>
    <t xml:space="preserve"> #MusicMagic #TeenConcert </t>
  </si>
  <si>
    <t xml:space="preserve">Rediscovered childhood cartoons and had a nostalgia-filled marathon. #CartoonNostalgia #TeenMemories </t>
  </si>
  <si>
    <t xml:space="preserve"> NostalgiaExplorer </t>
  </si>
  <si>
    <t xml:space="preserve"> #ChildhoodMemories #TeenCartoons </t>
  </si>
  <si>
    <t xml:space="preserve">Embarked on a DIY home decor project. Let's hope it turns out better than last time. #DIYAdventure #TeenHomeDecor </t>
  </si>
  <si>
    <t xml:space="preserve"> HomeDecorator </t>
  </si>
  <si>
    <t xml:space="preserve"> #DIYGoals #TeenCreative </t>
  </si>
  <si>
    <t xml:space="preserve">Spent the afternoon at a museum, pretending to be cultured. Art enthusiast in the making. #MuseumDay #TeenArtLover </t>
  </si>
  <si>
    <t xml:space="preserve"> ArtExplorer </t>
  </si>
  <si>
    <t xml:space="preserve"> #CulturalDay #TeenCuriosity </t>
  </si>
  <si>
    <t xml:space="preserve">Started a blog about random thoughts and musings. Blogging is the new diary. #BloggerLife #TeenBlogger </t>
  </si>
  <si>
    <t xml:space="preserve"> ThoughtfulBlogger </t>
  </si>
  <si>
    <t xml:space="preserve"> #BloggingJourney #TeenThoughts </t>
  </si>
  <si>
    <t xml:space="preserve">Relishing a peaceful afternoon with a classic novel. Quiet moments are the best moments. #BookLover #PeacefulAfternoon </t>
  </si>
  <si>
    <t xml:space="preserve"> NovelEnthusiast </t>
  </si>
  <si>
    <t xml:space="preserve"> #QuietMoments #BookishEscape </t>
  </si>
  <si>
    <t xml:space="preserve">Reflecting on a lifetime of memories, each wrinkle tells a story. Embracing the beauty of aging. #LifeReflections #BeautyInAging </t>
  </si>
  <si>
    <t xml:space="preserve"> WiseSoul </t>
  </si>
  <si>
    <t xml:space="preserve"> #AgingGracefully #Memories </t>
  </si>
  <si>
    <t xml:space="preserve">Exploring the world of digital art. It's never too late to discover new passions. #DigitalArtistry #LateBloomer </t>
  </si>
  <si>
    <t xml:space="preserve"> ArtAdventurer </t>
  </si>
  <si>
    <t xml:space="preserve"> #ArtDiscovery #SeniorArtist </t>
  </si>
  <si>
    <t xml:space="preserve">Savoring the flavors of a home-cooked meal. Simple joys are the heart of happiness. #HomeCooking #SimpleJoys </t>
  </si>
  <si>
    <t xml:space="preserve"> HomeChefSenior </t>
  </si>
  <si>
    <t xml:space="preserve"> #HappinessInFood #SeniorLife </t>
  </si>
  <si>
    <t xml:space="preserve">Embarking on a journey of learning a new language. The mind stays young with every new word. #LanguageLearning #NeverTooLate </t>
  </si>
  <si>
    <t xml:space="preserve"> LinguisticExplorer </t>
  </si>
  <si>
    <t xml:space="preserve"> #MindEnrichment #SeniorLearning </t>
  </si>
  <si>
    <t xml:space="preserve">Attended a classical music concert, feeling the timeless melodies resonate. Music transcends generations. #ClassicalMusic #TimelessMelodies </t>
  </si>
  <si>
    <t xml:space="preserve"> MusicConnoisseur </t>
  </si>
  <si>
    <t xml:space="preserve"> #MusicLover #SeniorConcert </t>
  </si>
  <si>
    <t xml:space="preserve">Capturing the beauty of nature through photography. Every snapshot is a treasure. #NaturePhotography #SeniorPhotographer </t>
  </si>
  <si>
    <t xml:space="preserve"> PhotographySenior </t>
  </si>
  <si>
    <t xml:space="preserve"> #NatureCapture #SeniorMoments </t>
  </si>
  <si>
    <t xml:space="preserve">Reconnecting with old friends over a cup of tea. Friendship, the true essence of companionship. #OldFriends #Companionship </t>
  </si>
  <si>
    <t xml:space="preserve"> TeaTimeSenior </t>
  </si>
  <si>
    <t xml:space="preserve"> #FriendshipGoals #SeniorBonding </t>
  </si>
  <si>
    <t xml:space="preserve">Embarked on a road trip to revisit cherished places from the past. Nostalgia, the ultimate travel companion. #RoadTrip #NostalgiaTour </t>
  </si>
  <si>
    <t xml:space="preserve"> RoadTripSenior </t>
  </si>
  <si>
    <t xml:space="preserve"> #CherishedPlaces #SeniorTravel </t>
  </si>
  <si>
    <t xml:space="preserve">Joined a community choir, harmonizing with fellow voices. Music creates bonds that withstand time. #CommunityChoir #HarmonyInAging </t>
  </si>
  <si>
    <t xml:space="preserve"> ChoirEnthusiast </t>
  </si>
  <si>
    <t xml:space="preserve"> #MusicHarmony #SeniorVoices </t>
  </si>
  <si>
    <t xml:space="preserve">Exploring the art of meditation, finding tranquility in the stillness of the mind. #MeditationJourney #TranquilMind </t>
  </si>
  <si>
    <t xml:space="preserve"> MeditationSenior </t>
  </si>
  <si>
    <t xml:space="preserve"> #MindfulLiving #SeniorCalm </t>
  </si>
  <si>
    <t xml:space="preserve">Taking a stroll in the garden, appreciating the beauty of blooming flowers. Nature's wonders never cease. #GardenWalk #FloralBeauty </t>
  </si>
  <si>
    <t xml:space="preserve"> #NatureWonders #SeniorGarden </t>
  </si>
  <si>
    <t xml:space="preserve">Sipping on a favorite vintage wine, each sip telling a story of the years gone by. Cheers to a life well-lived. #WineLover #VintageCheers </t>
  </si>
  <si>
    <t xml:space="preserve"> WineConnoisseur </t>
  </si>
  <si>
    <t xml:space="preserve"> #LifeWellLived #SeniorWine </t>
  </si>
  <si>
    <t xml:space="preserve">Participated in a community art class, unleashing creativity in the golden years. Art has no age limit. #ArtClass #SeniorArtistry </t>
  </si>
  <si>
    <t xml:space="preserve"> ArtisticSenior </t>
  </si>
  <si>
    <t xml:space="preserve"> #CreativityAtAnyAge #SeniorCreativity </t>
  </si>
  <si>
    <t xml:space="preserve">Embarking on a journey of writing a memoir, documenting a lifetime of experiences. Every story matters. #MemoirWriting #SeniorStories </t>
  </si>
  <si>
    <t xml:space="preserve"> MemoiristSenior </t>
  </si>
  <si>
    <t xml:space="preserve"> #LifetimeExperiences #SeniorMemoir </t>
  </si>
  <si>
    <t xml:space="preserve">Attended a lecture on history, always fascinated by the lessons from the past. Learning is a lifelong adventure. #HistoryLecture #SeniorLearning </t>
  </si>
  <si>
    <t xml:space="preserve"> HistoryEnthusiast </t>
  </si>
  <si>
    <t xml:space="preserve"> #LifetimeAdventure #SeniorCuriosity </t>
  </si>
  <si>
    <t xml:space="preserve">Rediscovered the joy of cooking traditional family recipes. The kitchen, a place of cherished memories. #FamilyRecipes #SeniorCooking </t>
  </si>
  <si>
    <t xml:space="preserve"> FamilyChefSenior </t>
  </si>
  <si>
    <t xml:space="preserve"> #KitchenMemories #SeniorCulinary </t>
  </si>
  <si>
    <t xml:space="preserve">Joined a nature photography club, capturing the beauty of the great outdoors. Every click is a connection to nature. #NaturePhotography #SeniorPhotographer </t>
  </si>
  <si>
    <t xml:space="preserve"> NaturePhotographySenior </t>
  </si>
  <si>
    <t xml:space="preserve"> #OutdoorBeauty #SeniorClicks </t>
  </si>
  <si>
    <t xml:space="preserve">Attended a jazz concert and swayed to the rhythm of timeless tunes. Music, a constant companion in the golden years. #JazzConcert #SeniorMusic </t>
  </si>
  <si>
    <t xml:space="preserve"> JazzMusicLover </t>
  </si>
  <si>
    <t xml:space="preserve"> #TimelessTunes #SeniorJazz </t>
  </si>
  <si>
    <t xml:space="preserve">Joined a writing group, penning down thoughts and reflections. Writing, a journey into the depths of the soul. #WritingGroup #SeniorWriter </t>
  </si>
  <si>
    <t xml:space="preserve"> SeniorWordsmith </t>
  </si>
  <si>
    <t xml:space="preserve"> #SoulfulWriting #SeniorReflections </t>
  </si>
  <si>
    <t xml:space="preserve">Embarked on a solo travel adventure, discovering the beauty of new places at my own pace. #SoloTravel #SeniorExplorer </t>
  </si>
  <si>
    <t xml:space="preserve"> SoloAdventurer </t>
  </si>
  <si>
    <t xml:space="preserve"> #DiscoverNewPlaces #SeniorTravel </t>
  </si>
  <si>
    <t xml:space="preserve">Attended a vintage car show, reminiscing about the classics that once ruled the roads. Nostalgia in every rev. #VintageCars #ClassicRides </t>
  </si>
  <si>
    <t xml:space="preserve"> CarEnthusiastSenior </t>
  </si>
  <si>
    <t xml:space="preserve"> #RoadTripDownMemoryLane #SeniorCars </t>
  </si>
  <si>
    <t xml:space="preserve">Started a community garden, growing not just plants but friendships too. Green thumbs unite! #CommunityGarden #SeniorGardener </t>
  </si>
  <si>
    <t xml:space="preserve"> GreenThumbSenior </t>
  </si>
  <si>
    <t xml:space="preserve"> #GardenFriends #SeniorGreenThumb </t>
  </si>
  <si>
    <t xml:space="preserve">Hosted a family dinner, where laughter echoed louder than the clinking of utensils. Family, the heart of happiness. #FamilyDinner #SeniorHost </t>
  </si>
  <si>
    <t xml:space="preserve"> FamilyHostSenior </t>
  </si>
  <si>
    <t xml:space="preserve"> #HeartwarmingMoments #SeniorFamily </t>
  </si>
  <si>
    <t xml:space="preserve">Enrolled in a dance class for seniors, moving to the rhythm of life. Age is just a number on the dance floor. #DanceClass #SeniorDancer </t>
  </si>
  <si>
    <t xml:space="preserve"> DanceEnthusiastSenior </t>
  </si>
  <si>
    <t xml:space="preserve"> #DanceLife #SeniorMoves </t>
  </si>
  <si>
    <t xml:space="preserve">Visited an art gallery, appreciating the brushstrokes that tell tales of creativity. Art, an eternal companion. #ArtGallery #SeniorArtLover </t>
  </si>
  <si>
    <t xml:space="preserve"> ArtGalleryVisitor </t>
  </si>
  <si>
    <t xml:space="preserve"> #CreativeExpressions #SeniorArt </t>
  </si>
  <si>
    <t xml:space="preserve">Started a book club for seniors, where discussions are as lively as the characters in the novels. #BookClub #SeniorReaders </t>
  </si>
  <si>
    <t xml:space="preserve"> SeniorBookClub </t>
  </si>
  <si>
    <t xml:space="preserve"> #BookishTalks #SeniorBookworms </t>
  </si>
  <si>
    <t xml:space="preserve">Hosted a picnic in the park, basking in the warmth of friendship and sunshine. Simple joys, timeless memories. #ParkPicnic #SeniorJoy </t>
  </si>
  <si>
    <t xml:space="preserve"> SeniorPicnicHost </t>
  </si>
  <si>
    <t xml:space="preserve"> #FriendshipSunshine #SeniorMemories </t>
  </si>
  <si>
    <t xml:space="preserve">Participated in a local theater production, proving that the stage belongs to every age. #TheaterProduction #SeniorActor </t>
  </si>
  <si>
    <t xml:space="preserve"> SeniorActor </t>
  </si>
  <si>
    <t xml:space="preserve"> #StagePassion #SeniorTheater </t>
  </si>
  <si>
    <t xml:space="preserve">Embarked on a hiking adventure, conquering trails and relishing the beauty of nature. Age is just a number on the mountaintop. #HikingAdventure #SeniorHiker </t>
  </si>
  <si>
    <t xml:space="preserve"> SeniorHikerExplorer </t>
  </si>
  <si>
    <t xml:space="preserve"> #NatureTrailBlazer #SeniorExplorer </t>
  </si>
  <si>
    <t xml:space="preserve">Hosted a photography exhibition featuring snapshots of a life well-lived. Every photo has a story to tell. #PhotographyExhibition #SeniorPhotographer </t>
  </si>
  <si>
    <t xml:space="preserve"> SeniorPhotographerExhibitor </t>
  </si>
  <si>
    <t xml:space="preserve"> #LifeInPictures #SeniorExhibition </t>
  </si>
  <si>
    <t xml:space="preserve">Joined a seniors' cycling club, feeling the wind in my hair and the freedom of the open road. #CyclingClub #SeniorCyclist </t>
  </si>
  <si>
    <t xml:space="preserve"> SeniorCyclingEnthusiast </t>
  </si>
  <si>
    <t xml:space="preserve"> #OpenRoadAdventures #SeniorCycling </t>
  </si>
  <si>
    <t xml:space="preserve">Attended a wine tasting event, savoring the richness of flavors that age like fine wine. Cheers to the golden years! #WineTasting #SeniorWineLover </t>
  </si>
  <si>
    <t xml:space="preserve"> SeniorWineConnoisseur </t>
  </si>
  <si>
    <t xml:space="preserve"> #AgedToPerfection #SeniorCheers </t>
  </si>
  <si>
    <t xml:space="preserve">Started learning ballroom dancing, gliding gracefully across the dance floor. Ageless elegance in every step. #BallroomDancing #SeniorDancer </t>
  </si>
  <si>
    <t xml:space="preserve"> SeniorBallroomDancer </t>
  </si>
  <si>
    <t xml:space="preserve"> #GracefulMoves #SeniorDance </t>
  </si>
  <si>
    <t xml:space="preserve">Organized a community painting event, turning blank canvases into a masterpiece of shared creativity. #PaintingEvent #SeniorArtist </t>
  </si>
  <si>
    <t xml:space="preserve"> SeniorPaintingOrganizer </t>
  </si>
  <si>
    <t xml:space="preserve"> #CommunityArt #SeniorCreativity </t>
  </si>
  <si>
    <t xml:space="preserve">Hosted a 'memory lane' evening with old friends, reminiscing about the adventures that shaped our lives. #MemoryLane #SeniorReminiscing </t>
  </si>
  <si>
    <t xml:space="preserve"> SeniorMemoriesHost </t>
  </si>
  <si>
    <t xml:space="preserve"> #FriendshipAdventures #SeniorNostalgia </t>
  </si>
  <si>
    <t xml:space="preserve">Joined a seniors' astronomy club, stargazing and finding wonder in the vastness of the cosmos. #AstronomyClub #SeniorStargazer </t>
  </si>
  <si>
    <t xml:space="preserve"> SeniorStargazer </t>
  </si>
  <si>
    <t xml:space="preserve"> #CelestialWonders #SeniorAstronomy </t>
  </si>
  <si>
    <t xml:space="preserve">Attended a local jazz festival, tapping toes to the tunes that have stood the test of time. Music, a lifelong love affair. #JazzFestival #SeniorMusicLover </t>
  </si>
  <si>
    <t xml:space="preserve"> SeniorJazzFestivalGoer </t>
  </si>
  <si>
    <t xml:space="preserve">Started a blog sharing the wisdom gained through the years, proving that every day is a chance to learn and grow. #SeniorWisdom #Blog </t>
  </si>
  <si>
    <t xml:space="preserve"> WisdomBloggerSenior </t>
  </si>
  <si>
    <t xml:space="preserve"> #LifeLessons #SeniorBlog </t>
  </si>
  <si>
    <t xml:space="preserve">Participated in a charity run, proving that age is no barrier to supporting meaningful causes. #CharityRun #SeniorRunner </t>
  </si>
  <si>
    <t xml:space="preserve"> SeniorCharityRunner </t>
  </si>
  <si>
    <t xml:space="preserve"> #RunForACause #SeniorSupport </t>
  </si>
  <si>
    <t xml:space="preserve">Survived a challenging physics exam. Equations, you won't defeat me! </t>
  </si>
  <si>
    <t xml:space="preserve"> Relief </t>
  </si>
  <si>
    <t xml:space="preserve"> PhysicsWhizHighSchool </t>
  </si>
  <si>
    <t xml:space="preserve"> #PhysicsSurvivor #HighSchoolAdventures </t>
  </si>
  <si>
    <t xml:space="preserve">Exploring the world of coding. Debugging is an adventure on its own! #CodingJourney #HighSchoolCoder </t>
  </si>
  <si>
    <t xml:space="preserve"> CodeExplorerHighSchool </t>
  </si>
  <si>
    <t xml:space="preserve"> #CodingAdventure #HighSchoolCoderLife </t>
  </si>
  <si>
    <t xml:space="preserve">Joined the school debate team. Words are my weapons, and I'm ready for battle! </t>
  </si>
  <si>
    <t xml:space="preserve"> DebateWarriorHighSchool </t>
  </si>
  <si>
    <t xml:space="preserve"> #DebateWarrior #HighSchoolDebater </t>
  </si>
  <si>
    <t xml:space="preserve">Started a photography club at school. Capturing moments, one snapshot at a time! </t>
  </si>
  <si>
    <t xml:space="preserve"> PhotoClubHighSchool </t>
  </si>
  <si>
    <t xml:space="preserve"> #PhotographyClub #HighSchoolPhotographer </t>
  </si>
  <si>
    <t xml:space="preserve">Daydreaming about the upcoming prom. The dress, the dance â€“ it's a fairytale in the making! </t>
  </si>
  <si>
    <t xml:space="preserve"> PromDreamerHighSchool </t>
  </si>
  <si>
    <t xml:space="preserve"> #PromDreams #HighSchoolFairytale </t>
  </si>
  <si>
    <t xml:space="preserve">Convinced the teacher to have class outdoors. Learning equations with a side of fresh air! </t>
  </si>
  <si>
    <t xml:space="preserve"> Positive </t>
  </si>
  <si>
    <t xml:space="preserve"> OutdoorClassHighSchool </t>
  </si>
  <si>
    <t xml:space="preserve"> #OutdoorClassroom #HighSchoolExplorer </t>
  </si>
  <si>
    <t xml:space="preserve">Accidentally spilled paint in art class. Abstract art, right? #ArtClassAdventures #HighSchoolArtist </t>
  </si>
  <si>
    <t xml:space="preserve"> Embarrassed </t>
  </si>
  <si>
    <t xml:space="preserve"> PaintSpillHighSchool </t>
  </si>
  <si>
    <t xml:space="preserve"> #ArtisticMishaps #HighSchoolArt </t>
  </si>
  <si>
    <t xml:space="preserve">Trying to master the perfect kickflip on my skateboard. Skating into the weekend like a pro! </t>
  </si>
  <si>
    <t xml:space="preserve"> SkateProHighSchool </t>
  </si>
  <si>
    <t xml:space="preserve"> #SkaterLife #HighSchoolSkater </t>
  </si>
  <si>
    <t xml:space="preserve">Bonding with friends over the latest K-pop sensation. Fangirling at its finest! </t>
  </si>
  <si>
    <t xml:space="preserve"> KpopFangirlHighSchool </t>
  </si>
  <si>
    <t xml:space="preserve"> #KpopFangirl #HighSchoolMusic </t>
  </si>
  <si>
    <t xml:space="preserve">Spent hours perfecting a chemistry experiment. Mixing potions like a wizard! </t>
  </si>
  <si>
    <t xml:space="preserve"> ChemistryWizardHighSchool </t>
  </si>
  <si>
    <t xml:space="preserve"> #ChemistryWizard #HighSchoolScientist </t>
  </si>
  <si>
    <t xml:space="preserve">Successfully organized a surprise birthday party for a friend. Party planning expert mode: Achieved! </t>
  </si>
  <si>
    <t xml:space="preserve"> BirthdayPartyPlannerHighSchool </t>
  </si>
  <si>
    <t xml:space="preserve"> #BirthdayParty #HighSchoolCelebration </t>
  </si>
  <si>
    <t xml:space="preserve">Joined the drama club to unleash my inner actor. Lights, camera, action! </t>
  </si>
  <si>
    <t xml:space="preserve"> DramaClubStarHighSchool </t>
  </si>
  <si>
    <t xml:space="preserve"> #DramaClubStar #HighSchoolActor </t>
  </si>
  <si>
    <t xml:space="preserve">Got my hands on the latest fantasy novel. Diving into realms of magic and adventure! </t>
  </si>
  <si>
    <t xml:space="preserve"> FantasyBookNerdHighSchool </t>
  </si>
  <si>
    <t xml:space="preserve"> #FantasyBookNerd #HighSchoolReader </t>
  </si>
  <si>
    <t xml:space="preserve">Mastering the art of the perfect doodle during boring classes. Doodles: A+! </t>
  </si>
  <si>
    <t xml:space="preserve"> DoodleMasterHighSchool </t>
  </si>
  <si>
    <t xml:space="preserve"> #DoodleMaster #HighSchoolArt </t>
  </si>
  <si>
    <t xml:space="preserve">Attempting to break the school record for the longest handstand. Wish me luck! </t>
  </si>
  <si>
    <t xml:space="preserve"> HandstandChallengeHighSchool </t>
  </si>
  <si>
    <t xml:space="preserve"> #HandstandChallenge #HighSchoolAthlete </t>
  </si>
  <si>
    <t xml:space="preserve">Sneaking snacks into class like a pro. The art of snack-smuggling is a sacred skill! </t>
  </si>
  <si>
    <t xml:space="preserve"> Mischievous </t>
  </si>
  <si>
    <t xml:space="preserve"> SnackSmugglerHighSchool </t>
  </si>
  <si>
    <t xml:space="preserve"> #SnackSmuggler #HighSchoolSnacks </t>
  </si>
  <si>
    <t xml:space="preserve">Hosting a sleepover with friends this weekend. Preparing for a night of laughter and memories! </t>
  </si>
  <si>
    <t xml:space="preserve"> SleepoverHostHighSchool </t>
  </si>
  <si>
    <t xml:space="preserve"> #SleepoverFun #HighSchoolMemories </t>
  </si>
  <si>
    <t xml:space="preserve">Spent hours on a TikTok dance, only to realize I have two left feet. Dance fail: Unleashed! </t>
  </si>
  <si>
    <t xml:space="preserve"> TikTokFailHighSchool </t>
  </si>
  <si>
    <t xml:space="preserve"> #DanceFail #HighSchoolTikTok </t>
  </si>
  <si>
    <t xml:space="preserve">Accidentally liked my crush's old photo while stalking their profile. Awkward level: Maximum! </t>
  </si>
  <si>
    <t xml:space="preserve"> SocialMediaBlunderHighSchool </t>
  </si>
  <si>
    <t xml:space="preserve"> #SocialMediaBlunder #HighSchoolAwkward </t>
  </si>
  <si>
    <t xml:space="preserve">Tried to impress my crush with a smooth conversation. Ended up spilling my drink. Smooth level: Nonexistent! </t>
  </si>
  <si>
    <t xml:space="preserve"> CrushFailHighSchool </t>
  </si>
  <si>
    <t xml:space="preserve"> #CrushFail #HighSchoolEmbarrassment </t>
  </si>
  <si>
    <t xml:space="preserve">Mastered the art of creating paper airplanes during lecture. Paper planes: Soaring to new heights! </t>
  </si>
  <si>
    <t xml:space="preserve"> PaperPlaneExpertHighSchool </t>
  </si>
  <si>
    <t xml:space="preserve"> #PaperPlaneExpert #HighSchoolArt </t>
  </si>
  <si>
    <t xml:space="preserve">Trying to set a new trend by juggling textbooks between classes. Academic juggling: A unique skill! </t>
  </si>
  <si>
    <t xml:space="preserve"> JugglingProHighSchool </t>
  </si>
  <si>
    <t xml:space="preserve"> #TextbookJuggling #HighSchoolSkills </t>
  </si>
  <si>
    <t xml:space="preserve">Hiding a snack stash in my backpack for emergency cravings. Snack ninja mode: Activated! </t>
  </si>
  <si>
    <t xml:space="preserve"> SnackNinjaHighSchool </t>
  </si>
  <si>
    <t xml:space="preserve"> #SnackNinja #HighSchoolSnacks </t>
  </si>
  <si>
    <t xml:space="preserve">Planning a surprise scavenger hunt for friends. Anticipating the thrill and excitement! </t>
  </si>
  <si>
    <t xml:space="preserve"> ScavengerHuntMasterHighSchool </t>
  </si>
  <si>
    <t xml:space="preserve"> #SurpriseAdventure #HighSchoolFun </t>
  </si>
  <si>
    <t xml:space="preserve">Danced in the rain to celebrate the end of exams. Rain dance: Unexpectedly refreshing! </t>
  </si>
  <si>
    <t xml:space="preserve"> RainDanceCelebrationHighSchool </t>
  </si>
  <si>
    <t xml:space="preserve"> #RainDance #HighSchoolJoy </t>
  </si>
  <si>
    <t xml:space="preserve">Accidentally sent a text meant for a friend to the class group chat. Texting fail: Oops moment! </t>
  </si>
  <si>
    <t xml:space="preserve"> GroupChatBlunderHighSchool </t>
  </si>
  <si>
    <t xml:space="preserve"> #TextingFail #HighSchoolAwkward </t>
  </si>
  <si>
    <t xml:space="preserve">Tried a magic trick to impress classmates. Magic fail: Where did that rabbit go? </t>
  </si>
  <si>
    <t xml:space="preserve"> MagicFailHighSchool </t>
  </si>
  <si>
    <t xml:space="preserve"> #MagicFail #HighSchoolMagic </t>
  </si>
  <si>
    <t xml:space="preserve">Perfecting the art of creating origami during a dull lecture. Origami mastery: A+! </t>
  </si>
  <si>
    <t xml:space="preserve"> OrigamiProHighSchool </t>
  </si>
  <si>
    <t xml:space="preserve"> #OrigamiMaster #HighSchoolArt </t>
  </si>
  <si>
    <t xml:space="preserve">Attempting to set a new record for the most consecutive hacky sack kicks. Hacky sack skills: Unleashed! </t>
  </si>
  <si>
    <t xml:space="preserve"> HackySackChampionHighSchool </t>
  </si>
  <si>
    <t xml:space="preserve"> #HackySackChallenge #HighSchoolAthlete </t>
  </si>
  <si>
    <t xml:space="preserve">Creating a secret handshake with friends. Friendship level: Expert! </t>
  </si>
  <si>
    <t xml:space="preserve"> SecretHandshakeHighSchool </t>
  </si>
  <si>
    <t xml:space="preserve"> #FriendshipGoals #HighSchoolMemories </t>
  </si>
  <si>
    <t xml:space="preserve">Embarking on a mission to find the best burger joint in town. Burger connoisseur: Reporting for duty! </t>
  </si>
  <si>
    <t xml:space="preserve"> BurgerQuestHighSchool </t>
  </si>
  <si>
    <t xml:space="preserve"> #BurgerQuest #HighSchoolFoodie </t>
  </si>
  <si>
    <t xml:space="preserve">Practicing a stand-up comedy routine for the upcoming talent show. Comedy gig: In the making! </t>
  </si>
  <si>
    <t xml:space="preserve"> ComedyGeniusHighSchool </t>
  </si>
  <si>
    <t xml:space="preserve"> #StandUpComedy #HighSchoolTalent </t>
  </si>
  <si>
    <t xml:space="preserve">Accidentally sent a love letter to the wrong person. Love note fail: Maximum embarrassment! </t>
  </si>
  <si>
    <t xml:space="preserve"> LoveLetterBlunderHighSchool </t>
  </si>
  <si>
    <t xml:space="preserve"> #LoveLetterFail #HighSchoolAwkward </t>
  </si>
  <si>
    <t xml:space="preserve">Attempting to impress the teacher with an elaborate science experiment. Science geek mode: Activated! </t>
  </si>
  <si>
    <t xml:space="preserve"> ScienceExperimentProHighSchool </t>
  </si>
  <si>
    <t xml:space="preserve"> #ScienceGeek #HighSchoolExperiments </t>
  </si>
  <si>
    <t xml:space="preserve">Crafting intricate friendship bracelets for the whole squad. Friendship level: Expert weaver! </t>
  </si>
  <si>
    <t xml:space="preserve"> BraceletCraftsmanHighSchool </t>
  </si>
  <si>
    <t xml:space="preserve"> #FriendshipBracelets #HighSchoolCrafts </t>
  </si>
  <si>
    <t xml:space="preserve">Attempting to beat the record for the most consecutive cartwheels. Cartwheel challenge: Underway! </t>
  </si>
  <si>
    <t xml:space="preserve"> CartwheelMasterHighSchool </t>
  </si>
  <si>
    <t xml:space="preserve"> #CartwheelChallenge #HighSchoolAthlete </t>
  </si>
  <si>
    <t xml:space="preserve">Organizing a movie marathon with friends. Popcorn and cinematic adventures await! </t>
  </si>
  <si>
    <t xml:space="preserve"> MovieMarathonHostHighSchool </t>
  </si>
  <si>
    <t xml:space="preserve"> #MovieNight #HighSchoolMemories </t>
  </si>
  <si>
    <t xml:space="preserve">Experimenting with a new hair color. A bold change for a bold semester! </t>
  </si>
  <si>
    <t xml:space="preserve"> HairColorExperimentHighSchool </t>
  </si>
  <si>
    <t xml:space="preserve"> #HairExperiment #HighSchoolStyle </t>
  </si>
  <si>
    <t xml:space="preserve">Building a time capsule to capture memories for the future. Time-traveling emotions! </t>
  </si>
  <si>
    <t xml:space="preserve"> TimeCapsuleCreatorHighSchool </t>
  </si>
  <si>
    <t xml:space="preserve"> #TimeCapsule #HighSchoolNostalgia </t>
  </si>
  <si>
    <t xml:space="preserve">Accidentally walked into the wrong classroom on the first day. Classroom mix-up: Awkward start! </t>
  </si>
  <si>
    <t xml:space="preserve"> ClassroomBlunderHighSchool </t>
  </si>
  <si>
    <t xml:space="preserve"> #FirstDayOops #HighSchoolEmbarrassment </t>
  </si>
  <si>
    <t xml:space="preserve">Trying out a new smoothie recipe for a healthy start to the week. Smoothie enthusiast: Level up! </t>
  </si>
  <si>
    <t xml:space="preserve"> SmoothieConnoisseurHighSchool </t>
  </si>
  <si>
    <t xml:space="preserve"> #HealthyLiving #HighSchoolWellness </t>
  </si>
  <si>
    <t xml:space="preserve">Reflecting on the challenges of the school year. Feeling a bit overwhelmed with assignments. </t>
  </si>
  <si>
    <t xml:space="preserve"> Sad </t>
  </si>
  <si>
    <t xml:space="preserve"> OverwhelmedHighSchoolStudent </t>
  </si>
  <si>
    <t xml:space="preserve"> #SchoolChallenges #HighSchoolStruggles </t>
  </si>
  <si>
    <t xml:space="preserve">Encountered some mean-spirited comments online. Dealing with online hate is never easy. </t>
  </si>
  <si>
    <t xml:space="preserve"> Hate </t>
  </si>
  <si>
    <t xml:space="preserve"> DealingWithHateHighSchool </t>
  </si>
  <si>
    <t xml:space="preserve"> #OnlineHate #HighSchoolReality </t>
  </si>
  <si>
    <t xml:space="preserve">Had a bad day at school. Everything seems to be going wrong. </t>
  </si>
  <si>
    <t xml:space="preserve"> Bad </t>
  </si>
  <si>
    <t xml:space="preserve"> ToughDayHighSchool </t>
  </si>
  <si>
    <t xml:space="preserve"> #BadDay #HighSchoolBlues </t>
  </si>
  <si>
    <t xml:space="preserve">Feeling down after not making the sports team. Disappointment lingers. </t>
  </si>
  <si>
    <t xml:space="preserve"> SportsTeamRejectionHighSchool </t>
  </si>
  <si>
    <t xml:space="preserve"> #Disappointment #HighSchoolSports </t>
  </si>
  <si>
    <t xml:space="preserve">Witnessed a heated argument in the cafeteria. Unpleasant atmosphere at lunch. </t>
  </si>
  <si>
    <t xml:space="preserve"> CafeteriaConflictHighSchool </t>
  </si>
  <si>
    <t xml:space="preserve"> #CafeteriaDrama #HighSchoolTension </t>
  </si>
  <si>
    <t xml:space="preserve">Received a not-so-great grade on a major project. Academic frustration setting in. </t>
  </si>
  <si>
    <t xml:space="preserve"> ProjectGradeDisappointmentHighSchool </t>
  </si>
  <si>
    <t xml:space="preserve"> #AcademicFrustration #HighSchoolStress </t>
  </si>
  <si>
    <t xml:space="preserve">Dealing with a personal setback. Sometimes life throws unexpected challenges. </t>
  </si>
  <si>
    <t xml:space="preserve"> PersonalSetbackHighSchool </t>
  </si>
  <si>
    <t xml:space="preserve"> #LifeChallenges #HighSchoolStruggles </t>
  </si>
  <si>
    <t xml:space="preserve">Feeling lonely on a Saturday night. Sometimes solitude hits harder than expected. </t>
  </si>
  <si>
    <t xml:space="preserve"> LonelySaturdayHighSchool </t>
  </si>
  <si>
    <t xml:space="preserve"> #LonelyNights #HighSchoolEmotions </t>
  </si>
  <si>
    <t xml:space="preserve">Experiencing cyberbullying. Hateful messages online are disheartening. </t>
  </si>
  <si>
    <t xml:space="preserve"> CyberbullyingVictimHighSchool </t>
  </si>
  <si>
    <t xml:space="preserve"> #StopCyberbullying #HighSchoolReality </t>
  </si>
  <si>
    <t xml:space="preserve">Caught in a torrential rainstorm without an umbrella. Today's weather is just bad luck. </t>
  </si>
  <si>
    <t xml:space="preserve"> RainyDayBluesHighSchool </t>
  </si>
  <si>
    <t xml:space="preserve"> #BadLuck #HighSchoolWeather </t>
  </si>
  <si>
    <t xml:space="preserve">Missing an important event due to unforeseen circumstances. A day filled with sadness. </t>
  </si>
  <si>
    <t xml:space="preserve"> MissedOpportunityHighSchool </t>
  </si>
  <si>
    <t xml:space="preserve"> #MissedChances #HighSchoolRegret </t>
  </si>
  <si>
    <t xml:space="preserve">Dealing with unfounded rumors circulating about personal life. Rumors can be hurtful. </t>
  </si>
  <si>
    <t xml:space="preserve"> RumorVictimHighSchool </t>
  </si>
  <si>
    <t xml:space="preserve"> #RumorMills #HighSchoolDrama </t>
  </si>
  <si>
    <t xml:space="preserve">Got a flat tire on the way to an important meeting. Talk about a series of bad events! </t>
  </si>
  <si>
    <t xml:space="preserve"> FlatTireWoesHighSchool </t>
  </si>
  <si>
    <t xml:space="preserve"> #BadLuckDay #HighSchoolStruggles </t>
  </si>
  <si>
    <t xml:space="preserve">Feeling a sense of emptiness after a close friend moves away. Farewells are always sad. </t>
  </si>
  <si>
    <t xml:space="preserve"> FriendMovingAwayHighSchool </t>
  </si>
  <si>
    <t xml:space="preserve"> #SayingGoodbye #HighSchoolEmotions </t>
  </si>
  <si>
    <t xml:space="preserve">Facing rejection from a dream college. Disheartened but determined to explore other paths. </t>
  </si>
  <si>
    <t xml:space="preserve"> CollegeRejectionHighSchool </t>
  </si>
  <si>
    <t xml:space="preserve"> #CollegeDreams #HighSchoolJourney </t>
  </si>
  <si>
    <t xml:space="preserve">Encountering online toxicity during a gaming session. Hateful comments can ruin the fun. </t>
  </si>
  <si>
    <t xml:space="preserve"> GamingToxicityHighSchool </t>
  </si>
  <si>
    <t xml:space="preserve"> #OnlineGaming #HighSchoolGamer </t>
  </si>
  <si>
    <t xml:space="preserve">Having a bad hair day and feeling self-conscious. Bad hair days can affect confidence. </t>
  </si>
  <si>
    <t xml:space="preserve"> BadHairDayBluesHighSchool </t>
  </si>
  <si>
    <t xml:space="preserve"> #BadHairDay #HighSchoolConfidence </t>
  </si>
  <si>
    <t xml:space="preserve">Feeling a sense of despair after a major project failure. Hard work didn't pay off this time. </t>
  </si>
  <si>
    <t xml:space="preserve"> ProjectFailureDespairHighSchool </t>
  </si>
  <si>
    <t xml:space="preserve"> #ProjectStruggles #HighSchoolHardships </t>
  </si>
  <si>
    <t xml:space="preserve">Experiencing hate comments for expressing personal opinions. Online negativity prevails. </t>
  </si>
  <si>
    <t xml:space="preserve"> OpinionsHateHighSchool </t>
  </si>
  <si>
    <t xml:space="preserve"> #OnlineOpinions #HighSchoolCriticism </t>
  </si>
  <si>
    <t xml:space="preserve">Having a string of bad luck with constant technology malfunctions. Tech troubles galore! </t>
  </si>
  <si>
    <t xml:space="preserve"> TechMalfunctionWoesHighSchool </t>
  </si>
  <si>
    <t xml:space="preserve"> #TechIssues #HighSchoolTech </t>
  </si>
  <si>
    <t xml:space="preserve">Missing out on a long-anticipated event due to unexpected circumstances. A day filled with sadness. </t>
  </si>
  <si>
    <t xml:space="preserve"> MissedEventBluesHighSchool </t>
  </si>
  <si>
    <t xml:space="preserve"> #MissedMoments #HighSchoolRegret </t>
  </si>
  <si>
    <t xml:space="preserve">Trying out a new study technique for upcoming exams. Exploring different learning strategies. </t>
  </si>
  <si>
    <t xml:space="preserve"> Neutral </t>
  </si>
  <si>
    <t xml:space="preserve"> StudyTechniqueExperimentHighSchool </t>
  </si>
  <si>
    <t xml:space="preserve"> #StudyStrategies #HighSchoolExams </t>
  </si>
  <si>
    <t xml:space="preserve">Organizing a community cleanup event for a cleaner neighborhood. Promoting environmental awareness. </t>
  </si>
  <si>
    <t xml:space="preserve"> CommunityCleanupHighSchool </t>
  </si>
  <si>
    <t xml:space="preserve"> #EnvironmentalEfforts #HighSchoolCommunity </t>
  </si>
  <si>
    <t xml:space="preserve">Sharing favorite book recommendations with classmates. Building a mini book club. </t>
  </si>
  <si>
    <t xml:space="preserve"> BookRecommendationsHighSchool </t>
  </si>
  <si>
    <t xml:space="preserve"> #BookClub #HighSchoolReads </t>
  </si>
  <si>
    <t xml:space="preserve">Experimenting with a new recipe for a school bake sale. Baking adventures in the kitchen. </t>
  </si>
  <si>
    <t xml:space="preserve"> BakeSaleRecipeExperimentHighSchool </t>
  </si>
  <si>
    <t xml:space="preserve"> #BakingAdventures #HighSchoolBakes </t>
  </si>
  <si>
    <t xml:space="preserve">Collaborating on a school project with peers. Teamwork makes the dream work. </t>
  </si>
  <si>
    <t xml:space="preserve"> SchoolProjectCollaborationHighSchool </t>
  </si>
  <si>
    <t xml:space="preserve"> #Teamwork #HighSchoolProjects </t>
  </si>
  <si>
    <t xml:space="preserve">Attending a school club meeting to explore new interests. Dabbling in extracurricular activities. </t>
  </si>
  <si>
    <t xml:space="preserve"> ExtracurricularExplorationHighSchool </t>
  </si>
  <si>
    <t xml:space="preserve"> #SchoolClubs #HighSchoolInterests </t>
  </si>
  <si>
    <t xml:space="preserve">Exploring a new part-time job opportunity for gaining work experience. Career development in progress. </t>
  </si>
  <si>
    <t xml:space="preserve"> PartTimeJobExplorationHighSchool </t>
  </si>
  <si>
    <t xml:space="preserve"> #CareerDevelopment #HighSchoolJobs </t>
  </si>
  <si>
    <t xml:space="preserve">Attending a school assembly to stay informed about upcoming events and announcements. Staying connected with school activities. </t>
  </si>
  <si>
    <t xml:space="preserve"> SchoolAssemblyParticipationHighSchool </t>
  </si>
  <si>
    <t xml:space="preserve"> #SchoolEvents #HighSchoolConnectivity </t>
  </si>
  <si>
    <t xml:space="preserve">Exploring a new hobby of photography during free time. Capturing moments through a lens. </t>
  </si>
  <si>
    <t xml:space="preserve"> PhotographyHobbyHighSchool </t>
  </si>
  <si>
    <t xml:space="preserve"> #PhotographyJourney #HighSchoolHobbies </t>
  </si>
  <si>
    <t xml:space="preserve">Participating in a science fair to showcase a unique experiment. Sharing knowledge with peers. </t>
  </si>
  <si>
    <t xml:space="preserve"> ScienceFairParticipationHighSchool </t>
  </si>
  <si>
    <t xml:space="preserve"> #ScienceFair #HighSchoolScience </t>
  </si>
  <si>
    <t xml:space="preserve">Attending a workshop on time management to enhance organizational skills. Striving for efficiency. </t>
  </si>
  <si>
    <t xml:space="preserve"> TimeManagementWorkshopHighSchool </t>
  </si>
  <si>
    <t xml:space="preserve"> #EfficiencyGoals #HighSchoolSkills </t>
  </si>
  <si>
    <t xml:space="preserve">Volunteering at a local charity event to give back to the community. Contributing to social causes. </t>
  </si>
  <si>
    <t xml:space="preserve"> CharityEventVolunteerHighSchool </t>
  </si>
  <si>
    <t xml:space="preserve"> #CommunityService #HighSchoolVolunteer </t>
  </si>
  <si>
    <t xml:space="preserve">Collaborating on a group project to promote teamwork and shared responsibilities. Group effort in action. </t>
  </si>
  <si>
    <t xml:space="preserve"> GroupProjectCollaborationHighSchool </t>
  </si>
  <si>
    <t xml:space="preserve"> #TeamSpirit #HighSchoolProjects </t>
  </si>
  <si>
    <t xml:space="preserve">Participating in a debate club to enhance critical thinking and communication skills. Intellectual engagement in progress. </t>
  </si>
  <si>
    <t xml:space="preserve"> DebateClubParticipationHighSchool </t>
  </si>
  <si>
    <t xml:space="preserve"> #DebateSkills #HighSchoolIntellect </t>
  </si>
  <si>
    <t xml:space="preserve">Celebrating a friend's birthday with a surprise party. Joyful moments and laughter all around! </t>
  </si>
  <si>
    <t xml:space="preserve"> Happy </t>
  </si>
  <si>
    <t xml:space="preserve"> BirthdaySurpriseHighSchool </t>
  </si>
  <si>
    <t xml:space="preserve"> #SurpriseParty #HighSchoolCelebration </t>
  </si>
  <si>
    <t xml:space="preserve">Successfully completing a challenging coding project. Excitement for overcoming coding hurdles! </t>
  </si>
  <si>
    <t xml:space="preserve"> CodingSuccessHighSchool </t>
  </si>
  <si>
    <t xml:space="preserve"> #CodingTriumph #HighSchoolTech </t>
  </si>
  <si>
    <t xml:space="preserve">Attending a school talent show to support classmates. Applauding the diverse talents on display! </t>
  </si>
  <si>
    <t xml:space="preserve"> TalentShowSupportHighSchool </t>
  </si>
  <si>
    <t xml:space="preserve"> #TalentShow #HighSchoolEntertainment </t>
  </si>
  <si>
    <t xml:space="preserve">Exploring a new hiking trail with friends over the weekend. Nature, laughter, and good vibes! </t>
  </si>
  <si>
    <t xml:space="preserve"> WeekendHikeHighSchool </t>
  </si>
  <si>
    <t xml:space="preserve"> #NatureAdventures #HighSchoolFriends </t>
  </si>
  <si>
    <t xml:space="preserve">Winning a friendly sports competition against rival schools. Victory celebrations in full swing! </t>
  </si>
  <si>
    <t xml:space="preserve"> SportsVictoryHighSchool </t>
  </si>
  <si>
    <t xml:space="preserve"> #SportsTriumph #HighSchoolAthletics </t>
  </si>
  <si>
    <t xml:space="preserve">Receiving a heartfelt letter from a pen pal in another country. Connecting across the globe! </t>
  </si>
  <si>
    <t xml:space="preserve"> PenPalConnectionHighSchool </t>
  </si>
  <si>
    <t xml:space="preserve"> #GlobalFriendship #HighSchoolCorrespondence </t>
  </si>
  <si>
    <t xml:space="preserve">Creating a beautiful mural with fellow art enthusiasts. The power of collaboration and creativity! </t>
  </si>
  <si>
    <t xml:space="preserve"> MuralCreationHighSchool </t>
  </si>
  <si>
    <t xml:space="preserve"> #ArtCollaboration #HighSchoolCreativity </t>
  </si>
  <si>
    <t xml:space="preserve">Participating in a school-wide art exhibition. Witnessing creativity and spreading positive vibes! </t>
  </si>
  <si>
    <t xml:space="preserve"> ArtExhibitionJoyHighSchool </t>
  </si>
  <si>
    <t xml:space="preserve"> #ArtisticExpression #HighSchoolCreativity </t>
  </si>
  <si>
    <t xml:space="preserve">Achieving a personal best in a track and field competition. The thrill of victory and self-improvement! </t>
  </si>
  <si>
    <t xml:space="preserve"> TrackFieldSuccessHighSchool </t>
  </si>
  <si>
    <t xml:space="preserve"> #AthleticAchievement #HighSchoolSports </t>
  </si>
  <si>
    <t xml:space="preserve">Collaborating on a science project that received recognition at a regional fair. Science triumphs and smiles! </t>
  </si>
  <si>
    <t xml:space="preserve"> ScienceProjectSuccessHighSchool </t>
  </si>
  <si>
    <t xml:space="preserve"> #ScienceFairWinner #HighSchoolScience </t>
  </si>
  <si>
    <t xml:space="preserve">Attending a surprise birthday party organized by friends. Surrounded by love, laughter, and good company! </t>
  </si>
  <si>
    <t xml:space="preserve"> BirthdayPartyJoyHighSchool </t>
  </si>
  <si>
    <t xml:space="preserve"> #SurpriseCelebration #HighSchoolFriendship </t>
  </si>
  <si>
    <t xml:space="preserve">Successfully fundraising for a school charity initiative. The joy of giving back to the community! </t>
  </si>
  <si>
    <t xml:space="preserve"> CharityFundraisingTriumphHighSchool </t>
  </si>
  <si>
    <t xml:space="preserve"> #CommunityGiving #HighSchoolPhilanthropy </t>
  </si>
  <si>
    <t xml:space="preserve">Participating in a multicultural festival, celebrating diversity with music, dance, and delicious food! </t>
  </si>
  <si>
    <t xml:space="preserve"> MulticulturalFestivalJoyHighSchool </t>
  </si>
  <si>
    <t xml:space="preserve"> #CulturalCelebration #HighSchoolUnity </t>
  </si>
  <si>
    <t xml:space="preserve">Organizing a virtual talent show during challenging times, bringing smiles to classmates' faces! </t>
  </si>
  <si>
    <t xml:space="preserve"> VirtualTalentShowSuccessHighSchool </t>
  </si>
  <si>
    <t xml:space="preserve"> #VirtualEntertainment #HighSchoolPositivity </t>
  </si>
  <si>
    <t>Enjoying a beautiful day at the park.</t>
  </si>
  <si>
    <t>Traffic was terrible this morning..</t>
  </si>
  <si>
    <t>Just finished an amazing workout.</t>
  </si>
  <si>
    <t>Excited about the upcoming weekend getaway.</t>
  </si>
  <si>
    <t>Trying out a new recipe for dinner tonight..</t>
  </si>
  <si>
    <t>Feeling grateful for the little things in life..</t>
  </si>
  <si>
    <t>Rainy days call for cozy blankets and hot cocoa..</t>
  </si>
  <si>
    <t>The new movie release is a must-watch.</t>
  </si>
  <si>
    <t>Political discussions heating up on the timeline..</t>
  </si>
  <si>
    <t>Missing summer vibes and beach days..</t>
  </si>
  <si>
    <t>Just published a new blog post. Check it out.</t>
  </si>
  <si>
    <t>Feeling a bit under the weather today..</t>
  </si>
  <si>
    <t>Exploring the city's hidden gems..</t>
  </si>
  <si>
    <t>New year, new fitness goals.</t>
  </si>
  <si>
    <t>Technology is changing the way we live..</t>
  </si>
  <si>
    <t>Reflecting on the past and looking ahead..</t>
  </si>
  <si>
    <t>Just adopted a cute furry friend.</t>
  </si>
  <si>
    <t>Late-night gaming session with friends..</t>
  </si>
  <si>
    <t>Attending a virtual conference on AI..</t>
  </si>
  <si>
    <t>Winter blues got me feeling low..</t>
  </si>
  <si>
    <t>Sipping coffee and enjoying a good book..</t>
  </si>
  <si>
    <t>Exploring the world of virtual reality..</t>
  </si>
  <si>
    <t>Productive day ticking off my to-do list..</t>
  </si>
  <si>
    <t>Just finished a challenging workout routine..</t>
  </si>
  <si>
    <t>Celebrating a milestone at work.</t>
  </si>
  <si>
    <t>Sunday brunch with friends..</t>
  </si>
  <si>
    <t>Learning a new language for personal growth..</t>
  </si>
  <si>
    <t>Quiet evening with a good book..</t>
  </si>
  <si>
    <t>Reflecting on the importance of mental health..</t>
  </si>
  <si>
    <t>New painting in progress.</t>
  </si>
  <si>
    <t>Weekend road trip to explore scenic views..</t>
  </si>
  <si>
    <t>Enjoying a cup of tea and watching the sunset..</t>
  </si>
  <si>
    <t>Coding a new project with enthusiasm..</t>
  </si>
  <si>
    <t>Feeling inspired after attending a workshop..</t>
  </si>
  <si>
    <t>Winter sports day at the local park..</t>
  </si>
  <si>
    <t>Quality time with family this weekend..</t>
  </si>
  <si>
    <t>Attending a live music concert tonight..</t>
  </si>
  <si>
    <t>Practicing mindfulness with meditation..</t>
  </si>
  <si>
    <t>Trying out a new dessert recipe..</t>
  </si>
  <si>
    <t>Excited about the upcoming gaming tournament..</t>
  </si>
  <si>
    <t>Planning a garden makeover for spring..</t>
  </si>
  <si>
    <t>Celebrating a friend's birthday tonight.</t>
  </si>
  <si>
    <t>Feeling accomplished after a productive day..</t>
  </si>
  <si>
    <t>A cozy evening with a good movie..</t>
  </si>
  <si>
    <t>Exploring local art galleries this weekend..</t>
  </si>
  <si>
    <t>New book release from my favorite author.</t>
  </si>
  <si>
    <t>Attending a virtual reality meetup..</t>
  </si>
  <si>
    <t>Reflecting on the beauty of nature..</t>
  </si>
  <si>
    <t>Cooking a special dinner for loved ones..</t>
  </si>
  <si>
    <t>Feeling optimistic about the week ahead..</t>
  </si>
  <si>
    <t>Starting a new fitness challenge tomorrow.</t>
  </si>
  <si>
    <t>Sunday bike ride through scenic trails..</t>
  </si>
  <si>
    <t>Can't believe the injustice happening in our society..</t>
  </si>
  <si>
    <t>Feeling a sense of fear after watching a thriller movie..</t>
  </si>
  <si>
    <t>Heartbroken after hearing the news about a natural disaster..</t>
  </si>
  <si>
    <t>The state of the world's environment is just disgusting..</t>
  </si>
  <si>
    <t>Pure happiness: celebrating a loved one's achievement.</t>
  </si>
  <si>
    <t>Sharing love and positive vibes with everyone.</t>
  </si>
  <si>
    <t>An amusing incident brightened up my day.</t>
  </si>
  <si>
    <t>Enjoying a quiet evening with a book and some tea..</t>
  </si>
  <si>
    <t>Admiring the beauty of nature during a peaceful hike..</t>
  </si>
  <si>
    <t>Sending affectionate vibes to all my followers.</t>
  </si>
  <si>
    <t>Experiencing awe at the breathtaking sunset..</t>
  </si>
  <si>
    <t>Disappointed with the service at a local restaurant..</t>
  </si>
  <si>
    <t>A surprise gift from a friend made my day.</t>
  </si>
  <si>
    <t>Finding acceptance in the midst of life's challenges..</t>
  </si>
  <si>
    <t>Overflowing with adoration for my adorable pet.</t>
  </si>
  <si>
    <t>Anticipating a thrilling adventure in the coming weeks..</t>
  </si>
  <si>
    <t>A bitter experience turned into a valuable lesson..</t>
  </si>
  <si>
    <t>Finding calmness in the midst of a busy day..</t>
  </si>
  <si>
    <t>Confusion clouds my mind as I navigate through decisions..</t>
  </si>
  <si>
    <t>Excitement building up for the upcoming vacation.</t>
  </si>
  <si>
    <t>Kindness witnessed today restored my faith in humanity..</t>
  </si>
  <si>
    <t>Pride in achieving a personal milestone..</t>
  </si>
  <si>
    <t>A moment of shame for not standing up against injustice..</t>
  </si>
  <si>
    <t>Fuming with anger after a heated argument..</t>
  </si>
  <si>
    <t>The fear of the unknown is keeping me up at night..</t>
  </si>
  <si>
    <t>Heartfelt sadness after bidding farewell to a dear friend..</t>
  </si>
  <si>
    <t>The state of corruption in our society is utterly disgusting..</t>
  </si>
  <si>
    <t>Overflowing happiness: welcoming a new family member.</t>
  </si>
  <si>
    <t>Laughter is the key to joyâ€”attending a stand-up comedy show..</t>
  </si>
  <si>
    <t>Sending love to all my followers on this beautiful day.</t>
  </si>
  <si>
    <t>Amused by the antics of my petâ€”it's pure amusement.</t>
  </si>
  <si>
    <t>Enjoying every moment of this tripâ€”pure enjoyment.</t>
  </si>
  <si>
    <t>Admiring the dedication of volunteers at a local charity..</t>
  </si>
  <si>
    <t>Sending affectionate vibes to friends and family..</t>
  </si>
  <si>
    <t>Awe-struck by the beauty of the night sky..</t>
  </si>
  <si>
    <t>Disappointed with the lack of progress in a personal project..</t>
  </si>
  <si>
    <t>A surprise visit from an old friend brought tears of joy..</t>
  </si>
  <si>
    <t>Embracing acceptance of life's ups and downs..</t>
  </si>
  <si>
    <t>Overflowing adoration for a cute rescue puppy.</t>
  </si>
  <si>
    <t>Anticipating the release of a much-awaited movie..</t>
  </si>
  <si>
    <t>Bitter experience at the customer service department..</t>
  </si>
  <si>
    <t>Finding calmness amidst the chaos of daily life..</t>
  </si>
  <si>
    <t>Confusion reigns as I try to make sense of recent events..</t>
  </si>
  <si>
    <t>Excitement building up for a surprise birthday party..</t>
  </si>
  <si>
    <t>Witnessed an act of kindness that made my day..</t>
  </si>
  <si>
    <t>Pride in completing a challenging fitness challenge..</t>
  </si>
  <si>
    <t>A moment of shame for not speaking up against injustice..</t>
  </si>
  <si>
    <t>Reflecting on the beauty of diversity in our world..</t>
  </si>
  <si>
    <t>Excitement for a quiet evening with a good book..</t>
  </si>
  <si>
    <t>Feeling bitter about the unfairness in the workplace..</t>
  </si>
  <si>
    <t>Calmness prevails as I practice mindfulness..</t>
  </si>
  <si>
    <t>Confusion surrounds me as I navigate through life's choices..</t>
  </si>
  <si>
    <t>Excitement for a weekend road trip to explore new places..</t>
  </si>
  <si>
    <t>Kindness witnessed today restores my faith in humanity..</t>
  </si>
  <si>
    <t>Pride in accomplishing personal and professional goals..</t>
  </si>
  <si>
    <t>Shame for not being true to my values in a difficult situation..</t>
  </si>
  <si>
    <t>Revisiting old memories, feeling a sense of elation..</t>
  </si>
  <si>
    <t>The victory of our team brought euphoria to the city..</t>
  </si>
  <si>
    <t>Embracing the beauty of nature, a moment of contentment..</t>
  </si>
  <si>
    <t>Meditating by the serene lake, finding inner peace..</t>
  </si>
  <si>
    <t>Overflowing with gratitude for life's blessings..</t>
  </si>
  <si>
    <t>Hopeful for a brighter tomorrow, despite challenges..</t>
  </si>
  <si>
    <t>Empowered to make a difference in my community..</t>
  </si>
  <si>
    <t>Compassion in action: supporting a local charity event..</t>
  </si>
  <si>
    <t>A moment of tenderness, connecting with loved ones..</t>
  </si>
  <si>
    <t>Arousal of excitement as I await a special announcement..</t>
  </si>
  <si>
    <t>Enthusiastically diving into a new project..</t>
  </si>
  <si>
    <t>Feeling a sense of fulfillment after reaching a milestone..</t>
  </si>
  <si>
    <t>Reverence for the beauty of a historic landmark..</t>
  </si>
  <si>
    <t>Elation after a surprise reunion with old friends..</t>
  </si>
  <si>
    <t>The euphoria of a live music concert under the stars..</t>
  </si>
  <si>
    <t>Contentment in the simplicity of a quiet Sunday..</t>
  </si>
  <si>
    <t>Serenity found in the pages of a favorite book..</t>
  </si>
  <si>
    <t>Gratitude for the support received during tough times..</t>
  </si>
  <si>
    <t>Hopeful about the possibilities of a new journey..</t>
  </si>
  <si>
    <t>Empowerment through learning and personal growth..</t>
  </si>
  <si>
    <t>Compassion towards those in need during the holidays..</t>
  </si>
  <si>
    <t>Tenderness in the warmth of a cozy winter evening..</t>
  </si>
  <si>
    <t>Arousal of excitement for an upcoming adventure..</t>
  </si>
  <si>
    <t>Enthusiasm for a creative project in the making..</t>
  </si>
  <si>
    <t>Fulfillment in completing a challenging workout routine..</t>
  </si>
  <si>
    <t>Reverence for the artistry displayed in a museum..</t>
  </si>
  <si>
    <t>Elation after achieving a personal goal..</t>
  </si>
  <si>
    <t>Elation over discovering a hidden gem in the city..</t>
  </si>
  <si>
    <t>The euphoria of a surprise birthday celebration..</t>
  </si>
  <si>
    <t>Contentment in the simplicity of a home-cooked meal..</t>
  </si>
  <si>
    <t>Serenity found in the melody of a peaceful piano..</t>
  </si>
  <si>
    <t>Gratitude for the supportive community around me..</t>
  </si>
  <si>
    <t>Hopeful about the prospects of a new business venture..</t>
  </si>
  <si>
    <t>Empowerment through mentoring and guiding others..</t>
  </si>
  <si>
    <t>Compassion shown through acts of kindness in the community..</t>
  </si>
  <si>
    <t>Tenderness in a heartfelt message to a loved one..</t>
  </si>
  <si>
    <t>Arousal of excitement before a much-awaited trip..</t>
  </si>
  <si>
    <t>Enthusiasm for a new artistic project in the works..</t>
  </si>
  <si>
    <t>Feeling a sense of fulfillment after helping others..</t>
  </si>
  <si>
    <t>Reverence for the historical significance of a landmark..</t>
  </si>
  <si>
    <t>Elation after achieving a fitness milestone..</t>
  </si>
  <si>
    <t>The euphoria of a successful product launch..</t>
  </si>
  <si>
    <t>Contentment in the embrace of a loved one..</t>
  </si>
  <si>
    <t>Serenity found in the beauty of a sunset by the sea..</t>
  </si>
  <si>
    <t>Gratitude for the small joys that each day brings..</t>
  </si>
  <si>
    <t>Hopeful about the potential for personal growth..</t>
  </si>
  <si>
    <t>Empowerment through learning a new skill..</t>
  </si>
  <si>
    <t>Compassion in volunteering for a local charity..</t>
  </si>
  <si>
    <t>Tenderness in a quiet moment shared with a pet..</t>
  </si>
  <si>
    <t>Arousal of excitement for an upcoming festival..</t>
  </si>
  <si>
    <t>Enthusiasm for a DIY home improvement project..</t>
  </si>
  <si>
    <t>Fulfillment in completing a challenging puzzle..</t>
  </si>
  <si>
    <t>Reverence for the wonders of nature on a hiking trail..</t>
  </si>
  <si>
    <t>Elation after a surprise reunion with a childhood friend..</t>
  </si>
  <si>
    <t>Suffering from despair after another setback..</t>
  </si>
  <si>
    <t>Overwhelmed by grief, missing a loved one dearly..</t>
  </si>
  <si>
    <t>Loneliness creeps in as the night grows colder..</t>
  </si>
  <si>
    <t>Jealousy consumes me as I witness others' success..</t>
  </si>
  <si>
    <t>Resentment building up over past betrayals..</t>
  </si>
  <si>
    <t>Frustration mounts as obstacles block my path..</t>
  </si>
  <si>
    <t>Boredom sets in, the day feels endlessly dull..</t>
  </si>
  <si>
    <t>Anxiety grips my heart, worry clouds my thoughts..</t>
  </si>
  <si>
    <t>Intimidation by the unknown future ahead..</t>
  </si>
  <si>
    <t>Helplessness sinks in as challenges pile up..</t>
  </si>
  <si>
    <t>Envy eats away at me as I see others' prosperity..</t>
  </si>
  <si>
    <t>Regret over missed opportunities haunts my thoughts..</t>
  </si>
  <si>
    <t>Disgust at the sight of injustice and cruelty..</t>
  </si>
  <si>
    <t>Drowning in despair, hope slipping through my fingers..</t>
  </si>
  <si>
    <t>Grief weighs heavy, tears a constant companion..</t>
  </si>
  <si>
    <t>Loneliness in a crowded room, a silent cry for connection..</t>
  </si>
  <si>
    <t>Jealousy gnaws at my confidence, a toxic emotion..</t>
  </si>
  <si>
    <t>Resentment festers, poisoning relationships..</t>
  </si>
  <si>
    <t>Frustration boils over, a volcanic eruption of emotions..</t>
  </si>
  <si>
    <t>Boredom settles like dust, life feels mundane..</t>
  </si>
  <si>
    <t>Anxiety grips my chest, a relentless grip on my thoughts..</t>
  </si>
  <si>
    <t>Intimidation by the challenges ahead, fear takes hold..</t>
  </si>
  <si>
    <t>Helplessness engulfs me, drowning in a sea of problems..</t>
  </si>
  <si>
    <t>Envy poisons my thoughts, coveting others' success..</t>
  </si>
  <si>
    <t>Regret for decisions that led to a painful present..</t>
  </si>
  <si>
    <t>Disgust at the corruption that stains society..</t>
  </si>
  <si>
    <t>Sinking in despair, each day darker than the last..</t>
  </si>
  <si>
    <t>Grief overwhelms, a storm of emotions within..</t>
  </si>
  <si>
    <t>Loneliness echoes in empty spaces, yearning for connection..</t>
  </si>
  <si>
    <t>Jealousy poisons my thoughts, resentment brewing within..</t>
  </si>
  <si>
    <t>Resentment festers, a wound that refuses to heal..</t>
  </si>
  <si>
    <t>Frustration escalates, a thunderstorm of emotions..</t>
  </si>
  <si>
    <t>Boredom lingers, a stagnant pool of indifference..</t>
  </si>
  <si>
    <t>Embarking on a journey of discovery, fueled by curiosity and a thirst for knowledge..</t>
  </si>
  <si>
    <t>Lost in the vast sea of information, an indifferent wave in the digital ocean..</t>
  </si>
  <si>
    <t>The complex puzzle of life leaves me in a state of perpetual confusion, seeking answers in the chaos..</t>
  </si>
  <si>
    <t>A numbness settles over me, a shield against the overwhelming emotions life throws my way..</t>
  </si>
  <si>
    <t>Gazing at the sunset, a melancholic longing for moments that slip through the fingers of time..</t>
  </si>
  <si>
    <t>Revisiting old photographs, caught in the embrace of nostalgia's bittersweet symphony..</t>
  </si>
  <si>
    <t>Torn between conflicting emotions, an ambivalence that paints my decisions in shades of uncertainty..</t>
  </si>
  <si>
    <t>Embracing the ebb and flow of life, finding acceptance in the dance of existence..</t>
  </si>
  <si>
    <t>Facing challenges head-on, a determination that fuels the fire within to achieve the impossible..</t>
  </si>
  <si>
    <t>Serenity found in the stillness of nature, a tranquil retreat from the chaos of the modern world..</t>
  </si>
  <si>
    <t>Curiosity leading me down the rabbit hole of knowledge, a perpetual student in life's classroom..</t>
  </si>
  <si>
    <t>Floating through the day with an air of indifference, detached from the mundane happenings around..</t>
  </si>
  <si>
    <t>Entangled in the web of thoughts, confusion reigning as I navigate the labyrinth of ideas..</t>
  </si>
  <si>
    <t>Numb to the chaos, emotions locked away, a stoic facade concealing the inner turmoil..</t>
  </si>
  <si>
    <t>Melancholy whispers in the breeze, a silent conversation with the echoes of forgotten dreams..</t>
  </si>
  <si>
    <t>Stumbling upon an old journal, nostalgia flooding in waves, carrying me to moments long gone..</t>
  </si>
  <si>
    <t>A tapestry of conflicting feelings, weaving through uncertainty, caught in the threads of ambivalence..</t>
  </si>
  <si>
    <t>Embracing the flaws, finding acceptance in imperfection, a journey towards self-love..</t>
  </si>
  <si>
    <t>Determination burning like a wildfire, overcoming obstacles, turning dreams into reality..</t>
  </si>
  <si>
    <t>Tranquil moments by the ocean, serenity washing over, a peaceful retreat within the waves' embrace..</t>
  </si>
  <si>
    <t>Exploring new horizons with the spark of curiosity, an adventurer in the vast landscape of knowledge..</t>
  </si>
  <si>
    <t>Drifting through the day with a nonchalant demeanor, embracing the art of indifference..</t>
  </si>
  <si>
    <t>Wrestling with thoughts, a perplexed mind lost in the labyrinth of life's complexities..</t>
  </si>
  <si>
    <t>Immersed in a state of emotional numbness, a shield against the storm of daily struggles..</t>
  </si>
  <si>
    <t>A melancholic symphony playing in the background, the soundtrack of a wistful heart..</t>
  </si>
  <si>
    <t>Flipping through the pages of an old yearbook, nostalgia painting smiles and tears on my face..</t>
  </si>
  <si>
    <t>Torn between opposing emotions, an ambivalence that colors my decisions with shades of uncertainty..</t>
  </si>
  <si>
    <t>Embracing life's imperfections, finding acceptance in the journey, scars and all..</t>
  </si>
  <si>
    <t>A fiery determination burning within, fueled by the vision of reaching unparalleled heights..</t>
  </si>
  <si>
    <t>Basking in the serenity of a quiet forest, where the whispers of nature bring peace to the soul..</t>
  </si>
  <si>
    <t>Indifferent to the noise of the world, a silent observer in the midst of life's cacophony..</t>
  </si>
  <si>
    <t>Navigating through the labyrinth of thoughts, confusion a constant companion in the maze of ideas..</t>
  </si>
  <si>
    <t>An impenetrable numbness shields me from the emotional storms, a fortress of stoic resilience..</t>
  </si>
  <si>
    <t>Melancholy painting the world in hues of nostalgia, a canvas of bittersweet memories..</t>
  </si>
  <si>
    <t>A journey into the past, flipping through the pages of an old diary, nostalgia taking the lead..</t>
  </si>
  <si>
    <t>Ambivalence clouding decisions, caught in the crossroads of conflicting emotions..</t>
  </si>
  <si>
    <t>Embracing imperfections, finding acceptance in the mosaic of life's beautiful chaos..</t>
  </si>
  <si>
    <t>Determination as the driving force, propelling me forward on the path to extraordinary achievements..</t>
  </si>
  <si>
    <t>Seeking serenity in the melody of raindrops, a tranquil escape from the noise of everyday life..</t>
  </si>
  <si>
    <t>Curiosity driving the exploration of the unknown, a seeker of knowledge in uncharted territories..</t>
  </si>
  <si>
    <t>Drifting through the day with an air of nonchalance, indifferent to the trivialities of life..</t>
  </si>
  <si>
    <t>Lost in the labyrinth of thoughts, confusion casting shadows on the quest for clarity..</t>
  </si>
  <si>
    <t>Wrapped in the cloak of emotional numbness, a shield against the storms of life's turbulence..</t>
  </si>
  <si>
    <t>Melancholy as a companion, painting the canvas of life with the brushstrokes of wistful yearning..</t>
  </si>
  <si>
    <t>Leafing through the pages of an old photo album, nostalgia weaving tales of laughter and tears..</t>
  </si>
  <si>
    <t>Ambivalence in the air, caught between the crossroads of conflicting emotions and decisions..</t>
  </si>
  <si>
    <t>Embracing the beauty in imperfections, finding acceptance in the mosaic of life's unpredictable art..</t>
  </si>
  <si>
    <t>Determination ablaze, forging a path through challenges, sculpting dreams into tangible realities..</t>
  </si>
  <si>
    <t>Immerse in the serenity of a moonlit night, where the quiet whispers of nature bring peace to the soul..</t>
  </si>
  <si>
    <t>Fueled by curiosity, venturing into uncharted realms, a fearless explorer of the mysteries of the world..</t>
  </si>
  <si>
    <t>Dancing through life with the exuberance of a carefree spirit, embracing joy and zest at every turn..</t>
  </si>
  <si>
    <t>Basking in the golden glow of contentment, a serene river flowing through the landscape of the heart..</t>
  </si>
  <si>
    <t>Gazing towards the horizon with hopeful eyes, painting a canvas of dreams illuminated by the sun of optimism..</t>
  </si>
  <si>
    <t>Standing tall, proud as an oak, the branches of achievement reaching towards the sky of accomplishment..</t>
  </si>
  <si>
    <t>A heart overflowing with gratitude, a garden where appreciation blooms in the soil of kindness and connection..</t>
  </si>
  <si>
    <t>Extending a hand, empathetic threads weaving a tapestry of understanding, embracing the joys and sorrows of others..</t>
  </si>
  <si>
    <t>Compassionate clouds, heavy with care, showering empathy on the parched grounds of human suffering..</t>
  </si>
  <si>
    <t>Playfully dancing in the rain of laughter, a whimsical spirit twirling in the puddles of joy and lightheartedness..</t>
  </si>
  <si>
    <t>Soaring on the wings of a free spirit, unburdened by the chains of conformity, painting the sky with independence..</t>
  </si>
  <si>
    <t>Bathed in the glow of inspiration, a creative phoenix rising from the ashes of ordinary thoughts to explore new realms..</t>
  </si>
  <si>
    <t>Navigating the sea of hope, sailing towards the sunrise of possibilities, confident in the ship of positive anticipation..</t>
  </si>
  <si>
    <t>Striding with confidence, footprints of self-assuredness imprinted on the sands of challenges conquered and victories claimed..</t>
  </si>
  <si>
    <t>Lost in the symphony of the night, a moonlit serenade that whispers tales of wanderlust and moonlit dreams..</t>
  </si>
  <si>
    <t>Unveiling the layers of curiosity, a labyrinth of questions leading to the treasure troves of undiscovered knowledge..</t>
  </si>
  <si>
    <t>In the embrace of the autumn breeze, leaves of ambivalence dancing in a waltz between choices and uncertainties..</t>
  </si>
  <si>
    <t>Gratitude as a guiding star, navigating the constellation of blessings in the vast universe of life's precious moments..</t>
  </si>
  <si>
    <t>With a zestful heart, sprinting through fields of enthusiasm, chasing sunbeams and laughter in the meadows of joy..</t>
  </si>
  <si>
    <t>A compassionate rain, tears of empathy falling gently, nurturing the seeds of kindness in the garden of human connections..</t>
  </si>
  <si>
    <t>Proudly scaling the peaks of achievement, a mountaineer conquering challenges and planting the flag of success..</t>
  </si>
  <si>
    <t>Embraced by the hopeful dawn, a gardener sowing seeds of optimism, tending to the blooms of a brighter tomorrow..</t>
  </si>
  <si>
    <t>A playful escapade in the carnival of life, carousel laughter and cotton candy dreams swirling in the joyous atmosphere..</t>
  </si>
  <si>
    <t>Floating on clouds of inspiration, an artist painting the sky with strokes of creativity, creating a masterpiece of dreams..</t>
  </si>
  <si>
    <t>Navigating the river of contentment, a serene boat cruise through the tranquil waters of inner peace and acceptance..</t>
  </si>
  <si>
    <t>With empathy as a lantern, wandering through the dark alleys of sorrow, illuminating the path with compassion and care..</t>
  </si>
  <si>
    <t>A free spirit soaring on the wings of dreams, leaving trails of independence in the azure sky of boundless possibilities..</t>
  </si>
  <si>
    <t>Bathed in the golden hues of gratefulness, a sunset of appreciation casting its warm glow on the landscapes of the heart..</t>
  </si>
  <si>
    <t>Confident strides in the dance of life, a ballroom where self-assuredness leads, twirling through challenges with grace..</t>
  </si>
  <si>
    <t>Hopeful whispers of wind, carrying the promises of a brighter tomorrow, a symphony of optimism in the air of possibilities..</t>
  </si>
  <si>
    <t>Playfully juggling responsibilities, a circus performer balancing the acts of work and joy, tossing laughter into the air..</t>
  </si>
  <si>
    <t>Whispering tales of inspiration to the stars, a storyteller crafting constellations from the threads of imagination..</t>
  </si>
  <si>
    <t>Charting a course through the waves of hopeful anticipation, a sailor steering towards the shores of dreams yet unexplored..</t>
  </si>
  <si>
    <t>Drowning in the abyss of despair, a heart shattered into fragments, lost in the echoing silence of hopelessness..</t>
  </si>
  <si>
    <t>Bitterness festering like a venomous vine, entwining the soul in a web of resentment, poisoning the garden of peace..</t>
  </si>
  <si>
    <t>Wandering through the desert of loneliness, each step a heavy sigh, mirages of connection shimmering but never materializing..</t>
  </si>
  <si>
    <t>Yearning for a touch that's not there, echoes of a distant warmth haunting the heart in the cold embrace of solitude..</t>
  </si>
  <si>
    <t>Eyes wide open in the night, fearful shadows dancing on the walls, the mind a prisoner of imagined horrors..</t>
  </si>
  <si>
    <t>Apprehensive steps on the tightrope of uncertainty, a balancing act where the fall seems inevitable, anxiety a constant companion..</t>
  </si>
  <si>
    <t>Overwhelmed by the weight of the world, Atlas with trembling shoulders, each responsibility a boulder in the landscape of exhaustion..</t>
  </si>
  <si>
    <t>Jealousy, a green-eyed monster, lurking in the shadows, casting a dark cloud over the sunshine of others' success..</t>
  </si>
  <si>
    <t>Devastated by the storm of betrayal, the wreckage of trust scattered like debris, a heart torn by the winds of broken promises..</t>
  </si>
  <si>
    <t>Frustrated fingers tapping on the keyboard, a symphony of annoyance composing an unsolvable puzzle of unmet expectations..</t>
  </si>
  <si>
    <t>Envious eyes fixated on the gilded prize, a heartache fueled by the painful desire for possessions that seem forever out of reach..</t>
  </si>
  <si>
    <t>Dismissive glances, a fortress built with indifference, walls impenetrable to the pleas of understanding and recognition..</t>
  </si>
  <si>
    <t>Shattered dreams lie on the floor like fragments of glass, a mosaic of disappointment crafted by the hands of frustration..</t>
  </si>
  <si>
    <t>Loneliness, a silent companion in the night, the only echo in the chamber of solitude, a heart's solitary nocturne..</t>
  </si>
  <si>
    <t>Fearful whispers in the dark, the mind haunted by the specter of the unknown, shadows dancing to the rhythm of anxiety's tune..</t>
  </si>
  <si>
    <t>Bitterness, a bitter aftertaste lingering on the tongue, each word a reminder of wounds that refuse to heal with the passing of time..</t>
  </si>
  <si>
    <t>Overwhelmed by the cacophony of expectations, a drowning soul in the tempest of pressure, struggling to stay afloat..</t>
  </si>
  <si>
    <t>Jealousy, a venom that seeps through the veins, poisoning the heart and turning it into a breeding ground for discontent..</t>
  </si>
  <si>
    <t>Devastated by the revelation of betrayal, the trust shattered like fragile glass, leaving shards of pain in its wake..</t>
  </si>
  <si>
    <t>Frustrated attempts to mend a broken connection, the threads of understanding slipping through the fingers like grains of sand..</t>
  </si>
  <si>
    <t>Envious gazes cast upon the podium of success, a bitter pill swallowed, the taste lingering as a constant reminder of unattained heights..</t>
  </si>
  <si>
    <t>Dismissive gestures, a curtain drawn to shield the vulnerability, a stage where emotions take a backseat to the performance of indifference..</t>
  </si>
  <si>
    <t>Despair like a heavy fog, enveloping every thought, blurring the path ahead, a journey in the labyrinth of utter hopelessness..</t>
  </si>
  <si>
    <t>Bitterness, a bitter chill in the air, freezing moments into icicles of resentment that dangle precariously over the landscape of memory..</t>
  </si>
  <si>
    <t>Loneliness, a solitary moon in a starless sky, casting a cold glow on the landscape of isolation, where echoes bounce in empty spaces..</t>
  </si>
  <si>
    <t>Yearning for the warmth of a vanished sun, a heartache painted in the hues of a sunset that never graced the horizon..</t>
  </si>
  <si>
    <t>Fearful eyes scanning the shadows, a prisoner of the night, terrorized by the lurking monsters born from the mind's darkest corners..</t>
  </si>
  <si>
    <t>Apprehensive whispers in the wind, a forecast of uncertainty, the mind's weather vane spinning wildly in the storm of doubt..</t>
  </si>
  <si>
    <t>Overwhelmed by the maze of expectations, a minotaur of pressure lurking in the labyrinth, waiting to devour the spirit of resilience..</t>
  </si>
  <si>
    <t>Jealousy, a festering wound, the pain intensifying with each glance at the garden of others' achievements, blooming beyond the fence..</t>
  </si>
  <si>
    <t>Devastated, a heart in ruins, the echoes of shattered dreams reverberating in the chambers, a requiem for what once was whole..</t>
  </si>
  <si>
    <t>Frustrated attempts to untangle the knot of confusion, the threads of understanding slipping further into the labyrinth of miscommunication..</t>
  </si>
  <si>
    <t>Envious eyes locked on the treasure chest of opportunities, a heartache fueled by the desire for keys that seem forever elusive..</t>
  </si>
  <si>
    <t>Awe-struck by the breathtaking sunrise over the mountains..</t>
  </si>
  <si>
    <t>Navigating through the challenges with determination..</t>
  </si>
  <si>
    <t>Nostalgia hits while flipping through an old photo album..</t>
  </si>
  <si>
    <t>Thrilled to witness the grandeur of a cultural festival..</t>
  </si>
  <si>
    <t>Calmness found in the rhythm of raindrops on the windowpane..</t>
  </si>
  <si>
    <t>Overwhelmed by the support received during a personal challenge..</t>
  </si>
  <si>
    <t>Excitement builds as the countdown to a long-awaited vacation begins..</t>
  </si>
  <si>
    <t>Reflecting on life's journey, grateful for the lessons learned..</t>
  </si>
  <si>
    <t>Bittersweet emotions arise while bidding farewell to a dear friend..</t>
  </si>
  <si>
    <t>Curiosity sparked by exploring a mysterious ancient ruin..</t>
  </si>
  <si>
    <t>Admiration for the intricate details of a handcrafted masterpiece..</t>
  </si>
  <si>
    <t>Overjoyed by the warmth of a cozy fireplace on a winter evening..</t>
  </si>
  <si>
    <t>Inspiration strikes while observing the colors of a vibrant sunset..</t>
  </si>
  <si>
    <t>Motivated to achieve fitness goals after an invigorating workout..</t>
  </si>
  <si>
    <t>Gratitude for the simple joys found in a cup of morning coffee..</t>
  </si>
  <si>
    <t>Feeling empowered after conquering a challenging hiking trail..</t>
  </si>
  <si>
    <t>Amused by the antics of playful kittens during playtime..</t>
  </si>
  <si>
    <t>Contemplating life's mysteries under the starry night sky..</t>
  </si>
  <si>
    <t>Joyful reunion with long-lost friends after years of separation..</t>
  </si>
  <si>
    <t>Excitement builds while preparing for a surprise celebration..</t>
  </si>
  <si>
    <t>Satisfaction derived from successfully completing a DIY project..</t>
  </si>
  <si>
    <t>Feeling blessed for the supportive community in times of need..</t>
  </si>
  <si>
    <t>Captivated by the serenity of a tranquil garden in full bloom..</t>
  </si>
  <si>
    <t>Anticipation for an upcoming adventure in an exotic destination..</t>
  </si>
  <si>
    <t>Reflecting on personal growth achieved through life experiences..</t>
  </si>
  <si>
    <t>Nostalgic memories flood in while revisiting childhood favorites..</t>
  </si>
  <si>
    <t>Appreciation for the vibrant culture experienced during travel..</t>
  </si>
  <si>
    <t>Confidence soars after overcoming public speaking anxiety..</t>
  </si>
  <si>
    <t>Contentment in the midst of a family gathering filled with laughter..</t>
  </si>
  <si>
    <t>Enthusiasm for learning new skills and expanding knowledge..</t>
  </si>
  <si>
    <t>Surprise and delight at discovering a hidden gem in the city..</t>
  </si>
  <si>
    <t>A sense of accomplishment after completing a challenging workout..</t>
  </si>
  <si>
    <t>Wonderment at the beauty of a double rainbow after the rain..</t>
  </si>
  <si>
    <t>Optimism for a bright future amidst challenging times..</t>
  </si>
  <si>
    <t>Pride in achieving a personal milestone in career progression..</t>
  </si>
  <si>
    <t>Happiness blooms like flowers in a garden on a sunny day..</t>
  </si>
  <si>
    <t>Elation over discovering a rare book in a quaint bookstore..</t>
  </si>
  <si>
    <t>Curiosity piqued by the mysteries of an ancient archaeological site..</t>
  </si>
  <si>
    <t>Mesmerized by the cosmic dance of fireflies on a moonlit night..</t>
  </si>
  <si>
    <t>Intrigued by the symphony of colors in an abstract art exhibition..</t>
  </si>
  <si>
    <t>Giggles and joy echo in the air during a children's playdate..</t>
  </si>
  <si>
    <t>Enveloped in serenity while practicing mindfulness by the lake..</t>
  </si>
  <si>
    <t>Chasing dreams like a kite soaring high in the vast open sky..</t>
  </si>
  <si>
    <t>Spellbound by the elegance of a ballroom dance under crystal chandeliers..</t>
  </si>
  <si>
    <t>Whimsical delight in a world of fairy tales and magical creatures..</t>
  </si>
  <si>
    <t>Pensive contemplation amid the ancient ruins of a forgotten civilization..</t>
  </si>
  <si>
    <t>Embracing the thrill of speed on a rollercoaster's exhilarating twists..</t>
  </si>
  <si>
    <t>Harmony resonates as musicians play a melody of unity and togetherness..</t>
  </si>
  <si>
    <t>A burst of creativity in the quiet solitude of an artist's studio..</t>
  </si>
  <si>
    <t>Radiant joy akin to blooming flowers on a sun-kissed spring morning..</t>
  </si>
  <si>
    <t>A sense of wonder at the vastness of the cosmos on a stargazing night..</t>
  </si>
  <si>
    <t>Rejuvenated by the salty breeze and the sound of waves at the seaside..</t>
  </si>
  <si>
    <t>Whispers of inspiration from the rustling leaves in a serene forest..</t>
  </si>
  <si>
    <t>Savoring the warmth of a cup of cocoa on a chilly winter evening..</t>
  </si>
  <si>
    <t>Heartfelt gratitude for the laughter shared during a family reunion..</t>
  </si>
  <si>
    <t>Embarking on a culinary adventure, savoring exotic flavors around the world..</t>
  </si>
  <si>
    <t>Euphoria floods in as the final puzzle piece clicks into place..</t>
  </si>
  <si>
    <t>Awe-inspired by the grandeur of an ancient cathedral's intricate architecture..</t>
  </si>
  <si>
    <t>Captivated by the ethereal beauty of a field filled with fireflies..</t>
  </si>
  <si>
    <t>Immersed in the enchanting melodies of a street musician's violin..</t>
  </si>
  <si>
    <t>Joyful laughter resonates through a lively summer carnival..</t>
  </si>
  <si>
    <t>Exploring the universe within during a mindful meditation session..</t>
  </si>
  <si>
    <t>Soaring like a free spirit on the winds of a coastal cliff..</t>
  </si>
  <si>
    <t>Dazzled by the elegance of a masquerade ball's dazzling costumes..</t>
  </si>
  <si>
    <t>Whimsical delight in a world of whimsical fairy tales..</t>
  </si>
  <si>
    <t>Reflective contemplation amid the ruins of a forgotten era..</t>
  </si>
  <si>
    <t>Riding the adrenaline rush on a rollercoaster's wild twists..</t>
  </si>
  <si>
    <t>Harmony resonates as musicians play a symphony of unity..</t>
  </si>
  <si>
    <t>A burst of artistic creativity in the quietude of an artist's studio..</t>
  </si>
  <si>
    <t>Radiant joy akin to blossoming flowers on a sunlit spring morning..</t>
  </si>
  <si>
    <t>Awe-inspired by the vastness of the cosmos on a stargazing night..</t>
  </si>
  <si>
    <t>Embarking on a culinary odyssey, savoring flavors around the world..</t>
  </si>
  <si>
    <t>Euphoria floods in as the final puzzle piece fits perfectly..</t>
  </si>
  <si>
    <t>Awe-struck by the grandeur of an ancient cathedral's intricate architecture..</t>
  </si>
  <si>
    <t>Curiosity awakened by the mysteries of an ancient archaeological site..</t>
  </si>
  <si>
    <t>Giddy with excitement as the first snowflakes dance from the sky..</t>
  </si>
  <si>
    <t>Contentment envelops as the aroma of freshly baked bread fills the air..</t>
  </si>
  <si>
    <t>Inspired by the resilience of a lone tree standing tall in a storm..</t>
  </si>
  <si>
    <t>Lost in the pages of a captivating novel, transported to another world..</t>
  </si>
  <si>
    <t>Drenched in nostalgia while flipping through an old family photo album..</t>
  </si>
  <si>
    <t>Spark of inspiration ignites like a shooting star in the night sky..</t>
  </si>
  <si>
    <t>Imbued with gratitude for the simple pleasure of a warm cup of tea..</t>
  </si>
  <si>
    <t>Marveling at the kaleidoscope of colors in a vibrant street market..</t>
  </si>
  <si>
    <t>Awash with serenity as the sun sets over a tranquil lakeside retreat..</t>
  </si>
  <si>
    <t>Drowning in sorrow as memories of lost love resurface..</t>
  </si>
  <si>
    <t>Numbness sets in as the weight of loneliness grows heavier..</t>
  </si>
  <si>
    <t>Tears fall like raindrops, mourning the end of a cherished friendship..</t>
  </si>
  <si>
    <t>Despair clouds the mind, feeling adrift in an endless sea of darkness..</t>
  </si>
  <si>
    <t>Shattered by betrayal, trust crumbles like fragile glass..</t>
  </si>
  <si>
    <t>Aching heart, the symphony of pain plays in the silence of solitude..</t>
  </si>
  <si>
    <t>Emotional storm, a whirlwind of sadness engulfs every thought..</t>
  </si>
  <si>
    <t>Haunted by regrets, the ghost of the past lingers relentlessly..</t>
  </si>
  <si>
    <t>Torn apart by grief, the echoes of loss reverberate through the soul..</t>
  </si>
  <si>
    <t>Isolation deepens, an emotional winter where warmth is but a distant memory..</t>
  </si>
  <si>
    <t>Soul-crushing disappointment, hopes shattered like fragile glass..</t>
  </si>
  <si>
    <t>Painful echoes of a love once cherished, now lost in the abyss of time..</t>
  </si>
  <si>
    <t>Heartache deepens, a solitary journey through the abyss of despair..</t>
  </si>
  <si>
    <t>Melancholy lingers, a bittersweet serenade in the quietude of solitude..</t>
  </si>
  <si>
    <t>Bitterness like a poison, seeping into every crevice of the wounded heart..</t>
  </si>
  <si>
    <t>Emotional exhaustion, the weight of the world crushing weary shoulders..</t>
  </si>
  <si>
    <t>Sorrowful echoes, a symphony of pain played by the strings of loss..</t>
  </si>
  <si>
    <t>Darkness descends, engulfing the soul in the shadows of despair..</t>
  </si>
  <si>
    <t>Desperation whispers, the silent plea for a glimmer of hope in the abyss..</t>
  </si>
  <si>
    <t>Heart in ruins, the remnants of shattered dreams scattered in the wind..</t>
  </si>
  <si>
    <t>Shattered by the echoes of a shattered dream, fragments of hope scattered..</t>
  </si>
  <si>
    <t>Avoiding the thorns of regret, walking barefoot on the path of remorse..</t>
  </si>
  <si>
    <t>In the labyrinth of grief, the walls echo with the footsteps of lost joy..</t>
  </si>
  <si>
    <t>A soul adrift in the sea of solitude, waves of loneliness crashing relentlessly..</t>
  </si>
  <si>
    <t>The bitterness of betrayal, a taste that lingers, staining the palate of trust..</t>
  </si>
  <si>
    <t>In the ruins of hope, echoes of shattered dreams whisper tales of loss..</t>
  </si>
  <si>
    <t>Sinking like a stone in the ocean of heartbreak, each ripple a sigh of despair..</t>
  </si>
  <si>
    <t>Tears, the ink staining the pages of a journal, a testament to silent grief..</t>
  </si>
  <si>
    <t>In the wasteland of lost trust, the echoes of broken promises reverberate..</t>
  </si>
  <si>
    <t>Avoiding the shards of shattered dreams, walking the tightrope of resilience..</t>
  </si>
  <si>
    <t>Suffocating in the silence of solitude, where echoes of laughter once thrived..</t>
  </si>
  <si>
    <t>Haunted by the specter of lost possibilities, a ghost that refuses to fade away..</t>
  </si>
  <si>
    <t>In the labyrinth of despair, the echoes of a broken heart reverberate endlessly..</t>
  </si>
  <si>
    <t>Sinking like autumn leaves in the river of sorrow, carried away by the current..</t>
  </si>
  <si>
    <t>In the garden of broken dreams, petals fall, a silent testimony to shattered hopes..</t>
  </si>
  <si>
    <t>Tears, the currency of grief, spent in the marketplace of lost love and longing..</t>
  </si>
  <si>
    <t>Wandering in the maze of betrayal, the walls closing in with every wrong turn..</t>
  </si>
  <si>
    <t>A soul weathered by the storm of heartbreak, seeking refuge in the calm after..</t>
  </si>
  <si>
    <t>In the tapestry of despair, threads of hope unravel, leaving a portrait of sorrow..</t>
  </si>
  <si>
    <t>Like a withered rose in the garden of love, petals fall, a silent surrender to time..</t>
  </si>
  <si>
    <t>In the void of heartache, echoes of a love song play, each note a pang of longing..</t>
  </si>
  <si>
    <t>Nostalgia, a bittersweet dance in the moonlit ballroom of cherished memories..</t>
  </si>
  <si>
    <t>In the symphony of grief, each tear is a note, composing a melancholic melody..</t>
  </si>
  <si>
    <t>Betrayal, a venomous serpent slithering through the garden of trust, poisoning roots..</t>
  </si>
  <si>
    <t>Sinking in the quicksand of despair, the harder you fight, the deeper you descend..</t>
  </si>
  <si>
    <t>Wandering through the cemetery of lost dreams, tombstones marking untold sorrows..</t>
  </si>
  <si>
    <t>Swept away by the river of regret, the currents of the past refusing to release..</t>
  </si>
  <si>
    <t>Whispers of lost love linger in the attic of the heart, forgotten but not erased..</t>
  </si>
  <si>
    <t>In the gallery of broken promises, each shattered vow framed, a painful exhibition..</t>
  </si>
  <si>
    <t>The echoes of solitude, a silent conversation between a soul and its shadows..</t>
  </si>
  <si>
    <t>Dancing on sunshine, each step a celebration of the joy found in simple moments..</t>
  </si>
  <si>
    <t>Laughter echoes in the air, a chorus of happiness that lifts the spirit higher..</t>
  </si>
  <si>
    <t>In the garden of contentment, each bloom whispers tales of inner peace and joy..</t>
  </si>
  <si>
    <t>Chasing dreams under the vibrant sky, a journey fueled by hope and enthusiasm..</t>
  </si>
  <si>
    <t>Serenading the stars with a heart full of gratitude, a melody of thankfulness..</t>
  </si>
  <si>
    <t>Basking in the glow of accomplishment, each milestone a stepping stone to happiness..</t>
  </si>
  <si>
    <t>In the dance of positivity, every step is a rhythm, uplifting the soul in harmony..</t>
  </si>
  <si>
    <t>Overflowing with joy, a cup of laughter shared with friends, a moment cherished..</t>
  </si>
  <si>
    <t>Draped in the warmth of kindness, a quilt of compassion stitched with love..</t>
  </si>
  <si>
    <t>In the garden of friendships, each bloom a testament to the beauty of camaraderie..</t>
  </si>
  <si>
    <t>In the embrace of love, each heartbeat is a melody, dancing to the rhythm of affection..</t>
  </si>
  <si>
    <t>Surrounded by the colors of joy, a canvas painted with laughter and endless smiles..</t>
  </si>
  <si>
    <t>In the symphony of excitement, each note is a burst of energy, igniting the soul with fervor..</t>
  </si>
  <si>
    <t>A surprise gift, wrapped in anticipation, unfolds a moment of delight and wonder..</t>
  </si>
  <si>
    <t>Lost in the maze of curiosity, each twist and turn unveils the treasures of discovery..</t>
  </si>
  <si>
    <t>Floating on clouds of gratitude, each raindrop a blessing, a shower of thankfulness..</t>
  </si>
  <si>
    <t>Like a comet of inspiration, streaking through the sky of creativity, leaving trails of brilliance..</t>
  </si>
  <si>
    <t>In the celebration of success, fireworks of accomplishment light up the night sky of triumph..</t>
  </si>
  <si>
    <t>A symphony of laughter, each note a key to unlocking the door of boundless happiness..</t>
  </si>
  <si>
    <t>In the carnival of emotions, the rollercoaster of thrill sends the heart on a wild ride..</t>
  </si>
  <si>
    <t>Standing before the grandeur of the Eiffel Tower, a moment to reflect on the beauty of Parisian dreams..</t>
  </si>
  <si>
    <t>Lost in the enchantment of Disneyland, each ride a journey into the realm of childhood fantasies..</t>
  </si>
  <si>
    <t>Exploring the wonders of Ferrari World, the roar of engines creating a symphony of speed..</t>
  </si>
  <si>
    <t>Amidst the tulip fields of Keukenhof, a tapestry of colors that paints the soul with springtime joy..</t>
  </si>
  <si>
    <t>Wandering through the historical streets of Kyoto, each step a journey into the heart of Japan's traditions..</t>
  </si>
  <si>
    <t>In the embrace of the Grand Canyon, nature's masterpiece, a moment to marvel at Earth's grandeur..</t>
  </si>
  <si>
    <t>Journeying through the serenity of Santorini, where each sunset paints the sky with hues of tranquility..</t>
  </si>
  <si>
    <t>Amazed by the architectural marvels of Petra, each stone telling tales of an ancient civilization..</t>
  </si>
  <si>
    <t>Embarking on a gondola ride in Venice, each canal reflecting the romance of this timeless city..</t>
  </si>
  <si>
    <t>At the summit of Machu Picchu, a breathtaking panorama that whispers the secrets of ancient civilizations..</t>
  </si>
  <si>
    <t>In the heart of New York City, Times Square dazzles with lights, a vibrant spectacle of urban energy..</t>
  </si>
  <si>
    <t>Captivated by the historical charm of the Colosseum, each stone echoing tales of gladiator valor..</t>
  </si>
  <si>
    <t>Sailing the azure waters of the Maldives, each wave a whisper of serenity in paradise..</t>
  </si>
  <si>
    <t>In the midst of the Amazon rainforest, a symphony of wildlife creates an orchestra of nature's wonders..</t>
  </si>
  <si>
    <t>Walking the Great Wall of China, each step a testament to ancient engineering marvels..</t>
  </si>
  <si>
    <t>At the summit of Mount Fuji, a breathtaking sunrise that paints the sky with hues of accomplishment..</t>
  </si>
  <si>
    <t>Exploring the ancient ruins of Angkor Wat, each stone whispering stories of Khmer civilization..</t>
  </si>
  <si>
    <t>Skiing down the slopes of the Swiss Alps, each turn a dance with the majesty of snow-capped peaks..</t>
  </si>
  <si>
    <t>In the tranquility of Kyoto's bamboo forest, whispers of ancient Zen wisdom echo through the groves..</t>
  </si>
  <si>
    <t>Cruising the fjords of Norway, each icy landscape a breathtaking masterpiece of nature's grandeur..</t>
  </si>
  <si>
    <t>At the front row of Adele's concert, each note of 'Someone Like You' resonates with soul-stirring emotion..</t>
  </si>
  <si>
    <t>Dancing under the stars at BeyoncÃ©'s live show, feeling the power of 'Single Ladies' in every move..</t>
  </si>
  <si>
    <t>In the crowd of a Taylor Swift concert, the lyrics of 'Love Story' create an enchanting fairy tale..</t>
  </si>
  <si>
    <t>Rocking out to the guitar solos at a Queen tribute concert, a journey back in time with Freddie's spirit..</t>
  </si>
  <si>
    <t>Swaying to Ed Sheeran's acoustic melodies, a serene evening filled with 'Perfect' moments..</t>
  </si>
  <si>
    <t>Immersed in the pulsating beats of a Bruno Mars concert, where 'Uptown Funk' becomes a city of joy..</t>
  </si>
  <si>
    <t>At a Michael Jackson tribute show, moonwalking through the hits, a celebration of the King of Pop..</t>
  </si>
  <si>
    <t>Swinging to the rhythms of a Frank Sinatra tribute, feeling the timeless charm of 'Fly Me to the Moon'..</t>
  </si>
  <si>
    <t>In the mosh pit of a Metallica concert, the thunderous chords create a symphony of headbanging ecstasy..</t>
  </si>
  <si>
    <t>Experiencing the magic of a Coldplay concert, where 'Fix You' becomes a beacon of hope in the night..</t>
  </si>
  <si>
    <t>At a Justin Bieber concert, the infectious beats of 'Baby' create a dance floor of unbridled enthusiasm..</t>
  </si>
  <si>
    <t>In the spotlight at a Lady Gaga show, each costume change is a metamorphosis of creativity and artistry..</t>
  </si>
  <si>
    <t>Immersed in the soulful melodies of Adele, tears flow freely, moved by the emotion of 'Hello'..</t>
  </si>
  <si>
    <t>Drenched in confetti at a Katy Perry concert, a kaleidoscope of colors igniting the night sky..</t>
  </si>
  <si>
    <t>In the audience of a Jay-Z performance, the lyrics of 'Empire State of Mind' become an anthem of pride..</t>
  </si>
  <si>
    <t>Dancing to Shakira's rhythmic beats, hips swaying to the hypnotic charm of 'Hips Don't Lie'..</t>
  </si>
  <si>
    <t>At a U2 concert, the anthemic chords of 'With or Without You' create a timeless moment of connection..</t>
  </si>
  <si>
    <t>Rocking out at a Guns N' Roses show, the iconic riffs of 'Sweet Child o' Mine' echoing in the night..</t>
  </si>
  <si>
    <t>In the crowd of an Ariana Grande concert, the high notes of 'Into You' create a euphoric symphony..</t>
  </si>
  <si>
    <t>Swaying to the reggae vibes of Bob Marley's tribute concert, each chord a journey to Jamaica's soul..</t>
  </si>
  <si>
    <t>Captivated by the spellbinding plot twists, the audience applauds, experiencing a rollercoaster of emotions at the movie premiere..</t>
  </si>
  <si>
    <t>As the credits roll, a profound sense of nostalgia washes over, reminiscent of cherished moments in classic films..</t>
  </si>
  <si>
    <t>Streaming the latest web series, the viewer is engrossed in the characters' journey, feeling a sense of connection and empathy..</t>
  </si>
  <si>
    <t>At the film festival, the indie filmmaker's creation receives a standing ovation, evoking pride and a sense of accomplishment..</t>
  </si>
  <si>
    <t>Watching a heartwarming family drama, tears flow freely as the characters overcome challenges, leaving the viewer with a warm glow..</t>
  </si>
  <si>
    <t>At the Oscars, the actor graciously accepts an award, radiating joy and gratitude for the recognition of their outstanding performance..</t>
  </si>
  <si>
    <t>Discovering a hidden gem in the world of documentaries, the viewer is enlightened and inspired, feeling a renewed sense of curiosity..</t>
  </si>
  <si>
    <t>As the movie credits roll, the viewer experiences a mix of awe and contemplation, pondering the deeper meanings woven into the storyline..</t>
  </si>
  <si>
    <t>Binge-watching a thrilling crime series, the suspense keeps the viewer on the edge of their seat, creating a rush of adrenaline..</t>
  </si>
  <si>
    <t>As the closing scene unfolds, a sense of satisfaction washes over, completing the cinematic journey with a profound and fulfilling ending..</t>
  </si>
  <si>
    <t>Celebrating a historic victory in the World Cup, the nation erupts in joy, united by the triumph of their football team..</t>
  </si>
  <si>
    <t>At the Olympics, the athlete's perseverance shines through, earning a gold medal and inspiring a generation with their remarkable achievement..</t>
  </si>
  <si>
    <t>In the cricket championship, a nail-biting finish leaves fans on the edge of their seats, experiencing a rollercoaster of emotions..</t>
  </si>
  <si>
    <t>Witnessing a record-breaking marathon, spectators are filled with awe and admiration for the endurance and dedication of the runners..</t>
  </si>
  <si>
    <t>In the tennis grand slam, a fierce rivalry unfolds, captivating fans with a display of skill and sportsmanship on the world stage..</t>
  </si>
  <si>
    <t>Cheering for the underdog in the basketball finals, the crowd erupts in applause as the team defies odds to claim the championship title..</t>
  </si>
  <si>
    <t>At the golf tournament, the golfer's precision and focus lead to a stunning victory, leaving spectators in awe of their exceptional skill..</t>
  </si>
  <si>
    <t>Experiencing the thrill of a high-speed Formula 1 race, fans are on the edge of their seats as drivers compete for the championship..</t>
  </si>
  <si>
    <t>In the cycling world championship, the climber conquers challenging terrains, symbolizing determination and achievement against all odds..</t>
  </si>
  <si>
    <t>Witnessing a heartwarming comeback in the hockey finals, fans share tears of joy as the team secures a historic victory after adversity..</t>
  </si>
  <si>
    <t>After a series of defeats, the soccer team faces disappointment, struggling to find the silver lining in a challenging season..</t>
  </si>
  <si>
    <t>In the tennis tournament, a highly anticipated player experiences a setback, leaving fans in shock and questioning the unforeseen turn of events..</t>
  </si>
  <si>
    <t>Facing a defeat in the championship, the boxer reflects on the challenges, vowing to return stronger and more determined in the next bout..</t>
  </si>
  <si>
    <t>In the midst of a cycling race, a tire blowout leads to frustration for the cyclist, who valiantly tries to overcome the unexpected obstacle..</t>
  </si>
  <si>
    <t>The gymnast's unexpected fall during a routine sparks a wave of sympathy from the audience, highlighting the vulnerability of sports..</t>
  </si>
  <si>
    <t>In the golf tournament, a missed crucial putt results in defeat, causing the golfer to reflect on the pressure of high-stakes competition..</t>
  </si>
  <si>
    <t>Experiencing a series of losses in the basketball season, the team grapples with frustration, determined to turn the tide with renewed effort..</t>
  </si>
  <si>
    <t>Despite meticulous training, the swimmer faces disappointment as a split-second miscalculation costs them the lead in a crucial race..</t>
  </si>
  <si>
    <t>The weightlifter's failed attempt at a personal record results in frustration, highlighting the challenging nature of pushing physical limits..</t>
  </si>
  <si>
    <t>In the midst of a soccer match, an unexpected own goal creates a moment of despair for the player, as teammates console and encourage them..</t>
  </si>
  <si>
    <t>In the serene beauty of a sunset, nature unfolds a canvas of colors, evoking a sense of tranquility and wonder..</t>
  </si>
  <si>
    <t>Embarking on a spontaneous road trip, the traveler discovers hidden gems, creating memories that will be cherished for a lifetime..</t>
  </si>
  <si>
    <t>Amidst the bustling city, a quiet cafÃ© becomes a sanctuary for reflection, where a cup of coffee brings solace to the wandering mind..</t>
  </si>
  <si>
    <t>Exploring the vibrant street art of a cultural neighborhood, each mural tells a story, infusing the city with creativity and expression..</t>
  </si>
  <si>
    <t>In the world of science, a breakthrough discovery unfolds, pushing the boundaries of knowledge and opening new frontiers of exploration..</t>
  </si>
  <si>
    <t>Connecting with the melody of a live orchestra, the music enthusiast experiences a symphony that resonates deep within the soul..</t>
  </si>
  <si>
    <t>Embracing the aroma of freshly baked bread, the home chef finds joy in the art of baking, creating delicious memories for loved ones..</t>
  </si>
  <si>
    <t>Wandering through a historical museum, the history enthusiast becomes immersed in the tales of the past, envisioning bygone eras..</t>
  </si>
  <si>
    <t>In the realm of literature, a captivating novel transports the reader to distant lands, weaving a tapestry of imagination and escape..</t>
  </si>
  <si>
    <t>Capturing the essence of a bustling market, the photographer freezes moments in time, each frame telling a unique and vibrant story..</t>
  </si>
  <si>
    <t>Underneath the city lights, the dancer expresses emotions through graceful movements, creating a mesmerizing performance under the night sky..</t>
  </si>
  <si>
    <t>In the heart of a bustling market, the street food connoisseur indulges in a culinary adventure, savoring diverse flavors and aromas..</t>
  </si>
  <si>
    <t>As the first snowflake descends, the winter enthusiast eagerly prepares for a season of frosty delights, anticipating the magic of snow-covered landscapes..</t>
  </si>
  <si>
    <t>Amidst the pages of a captivating mystery novel, the reader unravels clues and secrets, experiencing a thrilling journey of suspense and revelation..</t>
  </si>
  <si>
    <t>Surrounded by the vibrant colors of a flower garden, the gardener nurtures blossoms, finding joy in the beauty of nature's ever-changing canvas..</t>
  </si>
  <si>
    <t>At the astronomy observatory, the stargazer marvels at the vastness of the cosmos, contemplating the mysteries hidden within the celestial expanse..</t>
  </si>
  <si>
    <t>Engulfed in the aroma of freshly brewed coffee, the writer finds inspiration in every sip, embarking on a journey of creativity and prose..</t>
  </si>
  <si>
    <t>In the realm of fashion, the designer unveils a collection that tells a story, blending innovation and tradition on the runway of creativity..</t>
  </si>
  <si>
    <t>As the waves crash against the shore, the surfer embraces the thrill of riding the ocean's energy, capturing the essence of freedom in each wave..</t>
  </si>
  <si>
    <t>Exploring the historical architecture of an ancient city, the traveler is transported to a bygone era, where each monument whispers tales of the past..</t>
  </si>
  <si>
    <t>Successfully avoided eye contact with my crush in the hallway. Mission accomplished. #TeenCrush #StealthMode.</t>
  </si>
  <si>
    <t>Ran out of snacks during a movie marathon. Crisis level: Emergency.</t>
  </si>
  <si>
    <t>Spent an hour choosing the perfect filter for a selfie. The struggle for that Instagram aesthetic is real. #SelfieQueen #TeenVibes.</t>
  </si>
  <si>
    <t>Lost my headphones again. How do they vanish into thin air? #HeadphoneMystery #TeenLife.</t>
  </si>
  <si>
    <t>Decided to study for exams but ended up making memes about studying instead. Procrastination level: Expert. #ProcrastinationNation #TeenConfessions.</t>
  </si>
  <si>
    <t>Got dressed for the day, then remembered it's Saturday. Oops. #WeekendVibes #TeenStruggles.</t>
  </si>
  <si>
    <t>Survived a group project without any drama. Miracles do happen. #GroupProjectSuccess #TeenAchievements.</t>
  </si>
  <si>
    <t>Entered the kitchen with the intention to cook. Left with a bag of chips. Cooking is overrated, anyway. #MasterChefInTraining #TeenHumor.</t>
  </si>
  <si>
    <t>Staring at the clock in class, waiting for the bell to ring like it's the most exciting event of the day. #ClassCountdown #TeenLife.</t>
  </si>
  <si>
    <t>Discovered a new book series and spent the whole night reading. Who needs sleep, anyway? #BookwormLife #LateNightReading.</t>
  </si>
  <si>
    <t>Bought a new video game, played for hours, forgot to eat. The ultimate gaming session. #GamerLife #NoFoodGaming.</t>
  </si>
  <si>
    <t>Spent the day binge-watching a new series. Productivity level: Zero. #LazyDay #TVSeriesMarathon.</t>
  </si>
  <si>
    <t>Caught up on the latest fashion trends and now planning a shopping spree. #Fashionista #TrendyTeen.</t>
  </si>
  <si>
    <t>Decided to learn a new instrument. Day one: Still trying to figure out how to hold it. #MusicNovice #LearningJourney.</t>
  </si>
  <si>
    <t>Spent hours creating the perfect playlist for every mood. Music is my therapy. #PlaylistMaker #TeenMusicLover.</t>
  </si>
  <si>
    <t>Successfully cooked a gourmet meal for the family. Chef skills unlocked.</t>
  </si>
  <si>
    <t>Spontaneously booked a weekend getaway. Adventure awaits.</t>
  </si>
  <si>
    <t>Attended a concert and danced the night away. Music is the heartbeat of life. #ConcertVibes #DanceAllNight.</t>
  </si>
  <si>
    <t>Rediscovered childhood cartoons and had a nostalgia-filled marathon. #CartoonNostalgia #TeenMemories.</t>
  </si>
  <si>
    <t>Embarked on a DIY home decor project. Let's hope it turns out better than last time. #DIYAdventure #TeenHomeDecor.</t>
  </si>
  <si>
    <t>Spent the afternoon at a museum, pretending to be cultured. Art enthusiast in the making. #MuseumDay #TeenArtLover.</t>
  </si>
  <si>
    <t>Started a blog about random thoughts and musings. Blogging is the new diary. #BloggerLife #TeenBlogger.</t>
  </si>
  <si>
    <t>Relishing a peaceful afternoon with a classic novel. Quiet moments are the best moments. #BookLover #PeacefulAfternoon.</t>
  </si>
  <si>
    <t>Reflecting on a lifetime of memories, each wrinkle tells a story. Embracing the beauty of aging. #LifeReflections #BeautyInAging.</t>
  </si>
  <si>
    <t>Exploring the world of digital art. It's never too late to discover new passions. #DigitalArtistry #LateBloomer.</t>
  </si>
  <si>
    <t>Savoring the flavors of a home-cooked meal. Simple joys are the heart of happiness. #HomeCooking #SimpleJoys.</t>
  </si>
  <si>
    <t>Embarking on a journey of learning a new language. The mind stays young with every new word. #LanguageLearning #NeverTooLate.</t>
  </si>
  <si>
    <t>Attended a classical music concert, feeling the timeless melodies resonate. Music transcends generations. #ClassicalMusic #TimelessMelodies.</t>
  </si>
  <si>
    <t>Capturing the beauty of nature through photography. Every snapshot is a treasure. #NaturePhotography #SeniorPhotographer.</t>
  </si>
  <si>
    <t>Reconnecting with old friends over a cup of tea. Friendship, the true essence of companionship. #OldFriends #Companionship.</t>
  </si>
  <si>
    <t>Embarked on a road trip to revisit cherished places from the past. Nostalgia, the ultimate travel companion. #RoadTrip #NostalgiaTour.</t>
  </si>
  <si>
    <t>Joined a community choir, harmonizing with fellow voices. Music creates bonds that withstand time. #CommunityChoir #HarmonyInAging.</t>
  </si>
  <si>
    <t>Exploring the art of meditation, finding tranquility in the stillness of the mind. #MeditationJourney #TranquilMind.</t>
  </si>
  <si>
    <t>Taking a stroll in the garden, appreciating the beauty of blooming flowers. Nature's wonders never cease. #GardenWalk #FloralBeauty.</t>
  </si>
  <si>
    <t>Sipping on a favorite vintage wine, each sip telling a story of the years gone by. Cheers to a life well-lived. #WineLover #VintageCheers.</t>
  </si>
  <si>
    <t>Participated in a community art class, unleashing creativity in the golden years. Art has no age limit. #ArtClass #SeniorArtistry.</t>
  </si>
  <si>
    <t>Embarking on a journey of writing a memoir, documenting a lifetime of experiences. Every story matters. #MemoirWriting #SeniorStories.</t>
  </si>
  <si>
    <t>Attended a lecture on history, always fascinated by the lessons from the past. Learning is a lifelong adventure. #HistoryLecture #SeniorLearning.</t>
  </si>
  <si>
    <t>Rediscovered the joy of cooking traditional family recipes. The kitchen, a place of cherished memories. #FamilyRecipes #SeniorCooking.</t>
  </si>
  <si>
    <t>Joined a nature photography club, capturing the beauty of the great outdoors. Every click is a connection to nature. #NaturePhotography #SeniorPhotographer.</t>
  </si>
  <si>
    <t>Attended a jazz concert and swayed to the rhythm of timeless tunes. Music, a constant companion in the golden years. #JazzConcert #SeniorMusic.</t>
  </si>
  <si>
    <t>Joined a writing group, penning down thoughts and reflections. Writing, a journey into the depths of the soul. #WritingGroup #SeniorWriter.</t>
  </si>
  <si>
    <t>Embarked on a solo travel adventure, discovering the beauty of new places at my own pace. #SoloTravel #SeniorExplorer.</t>
  </si>
  <si>
    <t>Attended a vintage car show, reminiscing about the classics that once ruled the roads. Nostalgia in every rev. #VintageCars #ClassicRides.</t>
  </si>
  <si>
    <t>Started a community garden, growing not just plants but friendships too. Green thumbs unite.</t>
  </si>
  <si>
    <t>Hosted a family dinner, where laughter echoed louder than the clinking of utensils. Family, the heart of happiness. #FamilyDinner #SeniorHost.</t>
  </si>
  <si>
    <t>Enrolled in a dance class for seniors, moving to the rhythm of life. Age is just a number on the dance floor. #DanceClass #SeniorDancer.</t>
  </si>
  <si>
    <t>Visited an art gallery, appreciating the brushstrokes that tell tales of creativity. Art, an eternal companion. #ArtGallery #SeniorArtLover.</t>
  </si>
  <si>
    <t>Started a book club for seniors, where discussions are as lively as the characters in the novels. #BookClub #SeniorReaders.</t>
  </si>
  <si>
    <t>Hosted a picnic in the park, basking in the warmth of friendship and sunshine. Simple joys, timeless memories. #ParkPicnic #SeniorJoy.</t>
  </si>
  <si>
    <t>Participated in a local theater production, proving that the stage belongs to every age. #TheaterProduction #SeniorActor.</t>
  </si>
  <si>
    <t>Embarked on a hiking adventure, conquering trails and relishing the beauty of nature. Age is just a number on the mountaintop. #HikingAdventure #SeniorHiker.</t>
  </si>
  <si>
    <t>Hosted a photography exhibition featuring snapshots of a life well-lived. Every photo has a story to tell. #PhotographyExhibition #SeniorPhotographer.</t>
  </si>
  <si>
    <t>Joined a seniors' cycling club, feeling the wind in my hair and the freedom of the open road. #CyclingClub #SeniorCyclist.</t>
  </si>
  <si>
    <t>Attended a wine tasting event, savoring the richness of flavors that age like fine wine. Cheers to the golden years.</t>
  </si>
  <si>
    <t>Started learning ballroom dancing, gliding gracefully across the dance floor. Ageless elegance in every step. #BallroomDancing #SeniorDancer.</t>
  </si>
  <si>
    <t>Organized a community painting event, turning blank canvases into a masterpiece of shared creativity. #PaintingEvent #SeniorArtist.</t>
  </si>
  <si>
    <t>Hosted a 'memory lane' evening with old friends, reminiscing about the adventures that shaped our lives. #MemoryLane #SeniorReminiscing.</t>
  </si>
  <si>
    <t>Joined a seniors' astronomy club, stargazing and finding wonder in the vastness of the cosmos. #AstronomyClub #SeniorStargazer.</t>
  </si>
  <si>
    <t>Attended a local jazz festival, tapping toes to the tunes that have stood the test of time. Music, a lifelong love affair. #JazzFestival #SeniorMusicLover.</t>
  </si>
  <si>
    <t>Started a blog sharing the wisdom gained through the years, proving that every day is a chance to learn and grow. #SeniorWisdom #Blog.</t>
  </si>
  <si>
    <t>Participated in a charity run, proving that age is no barrier to supporting meaningful causes. #CharityRun #SeniorRunner.</t>
  </si>
  <si>
    <t>Survived a challenging physics exam. Equations, you won't defeat me.</t>
  </si>
  <si>
    <t>Exploring the world of coding. Debugging is an adventure on its own.</t>
  </si>
  <si>
    <t>Joined the school debate team. Words are my weapons, and I'm ready for battle.</t>
  </si>
  <si>
    <t>Started a photography club at school. Capturing moments, one snapshot at a time.</t>
  </si>
  <si>
    <t>Daydreaming about the upcoming prom. The dress, the dance â€“ it's a fairytale in the making.</t>
  </si>
  <si>
    <t>Convinced the teacher to have class outdoors. Learning equations with a side of fresh air.</t>
  </si>
  <si>
    <t>Accidentally spilled paint in art class. Abstract art, right? #ArtClassAdventures #HighSchoolArtist.</t>
  </si>
  <si>
    <t>Trying to master the perfect kickflip on my skateboard. Skating into the weekend like a pro.</t>
  </si>
  <si>
    <t>Bonding with friends over the latest K-pop sensation. Fangirling at its finest.</t>
  </si>
  <si>
    <t>Spent hours perfecting a chemistry experiment. Mixing potions like a wizard.</t>
  </si>
  <si>
    <t>Successfully organized a surprise birthday party for a friend. Party planning expert mode: Achieved.</t>
  </si>
  <si>
    <t>Joined the drama club to unleash my inner actor. Lights, camera, action.</t>
  </si>
  <si>
    <t>Got my hands on the latest fantasy novel. Diving into realms of magic and adventure.</t>
  </si>
  <si>
    <t>Mastering the art of the perfect doodle during boring classes. Doodles: A+.</t>
  </si>
  <si>
    <t>Attempting to break the school record for the longest handstand. Wish me luck.</t>
  </si>
  <si>
    <t>Sneaking snacks into class like a pro. The art of snack-smuggling is a sacred skill.</t>
  </si>
  <si>
    <t>Hosting a sleepover with friends this weekend. Preparing for a night of laughter and memories.</t>
  </si>
  <si>
    <t>Spent hours on a TikTok dance, only to realize I have two left feet. Dance fail: Unleashed.</t>
  </si>
  <si>
    <t>Accidentally liked my crush's old photo while stalking their profile. Awkward level: Maximum.</t>
  </si>
  <si>
    <t>Tried to impress my crush with a smooth conversation. Ended up spilling my drink. Smooth level: Nonexistent.</t>
  </si>
  <si>
    <t>Mastered the art of creating paper airplanes during lecture. Paper planes: Soaring to new heights.</t>
  </si>
  <si>
    <t>Trying to set a new trend by juggling textbooks between classes. Academic juggling: A unique skill.</t>
  </si>
  <si>
    <t>Hiding a snack stash in my backpack for emergency cravings. Snack ninja mode: Activated.</t>
  </si>
  <si>
    <t>Planning a surprise scavenger hunt for friends. Anticipating the thrill and excitement.</t>
  </si>
  <si>
    <t>Danced in the rain to celebrate the end of exams. Rain dance: Unexpectedly refreshing.</t>
  </si>
  <si>
    <t>Accidentally sent a text meant for a friend to the class group chat. Texting fail: Oops moment.</t>
  </si>
  <si>
    <t>Tried a magic trick to impress classmates. Magic fail: Where did that rabbit go?.</t>
  </si>
  <si>
    <t>Perfecting the art of creating origami during a dull lecture. Origami mastery: A+.</t>
  </si>
  <si>
    <t>Attempting to set a new record for the most consecutive hacky sack kicks. Hacky sack skills: Unleashed.</t>
  </si>
  <si>
    <t>Creating a secret handshake with friends. Friendship level: Expert.</t>
  </si>
  <si>
    <t>Embarking on a mission to find the best burger joint in town. Burger connoisseur: Reporting for duty.</t>
  </si>
  <si>
    <t>Practicing a stand-up comedy routine for the upcoming talent show. Comedy gig: In the making.</t>
  </si>
  <si>
    <t>Accidentally sent a love letter to the wrong person. Love note fail: Maximum embarrassment.</t>
  </si>
  <si>
    <t>Attempting to impress the teacher with an elaborate science experiment. Science geek mode: Activated.</t>
  </si>
  <si>
    <t>Crafting intricate friendship bracelets for the whole squad. Friendship level: Expert weaver.</t>
  </si>
  <si>
    <t>Attempting to beat the record for the most consecutive cartwheels. Cartwheel challenge: Underway.</t>
  </si>
  <si>
    <t>Organizing a movie marathon with friends. Popcorn and cinematic adventures await.</t>
  </si>
  <si>
    <t>Experimenting with a new hair color. A bold change for a bold semester.</t>
  </si>
  <si>
    <t>Building a time capsule to capture memories for the future. Time-traveling emotions.</t>
  </si>
  <si>
    <t>Accidentally walked into the wrong classroom on the first day. Classroom mix-up: Awkward start.</t>
  </si>
  <si>
    <t>Trying out a new smoothie recipe for a healthy start to the week. Smoothie enthusiast: Level up.</t>
  </si>
  <si>
    <t>Reflecting on the challenges of the school year. Feeling a bit overwhelmed with assignments..</t>
  </si>
  <si>
    <t>Encountered some mean-spirited comments online. Dealing with online hate is never easy..</t>
  </si>
  <si>
    <t>Had a bad day at school. Everything seems to be going wrong..</t>
  </si>
  <si>
    <t>Feeling down after not making the sports team. Disappointment lingers..</t>
  </si>
  <si>
    <t>Witnessed a heated argument in the cafeteria. Unpleasant atmosphere at lunch..</t>
  </si>
  <si>
    <t>Received a not-so-great grade on a major project. Academic frustration setting in..</t>
  </si>
  <si>
    <t>Dealing with a personal setback. Sometimes life throws unexpected challenges..</t>
  </si>
  <si>
    <t>Feeling lonely on a Saturday night. Sometimes solitude hits harder than expected..</t>
  </si>
  <si>
    <t>Experiencing cyberbullying. Hateful messages online are disheartening..</t>
  </si>
  <si>
    <t>Caught in a torrential rainstorm without an umbrella. Today's weather is just bad luck..</t>
  </si>
  <si>
    <t>Missing an important event due to unforeseen circumstances. A day filled with sadness..</t>
  </si>
  <si>
    <t>Dealing with unfounded rumors circulating about personal life. Rumors can be hurtful..</t>
  </si>
  <si>
    <t>Got a flat tire on the way to an important meeting. Talk about a series of bad events.</t>
  </si>
  <si>
    <t>Feeling a sense of emptiness after a close friend moves away. Farewells are always sad..</t>
  </si>
  <si>
    <t>Facing rejection from a dream college. Disheartened but determined to explore other paths..</t>
  </si>
  <si>
    <t>Encountering online toxicity during a gaming session. Hateful comments can ruin the fun..</t>
  </si>
  <si>
    <t>Having a bad hair day and feeling self-conscious. Bad hair days can affect confidence..</t>
  </si>
  <si>
    <t>Feeling a sense of despair after a major project failure. Hard work didn't pay off this time..</t>
  </si>
  <si>
    <t>Experiencing hate comments for expressing personal opinions. Online negativity prevails..</t>
  </si>
  <si>
    <t>Having a string of bad luck with constant technology malfunctions. Tech troubles galore.</t>
  </si>
  <si>
    <t>Missing out on a long-anticipated event due to unexpected circumstances. A day filled with sadness..</t>
  </si>
  <si>
    <t>Trying out a new study technique for upcoming exams. Exploring different learning strategies..</t>
  </si>
  <si>
    <t>Organizing a community cleanup event for a cleaner neighborhood. Promoting environmental awareness..</t>
  </si>
  <si>
    <t>Sharing favorite book recommendations with classmates. Building a mini book club..</t>
  </si>
  <si>
    <t>Experimenting with a new recipe for a school bake sale. Baking adventures in the kitchen..</t>
  </si>
  <si>
    <t>Collaborating on a school project with peers. Teamwork makes the dream work..</t>
  </si>
  <si>
    <t>Attending a school club meeting to explore new interests. Dabbling in extracurricular activities..</t>
  </si>
  <si>
    <t>Exploring a new part-time job opportunity for gaining work experience. Career development in progress..</t>
  </si>
  <si>
    <t>Attending a school assembly to stay informed about upcoming events and announcements. Staying connected with school activities..</t>
  </si>
  <si>
    <t>Exploring a new hobby of photography during free time. Capturing moments through a lens..</t>
  </si>
  <si>
    <t>Participating in a science fair to showcase a unique experiment. Sharing knowledge with peers..</t>
  </si>
  <si>
    <t>Attending a workshop on time management to enhance organizational skills. Striving for efficiency..</t>
  </si>
  <si>
    <t>Volunteering at a local charity event to give back to the community. Contributing to social causes..</t>
  </si>
  <si>
    <t>Collaborating on a group project to promote teamwork and shared responsibilities. Group effort in action..</t>
  </si>
  <si>
    <t>Participating in a debate club to enhance critical thinking and communication skills. Intellectual engagement in progress..</t>
  </si>
  <si>
    <t>Celebrating a friend's birthday with a surprise party. Joyful moments and laughter all around.</t>
  </si>
  <si>
    <t>Successfully completing a challenging coding project. Excitement for overcoming coding hurdles.</t>
  </si>
  <si>
    <t>Attending a school talent show to support classmates. Applauding the diverse talents on display.</t>
  </si>
  <si>
    <t>Exploring a new hiking trail with friends over the weekend. Nature, laughter, and good vibes.</t>
  </si>
  <si>
    <t>Winning a friendly sports competition against rival schools. Victory celebrations in full swing.</t>
  </si>
  <si>
    <t>Receiving a heartfelt letter from a pen pal in another country. Connecting across the globe.</t>
  </si>
  <si>
    <t>Creating a beautiful mural with fellow art enthusiasts. The power of collaboration and creativity.</t>
  </si>
  <si>
    <t>Participating in a school-wide art exhibition. Witnessing creativity and spreading positive vibes.</t>
  </si>
  <si>
    <t>Achieving a personal best in a track and field competition. The thrill of victory and self-improvement.</t>
  </si>
  <si>
    <t>Collaborating on a science project that received recognition at a regional fair. Science triumphs and smiles.</t>
  </si>
  <si>
    <t>Attending a surprise birthday party organized by friends. Surrounded by love, laughter, and good company.</t>
  </si>
  <si>
    <t>Successfully fundraising for a school charity initiative. The joy of giving back to the community.</t>
  </si>
  <si>
    <t>Participating in a multicultural festival, celebrating diversity with music, dance, and delicious food.</t>
  </si>
  <si>
    <t>Organizing a virtual talent show during challenging times, bringing smiles to classmates' faces.</t>
  </si>
  <si>
    <t>Cleaned Text</t>
  </si>
  <si>
    <t>Laughter is the best medicine enjoying a comedy show..</t>
  </si>
  <si>
    <t>Positive</t>
  </si>
  <si>
    <t>Negative</t>
  </si>
  <si>
    <t>Neutral</t>
  </si>
  <si>
    <t>Anger</t>
  </si>
  <si>
    <t>Fear</t>
  </si>
  <si>
    <t>Sadness</t>
  </si>
  <si>
    <t>Disgust</t>
  </si>
  <si>
    <t>Happiness</t>
  </si>
  <si>
    <t>Joy</t>
  </si>
  <si>
    <t>Love</t>
  </si>
  <si>
    <t>Amusement</t>
  </si>
  <si>
    <t>Enjoyment</t>
  </si>
  <si>
    <t>Admiration</t>
  </si>
  <si>
    <t>Affection</t>
  </si>
  <si>
    <t>Awe</t>
  </si>
  <si>
    <t>Disappointed</t>
  </si>
  <si>
    <t>Surprise</t>
  </si>
  <si>
    <t>Acceptance</t>
  </si>
  <si>
    <t>Adoration</t>
  </si>
  <si>
    <t>Anticipation</t>
  </si>
  <si>
    <t>Bitter</t>
  </si>
  <si>
    <t>Calmness</t>
  </si>
  <si>
    <t>Confusion</t>
  </si>
  <si>
    <t>Excitement</t>
  </si>
  <si>
    <t>Kind</t>
  </si>
  <si>
    <t>Pride</t>
  </si>
  <si>
    <t>Shame</t>
  </si>
  <si>
    <t>Elation</t>
  </si>
  <si>
    <t>Euphoria</t>
  </si>
  <si>
    <t>Contentment</t>
  </si>
  <si>
    <t>Serenity</t>
  </si>
  <si>
    <t>Gratitude</t>
  </si>
  <si>
    <t>Hope</t>
  </si>
  <si>
    <t>Empowerment</t>
  </si>
  <si>
    <t>Compassion</t>
  </si>
  <si>
    <t>Tenderness</t>
  </si>
  <si>
    <t>Arousal</t>
  </si>
  <si>
    <t>Enthusiasm</t>
  </si>
  <si>
    <t>Fulfillment</t>
  </si>
  <si>
    <t>Reverence</t>
  </si>
  <si>
    <t>Despair</t>
  </si>
  <si>
    <t>Grief</t>
  </si>
  <si>
    <t>Loneliness</t>
  </si>
  <si>
    <t>Jealousy</t>
  </si>
  <si>
    <t>Resentment</t>
  </si>
  <si>
    <t>Frustration</t>
  </si>
  <si>
    <t>Boredom</t>
  </si>
  <si>
    <t>Anxiety</t>
  </si>
  <si>
    <t>Intimidation</t>
  </si>
  <si>
    <t>Helplessness</t>
  </si>
  <si>
    <t>Envy</t>
  </si>
  <si>
    <t>Regret</t>
  </si>
  <si>
    <t>Curiosity</t>
  </si>
  <si>
    <t>Indifference</t>
  </si>
  <si>
    <t>Numbness</t>
  </si>
  <si>
    <t>Melancholy</t>
  </si>
  <si>
    <t>Nostalgia</t>
  </si>
  <si>
    <t>Ambivalence</t>
  </si>
  <si>
    <t>Determination</t>
  </si>
  <si>
    <t>Zest</t>
  </si>
  <si>
    <t>Hopeful</t>
  </si>
  <si>
    <t>Proud</t>
  </si>
  <si>
    <t>Grateful</t>
  </si>
  <si>
    <t>Empathetic</t>
  </si>
  <si>
    <t>Compassionate</t>
  </si>
  <si>
    <t>Playful</t>
  </si>
  <si>
    <t>Free-spirited</t>
  </si>
  <si>
    <t>Inspired</t>
  </si>
  <si>
    <t>Confident</t>
  </si>
  <si>
    <t>Bitterness</t>
  </si>
  <si>
    <t>Yearning</t>
  </si>
  <si>
    <t>Fearful</t>
  </si>
  <si>
    <t>Apprehensive</t>
  </si>
  <si>
    <t>Overwhelmed</t>
  </si>
  <si>
    <t>Jealous</t>
  </si>
  <si>
    <t>Devastated</t>
  </si>
  <si>
    <t>Frustrated</t>
  </si>
  <si>
    <t>Envious</t>
  </si>
  <si>
    <t>Dismissive</t>
  </si>
  <si>
    <t>Thrill</t>
  </si>
  <si>
    <t>Bittersweet</t>
  </si>
  <si>
    <t>Overjoyed</t>
  </si>
  <si>
    <t>Inspiration</t>
  </si>
  <si>
    <t>Motivation</t>
  </si>
  <si>
    <t>Contemplation</t>
  </si>
  <si>
    <t>JoyfulReunion</t>
  </si>
  <si>
    <t>Satisfaction</t>
  </si>
  <si>
    <t>Blessed</t>
  </si>
  <si>
    <t>Reflection</t>
  </si>
  <si>
    <t>Appreciation</t>
  </si>
  <si>
    <t>Confidence</t>
  </si>
  <si>
    <t>Accomplishment</t>
  </si>
  <si>
    <t>Wonderment</t>
  </si>
  <si>
    <t>Optimism</t>
  </si>
  <si>
    <t>Enchantment</t>
  </si>
  <si>
    <t>Intrigue</t>
  </si>
  <si>
    <t>PlayfulJoy</t>
  </si>
  <si>
    <t>Mindfulness</t>
  </si>
  <si>
    <t>DreamChaser</t>
  </si>
  <si>
    <t>Elegance</t>
  </si>
  <si>
    <t>Whimsy</t>
  </si>
  <si>
    <t>Pensive</t>
  </si>
  <si>
    <t>Harmony</t>
  </si>
  <si>
    <t>Creativity</t>
  </si>
  <si>
    <t>Radiance</t>
  </si>
  <si>
    <t>Wonder</t>
  </si>
  <si>
    <t>Rejuvenation</t>
  </si>
  <si>
    <t>Coziness</t>
  </si>
  <si>
    <t>Adventure</t>
  </si>
  <si>
    <t>Melodic</t>
  </si>
  <si>
    <t>FestiveJoy</t>
  </si>
  <si>
    <t>InnerJourney</t>
  </si>
  <si>
    <t>Freedom</t>
  </si>
  <si>
    <t>Dazzle</t>
  </si>
  <si>
    <t>Adrenaline</t>
  </si>
  <si>
    <t>ArtisticBurst</t>
  </si>
  <si>
    <t>CulinaryOdyssey</t>
  </si>
  <si>
    <t>Resilience</t>
  </si>
  <si>
    <t>Immersion</t>
  </si>
  <si>
    <t>Spark</t>
  </si>
  <si>
    <t>Marvel</t>
  </si>
  <si>
    <t>Heartbreak</t>
  </si>
  <si>
    <t>Betrayal</t>
  </si>
  <si>
    <t>Suffering</t>
  </si>
  <si>
    <t>EmotionalStorm</t>
  </si>
  <si>
    <t>Isolation</t>
  </si>
  <si>
    <t>Disappointment</t>
  </si>
  <si>
    <t>LostLove</t>
  </si>
  <si>
    <t>Exhaustion</t>
  </si>
  <si>
    <t>Sorrow</t>
  </si>
  <si>
    <t>Darkness</t>
  </si>
  <si>
    <t>Desperation</t>
  </si>
  <si>
    <t>Ruins</t>
  </si>
  <si>
    <t>Desolation</t>
  </si>
  <si>
    <t>Loss</t>
  </si>
  <si>
    <t>Heartache</t>
  </si>
  <si>
    <t>Solitude</t>
  </si>
  <si>
    <t>Positivity</t>
  </si>
  <si>
    <t>Kindness</t>
  </si>
  <si>
    <t>Friendship</t>
  </si>
  <si>
    <t>Success</t>
  </si>
  <si>
    <t>Exploration</t>
  </si>
  <si>
    <t>Amazement</t>
  </si>
  <si>
    <t>Romance</t>
  </si>
  <si>
    <t>Captivation</t>
  </si>
  <si>
    <t>Tranquility</t>
  </si>
  <si>
    <t>Grandeur</t>
  </si>
  <si>
    <t>Emotion</t>
  </si>
  <si>
    <t>Energy</t>
  </si>
  <si>
    <t>Celebration</t>
  </si>
  <si>
    <t>Charm</t>
  </si>
  <si>
    <t>Ecstasy</t>
  </si>
  <si>
    <t>Colorful</t>
  </si>
  <si>
    <t>Hypnotic</t>
  </si>
  <si>
    <t>Connection</t>
  </si>
  <si>
    <t>Iconic</t>
  </si>
  <si>
    <t>Journey</t>
  </si>
  <si>
    <t>Engagement</t>
  </si>
  <si>
    <t>Touched</t>
  </si>
  <si>
    <t>Suspense</t>
  </si>
  <si>
    <t>Triumph</t>
  </si>
  <si>
    <t>Heartwarming</t>
  </si>
  <si>
    <t>Obstacle</t>
  </si>
  <si>
    <t>Sympathy</t>
  </si>
  <si>
    <t>Pressure</t>
  </si>
  <si>
    <t>Renewed Effort</t>
  </si>
  <si>
    <t>Miscalculation</t>
  </si>
  <si>
    <t>Challenge</t>
  </si>
  <si>
    <t>Solace</t>
  </si>
  <si>
    <t>Breakthrough</t>
  </si>
  <si>
    <t>Joy in Baking</t>
  </si>
  <si>
    <t>Envisioning History</t>
  </si>
  <si>
    <t>Imagination</t>
  </si>
  <si>
    <t>Vibrancy</t>
  </si>
  <si>
    <t>Mesmerizing</t>
  </si>
  <si>
    <t>Culinary Adventure</t>
  </si>
  <si>
    <t>Winter Magic</t>
  </si>
  <si>
    <t>Thrilling Journey</t>
  </si>
  <si>
    <t>Nature's Beauty</t>
  </si>
  <si>
    <t>Celestial Wonder</t>
  </si>
  <si>
    <t>Creative Inspiration</t>
  </si>
  <si>
    <t>Runway Creativity</t>
  </si>
  <si>
    <t>Ocean's Freedom</t>
  </si>
  <si>
    <t>Whispers of the Past</t>
  </si>
  <si>
    <t>Relief</t>
  </si>
  <si>
    <t>Embarrassed</t>
  </si>
  <si>
    <t>Mischievous</t>
  </si>
  <si>
    <t>Sad</t>
  </si>
  <si>
    <t>Hate</t>
  </si>
  <si>
    <t>Bad</t>
  </si>
  <si>
    <t>Happy</t>
  </si>
  <si>
    <t>Cleaned Sentiment</t>
  </si>
  <si>
    <t>Day_Name</t>
  </si>
  <si>
    <t>Canada</t>
  </si>
  <si>
    <t>Australia</t>
  </si>
  <si>
    <t>India</t>
  </si>
  <si>
    <t>France</t>
  </si>
  <si>
    <t>Brazil</t>
  </si>
  <si>
    <t>Japan</t>
  </si>
  <si>
    <t>Greece</t>
  </si>
  <si>
    <t>Germany</t>
  </si>
  <si>
    <t>Sweden</t>
  </si>
  <si>
    <t>Italy</t>
  </si>
  <si>
    <t>Netherlands</t>
  </si>
  <si>
    <t>South Africa</t>
  </si>
  <si>
    <t>Spain</t>
  </si>
  <si>
    <t>Portugal</t>
  </si>
  <si>
    <t>Switzerland</t>
  </si>
  <si>
    <t>Austria</t>
  </si>
  <si>
    <t>Belgium</t>
  </si>
  <si>
    <t>Denmark</t>
  </si>
  <si>
    <t>Czech Republic</t>
  </si>
  <si>
    <t>Jordan</t>
  </si>
  <si>
    <t>Peru</t>
  </si>
  <si>
    <t>Maldives</t>
  </si>
  <si>
    <t>China</t>
  </si>
  <si>
    <t>Cambodia</t>
  </si>
  <si>
    <t>Norway</t>
  </si>
  <si>
    <t>Colombia</t>
  </si>
  <si>
    <t>Ireland</t>
  </si>
  <si>
    <t>Jamaica</t>
  </si>
  <si>
    <t>Kenya</t>
  </si>
  <si>
    <t>Scotland</t>
  </si>
  <si>
    <t>Thailand</t>
  </si>
  <si>
    <t>UK</t>
  </si>
  <si>
    <t>Cleaned Country</t>
  </si>
  <si>
    <t>Cleaned user</t>
  </si>
  <si>
    <t>User123</t>
  </si>
  <si>
    <t>CommuterX</t>
  </si>
  <si>
    <t>FitnessFan</t>
  </si>
  <si>
    <t>AdventureX</t>
  </si>
  <si>
    <t>ChefCook</t>
  </si>
  <si>
    <t>GratitudeNow</t>
  </si>
  <si>
    <t>RainyDays</t>
  </si>
  <si>
    <t>MovieBuff</t>
  </si>
  <si>
    <t>DebateTalk</t>
  </si>
  <si>
    <t>BeachLover</t>
  </si>
  <si>
    <t>BloggerX</t>
  </si>
  <si>
    <t>WellnessCheck</t>
  </si>
  <si>
    <t>UrbanExplorer</t>
  </si>
  <si>
    <t>FitJourney</t>
  </si>
  <si>
    <t>TechEnthusiast</t>
  </si>
  <si>
    <t>Reflections</t>
  </si>
  <si>
    <t>PetAdopter</t>
  </si>
  <si>
    <t>GamerX</t>
  </si>
  <si>
    <t>TechConference</t>
  </si>
  <si>
    <t>WinterBlues</t>
  </si>
  <si>
    <t>Bookworm</t>
  </si>
  <si>
    <t>VRExplorer</t>
  </si>
  <si>
    <t>ProductivityPro</t>
  </si>
  <si>
    <t>FitnessWarrior</t>
  </si>
  <si>
    <t>CareerMilestone</t>
  </si>
  <si>
    <t>BrunchBuddy</t>
  </si>
  <si>
    <t>LanguageLearner</t>
  </si>
  <si>
    <t>BookLover</t>
  </si>
  <si>
    <t>MentalHealthMatters</t>
  </si>
  <si>
    <t>ArtistInAction</t>
  </si>
  <si>
    <t>RoadTripper</t>
  </si>
  <si>
    <t>SunsetWatcher</t>
  </si>
  <si>
    <t>CodeEnthusiast</t>
  </si>
  <si>
    <t>WorkshopAttendee</t>
  </si>
  <si>
    <t>WinterSports</t>
  </si>
  <si>
    <t>FamilyTime</t>
  </si>
  <si>
    <t>MusicLover</t>
  </si>
  <si>
    <t>MindfulMoments</t>
  </si>
  <si>
    <t>DessertExplorer</t>
  </si>
  <si>
    <t>GamingEnthusiast</t>
  </si>
  <si>
    <t>GardenPlanner</t>
  </si>
  <si>
    <t>BirthdayBash</t>
  </si>
  <si>
    <t>ProductivityWin</t>
  </si>
  <si>
    <t>MovieNight</t>
  </si>
  <si>
    <t>ArtExplorer</t>
  </si>
  <si>
    <t>BookwormX</t>
  </si>
  <si>
    <t>VRMeetup</t>
  </si>
  <si>
    <t>NatureLover</t>
  </si>
  <si>
    <t>ChefAtHome</t>
  </si>
  <si>
    <t>OptimisticMindset</t>
  </si>
  <si>
    <t>FitnessChallenge</t>
  </si>
  <si>
    <t>BikeExplorer</t>
  </si>
  <si>
    <t>SocialJustice</t>
  </si>
  <si>
    <t>ThrillerFan</t>
  </si>
  <si>
    <t>EmpathyFirst</t>
  </si>
  <si>
    <t>EcoAwareness</t>
  </si>
  <si>
    <t>ProudFriend</t>
  </si>
  <si>
    <t>ComedyFan</t>
  </si>
  <si>
    <t>LoveSpreader</t>
  </si>
  <si>
    <t>AmusedSoul</t>
  </si>
  <si>
    <t>BookLoverAgain</t>
  </si>
  <si>
    <t>NatureAdmirer</t>
  </si>
  <si>
    <t>AffectionSender</t>
  </si>
  <si>
    <t>AweStruck</t>
  </si>
  <si>
    <t>FoodieGoneWrong</t>
  </si>
  <si>
    <t>HappySurprise</t>
  </si>
  <si>
    <t>AcceptanceSeeker</t>
  </si>
  <si>
    <t>PetAdorer</t>
  </si>
  <si>
    <t>AdventureAwaits</t>
  </si>
  <si>
    <t>LearnFromBitter</t>
  </si>
  <si>
    <t>ZenMaster</t>
  </si>
  <si>
    <t>ConfusedMind</t>
  </si>
  <si>
    <t>VacationDreamer</t>
  </si>
  <si>
    <t>KindnessPrevails</t>
  </si>
  <si>
    <t>PersonalAchiever</t>
  </si>
  <si>
    <t>ReflectiveSelf</t>
  </si>
  <si>
    <t>AngryDebater</t>
  </si>
  <si>
    <t>FearfulDreamer</t>
  </si>
  <si>
    <t>FarewellHeart</t>
  </si>
  <si>
    <t>AntiCorruption</t>
  </si>
  <si>
    <t>NewParentJoy</t>
  </si>
  <si>
    <t>StandUpFan</t>
  </si>
  <si>
    <t>LoveSender</t>
  </si>
  <si>
    <t>PetAmuser</t>
  </si>
  <si>
    <t>TravelExplorer</t>
  </si>
  <si>
    <t>CharityAdmirer</t>
  </si>
  <si>
    <t>FamilyLover</t>
  </si>
  <si>
    <t>Stargazer</t>
  </si>
  <si>
    <t>ProjectStruggle</t>
  </si>
  <si>
    <t>LifeAcceptance</t>
  </si>
  <si>
    <t>PuppyAdmirer</t>
  </si>
  <si>
    <t>MovieBuff2</t>
  </si>
  <si>
    <t>CustomerWoes</t>
  </si>
  <si>
    <t>CalmSoul</t>
  </si>
  <si>
    <t>ConfusedMind2</t>
  </si>
  <si>
    <t>BirthdayExcite</t>
  </si>
  <si>
    <t>KindnessObserver</t>
  </si>
  <si>
    <t>FitAchiever</t>
  </si>
  <si>
    <t>ReflectiveSelf2</t>
  </si>
  <si>
    <t>DiversityLover</t>
  </si>
  <si>
    <t>BookwormJoy</t>
  </si>
  <si>
    <t>WorkplaceWoes</t>
  </si>
  <si>
    <t>MindfulMe</t>
  </si>
  <si>
    <t>ConfusedMind3</t>
  </si>
  <si>
    <t>RoadTripper2</t>
  </si>
  <si>
    <t>KindnessPrevails2</t>
  </si>
  <si>
    <t>GoalAchiever</t>
  </si>
  <si>
    <t>ReflectiveSelf3</t>
  </si>
  <si>
    <t>NostalgiaFan</t>
  </si>
  <si>
    <t>SportsFanatic</t>
  </si>
  <si>
    <t>NatureLover2</t>
  </si>
  <si>
    <t>ZenMaster2</t>
  </si>
  <si>
    <t>ThankfulHeart</t>
  </si>
  <si>
    <t>OptimisticSoul</t>
  </si>
  <si>
    <t>CommunityLeader</t>
  </si>
  <si>
    <t>CharitySupporter</t>
  </si>
  <si>
    <t>LovingHeart</t>
  </si>
  <si>
    <t>ExcitementFan</t>
  </si>
  <si>
    <t>ProjectEnthusiast</t>
  </si>
  <si>
    <t>MilestoneAchiever</t>
  </si>
  <si>
    <t>HistoryLover</t>
  </si>
  <si>
    <t>JoyfulReunion2</t>
  </si>
  <si>
    <t>MusicEnthusiast</t>
  </si>
  <si>
    <t>SimpleJoys</t>
  </si>
  <si>
    <t>BookLover3</t>
  </si>
  <si>
    <t>SupportiveFriend</t>
  </si>
  <si>
    <t>JourneyOptimist</t>
  </si>
  <si>
    <t>GrowthSeeker</t>
  </si>
  <si>
    <t>HolidayHelper</t>
  </si>
  <si>
    <t>WinterWarmth</t>
  </si>
  <si>
    <t>CreativeSpirit</t>
  </si>
  <si>
    <t>FitnessAchiever</t>
  </si>
  <si>
    <t>ArtAppreciator</t>
  </si>
  <si>
    <t>GoalAchiever2</t>
  </si>
  <si>
    <t>UrbanExplorer2</t>
  </si>
  <si>
    <t>BirthdayJoy</t>
  </si>
  <si>
    <t>HomeChef</t>
  </si>
  <si>
    <t>MusicLover4</t>
  </si>
  <si>
    <t>CommunityLove</t>
  </si>
  <si>
    <t>EntrepreneurHope</t>
  </si>
  <si>
    <t>MentorEmpower</t>
  </si>
  <si>
    <t>KindnessInAction</t>
  </si>
  <si>
    <t>LoveExpress</t>
  </si>
  <si>
    <t>TravelExcitement</t>
  </si>
  <si>
    <t>ArtisticSpirit</t>
  </si>
  <si>
    <t>HelperHeart</t>
  </si>
  <si>
    <t>HistoryBuff</t>
  </si>
  <si>
    <t>FitnessAchiever2</t>
  </si>
  <si>
    <t>ProductLaunchJoy</t>
  </si>
  <si>
    <t>LovingEmbrace</t>
  </si>
  <si>
    <t>SunsetWatcher2</t>
  </si>
  <si>
    <t>JoyfulHeart2</t>
  </si>
  <si>
    <t>GrowthOptimist</t>
  </si>
  <si>
    <t>SkillEmpower</t>
  </si>
  <si>
    <t>CharityVolunteer</t>
  </si>
  <si>
    <t>PetLove</t>
  </si>
  <si>
    <t>FestivalFan</t>
  </si>
  <si>
    <t>DIYEnthusiast</t>
  </si>
  <si>
    <t>PuzzleMaster</t>
  </si>
  <si>
    <t>ChildhoodJoy</t>
  </si>
  <si>
    <t>StrugglingSoul</t>
  </si>
  <si>
    <t>MourningHeart</t>
  </si>
  <si>
    <t>SolitarySoul</t>
  </si>
  <si>
    <t>EnviousObserver</t>
  </si>
  <si>
    <t>BitterHeart</t>
  </si>
  <si>
    <t>BlockedGoals</t>
  </si>
  <si>
    <t>BoredMind</t>
  </si>
  <si>
    <t>WorriedMind</t>
  </si>
  <si>
    <t>FearfulSoul</t>
  </si>
  <si>
    <t>OverwhelmedHeart</t>
  </si>
  <si>
    <t>CovetousMind</t>
  </si>
  <si>
    <t>RemorsefulSoul</t>
  </si>
  <si>
    <t>DisgustedHeart</t>
  </si>
  <si>
    <t>HopelessHeart</t>
  </si>
  <si>
    <t>TearfulSoul</t>
  </si>
  <si>
    <t>IsolatedMind</t>
  </si>
  <si>
    <t>SelfDoubt</t>
  </si>
  <si>
    <t>BrokenTrust</t>
  </si>
  <si>
    <t>ExplosiveMind</t>
  </si>
  <si>
    <t>MundaneHeart</t>
  </si>
  <si>
    <t>RestlessMind</t>
  </si>
  <si>
    <t>FearfulJourney</t>
  </si>
  <si>
    <t>OverwhelmedSoul</t>
  </si>
  <si>
    <t>GreenEyedMonster</t>
  </si>
  <si>
    <t>RegretfulMind</t>
  </si>
  <si>
    <t>CorruptedHeart</t>
  </si>
  <si>
    <t>DrowningSoul</t>
  </si>
  <si>
    <t>StormyHeart</t>
  </si>
  <si>
    <t>EchoingSoul</t>
  </si>
  <si>
    <t>PoisonedMind</t>
  </si>
  <si>
    <t>UnforgivingSoul</t>
  </si>
  <si>
    <t>ThunderingMind</t>
  </si>
  <si>
    <t>StagnantHeart</t>
  </si>
  <si>
    <t>InquisitiveMind</t>
  </si>
  <si>
    <t>ApatheticObserver</t>
  </si>
  <si>
    <t>SeekingClarity</t>
  </si>
  <si>
    <t>EmotionallyDistant</t>
  </si>
  <si>
    <t>SunsetDreamer</t>
  </si>
  <si>
    <t>MemoryLaneTraveler</t>
  </si>
  <si>
    <t>MixedFeelings</t>
  </si>
  <si>
    <t>ZenLifestyle</t>
  </si>
  <si>
    <t>ResilientSpirit</t>
  </si>
  <si>
    <t>NatureSoul</t>
  </si>
  <si>
    <t>EternalLearner</t>
  </si>
  <si>
    <t>AloofObserver</t>
  </si>
  <si>
    <t>ThoughtExplorer</t>
  </si>
  <si>
    <t>StoicSoul</t>
  </si>
  <si>
    <t>DreamerInSilence</t>
  </si>
  <si>
    <t>JournalKeeper</t>
  </si>
  <si>
    <t>ThreadWeaver</t>
  </si>
  <si>
    <t>SelfLoveAdvocate</t>
  </si>
  <si>
    <t>OceanSoul</t>
  </si>
  <si>
    <t>HorizonExplorer</t>
  </si>
  <si>
    <t>NonchalantSpirit</t>
  </si>
  <si>
    <t>ComplexThinker</t>
  </si>
  <si>
    <t>ShieldedHeart</t>
  </si>
  <si>
    <t>SymphonySoul</t>
  </si>
  <si>
    <t>YearbookExplorer</t>
  </si>
  <si>
    <t>DecisiveDilemma</t>
  </si>
  <si>
    <t>ImperfectHarmony</t>
  </si>
  <si>
    <t>VisionarySpirit</t>
  </si>
  <si>
    <t>ForestDreamer</t>
  </si>
  <si>
    <t>SilentSpectator</t>
  </si>
  <si>
    <t>MazeNavigator</t>
  </si>
  <si>
    <t>ResilientFortress</t>
  </si>
  <si>
    <t>CanvasDreamer</t>
  </si>
  <si>
    <t>DiaryExplorer</t>
  </si>
  <si>
    <t>CrossroadsTraveler</t>
  </si>
  <si>
    <t>MosaicDreamer</t>
  </si>
  <si>
    <t>PathfinderSpirit</t>
  </si>
  <si>
    <t>RaindropHarmony</t>
  </si>
  <si>
    <t>SeekerOfUnknowns</t>
  </si>
  <si>
    <t>NonchalantWanderer</t>
  </si>
  <si>
    <t>ShadowedSeeker</t>
  </si>
  <si>
    <t>TurbulentShield</t>
  </si>
  <si>
    <t>WistfulPainter</t>
  </si>
  <si>
    <t>TaleWeaver</t>
  </si>
  <si>
    <t>CrossroadsExplorer</t>
  </si>
  <si>
    <t>MosaicArtist</t>
  </si>
  <si>
    <t>DreamSculptor</t>
  </si>
  <si>
    <t>MoonlitSoul</t>
  </si>
  <si>
    <t>FearlessExplorer</t>
  </si>
  <si>
    <t>JoyfulDancer</t>
  </si>
  <si>
    <t>SereneBasker</t>
  </si>
  <si>
    <t>DreamPainter</t>
  </si>
  <si>
    <t>OakAchiever</t>
  </si>
  <si>
    <t>HeartGardener</t>
  </si>
  <si>
    <t>CloudCaretaker</t>
  </si>
  <si>
    <t>RainDancer</t>
  </si>
  <si>
    <t>SkyPainter</t>
  </si>
  <si>
    <t>PhoenixExplorer</t>
  </si>
  <si>
    <t>SunriseNavigator</t>
  </si>
  <si>
    <t>SandStrider</t>
  </si>
  <si>
    <t>NightSerenader</t>
  </si>
  <si>
    <t>KnowledgeSeeker</t>
  </si>
  <si>
    <t>BreezeWaltzer</t>
  </si>
  <si>
    <t>StarNavigator</t>
  </si>
  <si>
    <t>MeadowSprinter</t>
  </si>
  <si>
    <t>RainNurturer</t>
  </si>
  <si>
    <t>PeakConqueror</t>
  </si>
  <si>
    <t>DawnGardener</t>
  </si>
  <si>
    <t>CarnivalDreamer</t>
  </si>
  <si>
    <t>SkyArtist</t>
  </si>
  <si>
    <t>RiverNavigator</t>
  </si>
  <si>
    <t>LanternWanderer</t>
  </si>
  <si>
    <t>DreamSoarer</t>
  </si>
  <si>
    <t>SunsetAdmirer</t>
  </si>
  <si>
    <t>DanceStrider</t>
  </si>
  <si>
    <t>WindWhisperer</t>
  </si>
  <si>
    <t>JugglingArtist</t>
  </si>
  <si>
    <t>StarStoryteller</t>
  </si>
  <si>
    <t>WaveNavigator</t>
  </si>
  <si>
    <t>ShatteredHeart</t>
  </si>
  <si>
    <t>VenomousSoul</t>
  </si>
  <si>
    <t>DesertWanderer</t>
  </si>
  <si>
    <t>ColdEmbrace</t>
  </si>
  <si>
    <t>NightPrisoner</t>
  </si>
  <si>
    <t>TightropeWalker</t>
  </si>
  <si>
    <t>AtlasBearer</t>
  </si>
  <si>
    <t>GreenMonster</t>
  </si>
  <si>
    <t>StormSurvivor</t>
  </si>
  <si>
    <t>PuzzleComposer</t>
  </si>
  <si>
    <t>GildedHeartache</t>
  </si>
  <si>
    <t>IndifferentFort</t>
  </si>
  <si>
    <t>DreamMosaic</t>
  </si>
  <si>
    <t>NocturnalEcho</t>
  </si>
  <si>
    <t>DarkWhispers</t>
  </si>
  <si>
    <t>LingeringTaste</t>
  </si>
  <si>
    <t>TempestSurvivor</t>
  </si>
  <si>
    <t>VenomousHeart</t>
  </si>
  <si>
    <t>FragileTrust</t>
  </si>
  <si>
    <t>BrokenThreads</t>
  </si>
  <si>
    <t>SuccessPill</t>
  </si>
  <si>
    <t>CurtainShield</t>
  </si>
  <si>
    <t>FoggyLabyrinth</t>
  </si>
  <si>
    <t>IcyResentment</t>
  </si>
  <si>
    <t>SolitaryMoon</t>
  </si>
  <si>
    <t>VanishedSunset</t>
  </si>
  <si>
    <t>MazeExplorer</t>
  </si>
  <si>
    <t>WoundedGarden</t>
  </si>
  <si>
    <t>RuinedHeart</t>
  </si>
  <si>
    <t>KnotUntangler</t>
  </si>
  <si>
    <t>ElusiveKeys</t>
  </si>
  <si>
    <t>GoalPursuer</t>
  </si>
  <si>
    <t>MemoryLane</t>
  </si>
  <si>
    <t>CultureEnthusiast</t>
  </si>
  <si>
    <t>RainWatcher</t>
  </si>
  <si>
    <t>PersonalJourney</t>
  </si>
  <si>
    <t>LifeLearner</t>
  </si>
  <si>
    <t>FarewellSender</t>
  </si>
  <si>
    <t>HistoryExplorer</t>
  </si>
  <si>
    <t>CraftEnthusiast</t>
  </si>
  <si>
    <t>WinterLover</t>
  </si>
  <si>
    <t>FitnessJunkie</t>
  </si>
  <si>
    <t>CoffeeLover</t>
  </si>
  <si>
    <t>HikingExplorer</t>
  </si>
  <si>
    <t>KittyObserver</t>
  </si>
  <si>
    <t>FriendshipRenewal</t>
  </si>
  <si>
    <t>CelebrationPlanner</t>
  </si>
  <si>
    <t>CommunityHelper</t>
  </si>
  <si>
    <t>GardenEnthusiast</t>
  </si>
  <si>
    <t>Wanderlust</t>
  </si>
  <si>
    <t>ChildhoodMemories</t>
  </si>
  <si>
    <t>CultureExplorer</t>
  </si>
  <si>
    <t>PublicSpeaker</t>
  </si>
  <si>
    <t>FamilyCelebration</t>
  </si>
  <si>
    <t>LifelongLearner</t>
  </si>
  <si>
    <t>CityExplorer</t>
  </si>
  <si>
    <t>RainbowChaser</t>
  </si>
  <si>
    <t>FutureOptimist</t>
  </si>
  <si>
    <t>CareerAchiever</t>
  </si>
  <si>
    <t>SunnyDayEnthusiast</t>
  </si>
  <si>
    <t>ArchaeologyEnthusiast</t>
  </si>
  <si>
    <t>NightSkyObserver</t>
  </si>
  <si>
    <t>ArtConnoisseur</t>
  </si>
  <si>
    <t>PlayfulParent</t>
  </si>
  <si>
    <t>ZenSeeker</t>
  </si>
  <si>
    <t>SkyDreamer</t>
  </si>
  <si>
    <t>DanceEnthusiast</t>
  </si>
  <si>
    <t>FairyTaleExplorer</t>
  </si>
  <si>
    <t>RuinsExplorer</t>
  </si>
  <si>
    <t>RollercoasterFan</t>
  </si>
  <si>
    <t>MusicHarmonist</t>
  </si>
  <si>
    <t>StudioArtist</t>
  </si>
  <si>
    <t>SpringEnthusiast</t>
  </si>
  <si>
    <t>CosmosExplorer</t>
  </si>
  <si>
    <t>SeaBreezeLover</t>
  </si>
  <si>
    <t>FamilyGatherer</t>
  </si>
  <si>
    <t>CulinaryExplorer</t>
  </si>
  <si>
    <t>PuzzleSolver</t>
  </si>
  <si>
    <t>CathedralVisitor</t>
  </si>
  <si>
    <t>CarnivalGoer</t>
  </si>
  <si>
    <t>MindfulExplorer</t>
  </si>
  <si>
    <t>CoastalExplorer</t>
  </si>
  <si>
    <t>MasqueradeAttendee</t>
  </si>
  <si>
    <t>FairyTaleAdventurer</t>
  </si>
  <si>
    <t>ThrillSeeker</t>
  </si>
  <si>
    <t>SnowfallEnthusiast</t>
  </si>
  <si>
    <t>BreadLover</t>
  </si>
  <si>
    <t>NatureResilient</t>
  </si>
  <si>
    <t>FamilyHistorian</t>
  </si>
  <si>
    <t>NightSkyWatcher</t>
  </si>
  <si>
    <t>TeaEnthusiast</t>
  </si>
  <si>
    <t>MarketExplorer</t>
  </si>
  <si>
    <t>LakesideRetreater</t>
  </si>
  <si>
    <t>LostInLove</t>
  </si>
  <si>
    <t>SolitudeSeeker</t>
  </si>
  <si>
    <t>FriendshipsEnd</t>
  </si>
  <si>
    <t>LostInDarkness</t>
  </si>
  <si>
    <t>SilentSufferer</t>
  </si>
  <si>
    <t>StormyFeelings</t>
  </si>
  <si>
    <t>LingeringGhost</t>
  </si>
  <si>
    <t>EchoesOfLoss</t>
  </si>
  <si>
    <t>WinterOfEmotions</t>
  </si>
  <si>
    <t>ShatteredHopes</t>
  </si>
  <si>
    <t>AbyssOfTime</t>
  </si>
  <si>
    <t>SolitaryDescent</t>
  </si>
  <si>
    <t>SerenadeOfSolitude</t>
  </si>
  <si>
    <t>PoisonedHeart</t>
  </si>
  <si>
    <t>WearySoulCrushed</t>
  </si>
  <si>
    <t>StringsOfSorrow</t>
  </si>
  <si>
    <t>SoulInShadow</t>
  </si>
  <si>
    <t>WhisperedDespair</t>
  </si>
  <si>
    <t>DreamsInWind</t>
  </si>
  <si>
    <t>DreamEchoes</t>
  </si>
  <si>
    <t>RemorseWalker</t>
  </si>
  <si>
    <t>JoyLabyrinth</t>
  </si>
  <si>
    <t>SolitudeSeas</t>
  </si>
  <si>
    <t>PalateStainer</t>
  </si>
  <si>
    <t>HopeRuins</t>
  </si>
  <si>
    <t>OceanSinker</t>
  </si>
  <si>
    <t>InkJournalist</t>
  </si>
  <si>
    <t>TrustWasteland</t>
  </si>
  <si>
    <t>DreamTightrope</t>
  </si>
  <si>
    <t>EchoedLaughter</t>
  </si>
  <si>
    <t>PossibilityGhost</t>
  </si>
  <si>
    <t>EndlessLabyrinth</t>
  </si>
  <si>
    <t>RiverOfSorrow</t>
  </si>
  <si>
    <t>DreamGardener</t>
  </si>
  <si>
    <t>CurrencyOfTears</t>
  </si>
  <si>
    <t>MazeWanderer</t>
  </si>
  <si>
    <t>StormSeeker</t>
  </si>
  <si>
    <t>TapestrySorrow</t>
  </si>
  <si>
    <t>WitheredRose</t>
  </si>
  <si>
    <t>LoveSongEcho</t>
  </si>
  <si>
    <t>MoonlitMemories</t>
  </si>
  <si>
    <t>SymphonyOfTears</t>
  </si>
  <si>
    <t>VenomousGarden</t>
  </si>
  <si>
    <t>QuicksandFighter</t>
  </si>
  <si>
    <t>DreamCemetery</t>
  </si>
  <si>
    <t>RegretRiver</t>
  </si>
  <si>
    <t>HeartAttic</t>
  </si>
  <si>
    <t>PromiseGallery</t>
  </si>
  <si>
    <t>EchoedConversation</t>
  </si>
  <si>
    <t>SunshineDancer</t>
  </si>
  <si>
    <t>GardenOfJoy</t>
  </si>
  <si>
    <t>StarSerenader</t>
  </si>
  <si>
    <t>GlowAchiever</t>
  </si>
  <si>
    <t>DanceHarmony</t>
  </si>
  <si>
    <t>LaughterCup</t>
  </si>
  <si>
    <t>QuiltedCompassion</t>
  </si>
  <si>
    <t>FriendshipGarden</t>
  </si>
  <si>
    <t>MelodyOfLove</t>
  </si>
  <si>
    <t>ColorfulLaughter</t>
  </si>
  <si>
    <t>SymphonyFervor</t>
  </si>
  <si>
    <t>WrappedDelight</t>
  </si>
  <si>
    <t>MazeDiscovery</t>
  </si>
  <si>
    <t>CloudsOfBlessings</t>
  </si>
  <si>
    <t>CometCreativity</t>
  </si>
  <si>
    <t>FireworksTriumph</t>
  </si>
  <si>
    <t>LaughterSymphony</t>
  </si>
  <si>
    <t>EmotionCarnival</t>
  </si>
  <si>
    <t>ParisDreamer</t>
  </si>
  <si>
    <t>DisneylandExplorer</t>
  </si>
  <si>
    <t>FerrariSpeedster</t>
  </si>
  <si>
    <t>KeukenhofAdventurer</t>
  </si>
  <si>
    <t>KyotoAdventurer</t>
  </si>
  <si>
    <t>CanyonMarveler</t>
  </si>
  <si>
    <t>SantoriniTraveler</t>
  </si>
  <si>
    <t>PetraExplorer</t>
  </si>
  <si>
    <t>VeniceRomantic</t>
  </si>
  <si>
    <t>MachuPicchuAdventurer</t>
  </si>
  <si>
    <t>TimesSquareExplorer</t>
  </si>
  <si>
    <t>ColosseumAdventurer</t>
  </si>
  <si>
    <t>MaldivesSailor</t>
  </si>
  <si>
    <t>AmazonExplorer</t>
  </si>
  <si>
    <t>GreatWallWalker</t>
  </si>
  <si>
    <t>FujiSummitAchiever</t>
  </si>
  <si>
    <t>AngkorWatAdventurer</t>
  </si>
  <si>
    <t>AlpsSkiAdventurer</t>
  </si>
  <si>
    <t>KyotoBambooSeeker</t>
  </si>
  <si>
    <t>NorwayFjordExplorer</t>
  </si>
  <si>
    <t>AdeleConcertGoer</t>
  </si>
  <si>
    <t>BeyonceDancer</t>
  </si>
  <si>
    <t>SwiftieDreamer</t>
  </si>
  <si>
    <t>QueenTributeFan</t>
  </si>
  <si>
    <t>SheeranMelodyLover</t>
  </si>
  <si>
    <t>MarsJoyExplorer</t>
  </si>
  <si>
    <t>MJTributeDancer</t>
  </si>
  <si>
    <t>SinatraCharmListener</t>
  </si>
  <si>
    <t>MetallicaMoshWarrior</t>
  </si>
  <si>
    <t>ColdplayHopeSeeker</t>
  </si>
  <si>
    <t>BieberDanceEnthusiast</t>
  </si>
  <si>
    <t>GagaArtisticChameleon</t>
  </si>
  <si>
    <t>AdeleMelodyTearjerker</t>
  </si>
  <si>
    <t>KatyPerryColorExplosion</t>
  </si>
  <si>
    <t>JayZEmpireListener</t>
  </si>
  <si>
    <t>ShakiraHipsDancer</t>
  </si>
  <si>
    <t>U2ConnectionSeeker</t>
  </si>
  <si>
    <t>GunsNRosesRiffRockstar</t>
  </si>
  <si>
    <t>ArianaEuphoriaChaser</t>
  </si>
  <si>
    <t>MarleyReggaeTraveler</t>
  </si>
  <si>
    <t>MovieEnthusiastPremiereAttendee</t>
  </si>
  <si>
    <t>FilmLoverNostalgiaSeeker</t>
  </si>
  <si>
    <t>WebSeriesViewerCharacterConnection</t>
  </si>
  <si>
    <t>IndieFilmmakerFestivalSuccess</t>
  </si>
  <si>
    <t>DramaEnthusiastHeartwarmingMoments</t>
  </si>
  <si>
    <t>AwardWinningActorOscarsRecipient</t>
  </si>
  <si>
    <t>DocumentaryEnthusiastHiddenGemFinder</t>
  </si>
  <si>
    <t>FilmBuffContemplativeViewer</t>
  </si>
  <si>
    <t>CrimeSeriesEnthusiastThrillSeeker</t>
  </si>
  <si>
    <t>FilmCriticSatisfactionSeeker</t>
  </si>
  <si>
    <t>FootballFanWorldCupCelebration</t>
  </si>
  <si>
    <t>OlympicsEnthusiastGoldMedalWinner</t>
  </si>
  <si>
    <t>CricketFanChampionshipThrills</t>
  </si>
  <si>
    <t>MarathonSpectatorRecordBreaking</t>
  </si>
  <si>
    <t>TennisEnthusiastGrandSlamDrama</t>
  </si>
  <si>
    <t>BasketballFanUnderdogTriumph</t>
  </si>
  <si>
    <t>GolfEnthusiastPrecisionVictory</t>
  </si>
  <si>
    <t>F1FanHighSpeedRaceExcitement</t>
  </si>
  <si>
    <t>CyclingEnthusiastWorldChampion</t>
  </si>
  <si>
    <t>HockeyFanComebackVictory</t>
  </si>
  <si>
    <t>SoccerFanTeamDefeats</t>
  </si>
  <si>
    <t>TennisEnthusiastUnexpectedSetback</t>
  </si>
  <si>
    <t>BoxingFanChampionshipDefeat</t>
  </si>
  <si>
    <t>CyclingEnthusiastTireBlowout</t>
  </si>
  <si>
    <t>GymnasticsFanRoutineFall</t>
  </si>
  <si>
    <t>GolfEnthusiastMissedPutt</t>
  </si>
  <si>
    <t>BasketballFanTeamLosses</t>
  </si>
  <si>
    <t>SwimmingEnthusiastRaceSetback</t>
  </si>
  <si>
    <t>WeightliftingFanFailedRecord</t>
  </si>
  <si>
    <t>SoccerPlayerOwnGoalMoment</t>
  </si>
  <si>
    <t>NatureEnthusiastSunsetWonder</t>
  </si>
  <si>
    <t>TravelEnthusiastRoadTripDiscovery</t>
  </si>
  <si>
    <t>UrbanExplorerCafeSolitude</t>
  </si>
  <si>
    <t>ArtEnthusiastStreetArtExploration</t>
  </si>
  <si>
    <t>ScienceEnthusiastDiscoveryMoment</t>
  </si>
  <si>
    <t>MusicLoverLiveOrchestraExperience</t>
  </si>
  <si>
    <t>HomeBakerDeliciousMemories</t>
  </si>
  <si>
    <t>HistoryBuffMuseumExploration</t>
  </si>
  <si>
    <t>BookwormCaptivatingNovelEscape</t>
  </si>
  <si>
    <t>PhotographyEnthusiastMarketMoments</t>
  </si>
  <si>
    <t>DanceEnthusiastCityNightPerformance</t>
  </si>
  <si>
    <t>FoodieMarketStreetFoodExploration</t>
  </si>
  <si>
    <t>SnowLoverWinterEnthusiast</t>
  </si>
  <si>
    <t>MysteryBookwormSuspensefulRead</t>
  </si>
  <si>
    <t>GardeningEnthusiastFlowerGarden</t>
  </si>
  <si>
    <t>AstronomyEnthusiastStargazing</t>
  </si>
  <si>
    <t>CoffeeLoverWritersRetreat</t>
  </si>
  <si>
    <t>FashionEnthusiastDesignerShowcase</t>
  </si>
  <si>
    <t>SurfingEnthusiastWaveRider</t>
  </si>
  <si>
    <t>HistoryExplorerAncientCityTour</t>
  </si>
  <si>
    <t>CrushAvoider</t>
  </si>
  <si>
    <t>SelfieAddict</t>
  </si>
  <si>
    <t>AudioExplorer</t>
  </si>
  <si>
    <t>MemeCreator</t>
  </si>
  <si>
    <t>FashionBlunder</t>
  </si>
  <si>
    <t>GroupGenius</t>
  </si>
  <si>
    <t>ChipExplorer</t>
  </si>
  <si>
    <t>ExcitementSeeker</t>
  </si>
  <si>
    <t>NightReader</t>
  </si>
  <si>
    <t>LazyWatcher</t>
  </si>
  <si>
    <t>TrendExplorer</t>
  </si>
  <si>
    <t>MusicalExplorer</t>
  </si>
  <si>
    <t>MusicAficionado</t>
  </si>
  <si>
    <t>AdventureSeeker</t>
  </si>
  <si>
    <t>NostalgiaExplorer</t>
  </si>
  <si>
    <t>HomeDecorator</t>
  </si>
  <si>
    <t>ThoughtfulBlogger</t>
  </si>
  <si>
    <t>NovelEnthusiast</t>
  </si>
  <si>
    <t>WiseSoul</t>
  </si>
  <si>
    <t>ArtAdventurer</t>
  </si>
  <si>
    <t>HomeChefSenior</t>
  </si>
  <si>
    <t>LinguisticExplorer</t>
  </si>
  <si>
    <t>MusicConnoisseur</t>
  </si>
  <si>
    <t>PhotographySenior</t>
  </si>
  <si>
    <t>TeaTimeSenior</t>
  </si>
  <si>
    <t>RoadTripSenior</t>
  </si>
  <si>
    <t>ChoirEnthusiast</t>
  </si>
  <si>
    <t>MeditationSenior</t>
  </si>
  <si>
    <t>WineConnoisseur</t>
  </si>
  <si>
    <t>ArtisticSenior</t>
  </si>
  <si>
    <t>MemoiristSenior</t>
  </si>
  <si>
    <t>HistoryEnthusiast</t>
  </si>
  <si>
    <t>FamilyChefSenior</t>
  </si>
  <si>
    <t>NaturePhotographySenior</t>
  </si>
  <si>
    <t>JazzMusicLover</t>
  </si>
  <si>
    <t>SeniorWordsmith</t>
  </si>
  <si>
    <t>SoloAdventurer</t>
  </si>
  <si>
    <t>CarEnthusiastSenior</t>
  </si>
  <si>
    <t>GreenThumbSenior</t>
  </si>
  <si>
    <t>FamilyHostSenior</t>
  </si>
  <si>
    <t>DanceEnthusiastSenior</t>
  </si>
  <si>
    <t>ArtGalleryVisitor</t>
  </si>
  <si>
    <t>SeniorBookClub</t>
  </si>
  <si>
    <t>SeniorPicnicHost</t>
  </si>
  <si>
    <t>SeniorActor</t>
  </si>
  <si>
    <t>SeniorHikerExplorer</t>
  </si>
  <si>
    <t>SeniorPhotographerExhibitor</t>
  </si>
  <si>
    <t>SeniorCyclingEnthusiast</t>
  </si>
  <si>
    <t>SeniorWineConnoisseur</t>
  </si>
  <si>
    <t>SeniorBallroomDancer</t>
  </si>
  <si>
    <t>SeniorPaintingOrganizer</t>
  </si>
  <si>
    <t>SeniorMemoriesHost</t>
  </si>
  <si>
    <t>SeniorStargazer</t>
  </si>
  <si>
    <t>SeniorJazzFestivalGoer</t>
  </si>
  <si>
    <t>WisdomBloggerSenior</t>
  </si>
  <si>
    <t>SeniorCharityRunner</t>
  </si>
  <si>
    <t>PhysicsWhizHighSchool</t>
  </si>
  <si>
    <t>CodeExplorerHighSchool</t>
  </si>
  <si>
    <t>DebateWarriorHighSchool</t>
  </si>
  <si>
    <t>PhotoClubHighSchool</t>
  </si>
  <si>
    <t>PromDreamerHighSchool</t>
  </si>
  <si>
    <t>OutdoorClassHighSchool</t>
  </si>
  <si>
    <t>PaintSpillHighSchool</t>
  </si>
  <si>
    <t>SkateProHighSchool</t>
  </si>
  <si>
    <t>KpopFangirlHighSchool</t>
  </si>
  <si>
    <t>ChemistryWizardHighSchool</t>
  </si>
  <si>
    <t>BirthdayPartyPlannerHighSchool</t>
  </si>
  <si>
    <t>DramaClubStarHighSchool</t>
  </si>
  <si>
    <t>FantasyBookNerdHighSchool</t>
  </si>
  <si>
    <t>DoodleMasterHighSchool</t>
  </si>
  <si>
    <t>HandstandChallengeHighSchool</t>
  </si>
  <si>
    <t>SnackSmugglerHighSchool</t>
  </si>
  <si>
    <t>SleepoverHostHighSchool</t>
  </si>
  <si>
    <t>TikTokFailHighSchool</t>
  </si>
  <si>
    <t>SocialMediaBlunderHighSchool</t>
  </si>
  <si>
    <t>CrushFailHighSchool</t>
  </si>
  <si>
    <t>PaperPlaneExpertHighSchool</t>
  </si>
  <si>
    <t>JugglingProHighSchool</t>
  </si>
  <si>
    <t>SnackNinjaHighSchool</t>
  </si>
  <si>
    <t>ScavengerHuntMasterHighSchool</t>
  </si>
  <si>
    <t>RainDanceCelebrationHighSchool</t>
  </si>
  <si>
    <t>GroupChatBlunderHighSchool</t>
  </si>
  <si>
    <t>MagicFailHighSchool</t>
  </si>
  <si>
    <t>OrigamiProHighSchool</t>
  </si>
  <si>
    <t>HackySackChampionHighSchool</t>
  </si>
  <si>
    <t>SecretHandshakeHighSchool</t>
  </si>
  <si>
    <t>BurgerQuestHighSchool</t>
  </si>
  <si>
    <t>ComedyGeniusHighSchool</t>
  </si>
  <si>
    <t>LoveLetterBlunderHighSchool</t>
  </si>
  <si>
    <t>ScienceExperimentProHighSchool</t>
  </si>
  <si>
    <t>BraceletCraftsmanHighSchool</t>
  </si>
  <si>
    <t>CartwheelMasterHighSchool</t>
  </si>
  <si>
    <t>MovieMarathonHostHighSchool</t>
  </si>
  <si>
    <t>HairColorExperimentHighSchool</t>
  </si>
  <si>
    <t>TimeCapsuleCreatorHighSchool</t>
  </si>
  <si>
    <t>ClassroomBlunderHighSchool</t>
  </si>
  <si>
    <t>SmoothieConnoisseurHighSchool</t>
  </si>
  <si>
    <t>OverwhelmedHighSchoolStudent</t>
  </si>
  <si>
    <t>DealingWithHateHighSchool</t>
  </si>
  <si>
    <t>ToughDayHighSchool</t>
  </si>
  <si>
    <t>SportsTeamRejectionHighSchool</t>
  </si>
  <si>
    <t>CafeteriaConflictHighSchool</t>
  </si>
  <si>
    <t>ProjectGradeDisappointmentHighSchool</t>
  </si>
  <si>
    <t>PersonalSetbackHighSchool</t>
  </si>
  <si>
    <t>LonelySaturdayHighSchool</t>
  </si>
  <si>
    <t>CyberbullyingVictimHighSchool</t>
  </si>
  <si>
    <t>RainyDayBluesHighSchool</t>
  </si>
  <si>
    <t>MissedOpportunityHighSchool</t>
  </si>
  <si>
    <t>RumorVictimHighSchool</t>
  </si>
  <si>
    <t>FlatTireWoesHighSchool</t>
  </si>
  <si>
    <t>FriendMovingAwayHighSchool</t>
  </si>
  <si>
    <t>CollegeRejectionHighSchool</t>
  </si>
  <si>
    <t>GamingToxicityHighSchool</t>
  </si>
  <si>
    <t>BadHairDayBluesHighSchool</t>
  </si>
  <si>
    <t>ProjectFailureDespairHighSchool</t>
  </si>
  <si>
    <t>OpinionsHateHighSchool</t>
  </si>
  <si>
    <t>TechMalfunctionWoesHighSchool</t>
  </si>
  <si>
    <t>MissedEventBluesHighSchool</t>
  </si>
  <si>
    <t>StudyTechniqueExperimentHighSchool</t>
  </si>
  <si>
    <t>CommunityCleanupHighSchool</t>
  </si>
  <si>
    <t>BookRecommendationsHighSchool</t>
  </si>
  <si>
    <t>BakeSaleRecipeExperimentHighSchool</t>
  </si>
  <si>
    <t>SchoolProjectCollaborationHighSchool</t>
  </si>
  <si>
    <t>ExtracurricularExplorationHighSchool</t>
  </si>
  <si>
    <t>PartTimeJobExplorationHighSchool</t>
  </si>
  <si>
    <t>SchoolAssemblyParticipationHighSchool</t>
  </si>
  <si>
    <t>PhotographyHobbyHighSchool</t>
  </si>
  <si>
    <t>ScienceFairParticipationHighSchool</t>
  </si>
  <si>
    <t>TimeManagementWorkshopHighSchool</t>
  </si>
  <si>
    <t>CharityEventVolunteerHighSchool</t>
  </si>
  <si>
    <t>GroupProjectCollaborationHighSchool</t>
  </si>
  <si>
    <t>DebateClubParticipationHighSchool</t>
  </si>
  <si>
    <t>BirthdaySurpriseHighSchool</t>
  </si>
  <si>
    <t>CodingSuccessHighSchool</t>
  </si>
  <si>
    <t>TalentShowSupportHighSchool</t>
  </si>
  <si>
    <t>WeekendHikeHighSchool</t>
  </si>
  <si>
    <t>SportsVictoryHighSchool</t>
  </si>
  <si>
    <t>PenPalConnectionHighSchool</t>
  </si>
  <si>
    <t>MuralCreationHighSchool</t>
  </si>
  <si>
    <t>ArtExhibitionJoyHighSchool</t>
  </si>
  <si>
    <t>TrackFieldSuccessHighSchool</t>
  </si>
  <si>
    <t>ScienceProjectSuccessHighSchool</t>
  </si>
  <si>
    <t>BirthdayPartyJoyHighSchool</t>
  </si>
  <si>
    <t>CharityFundraisingTriumphHighSchool</t>
  </si>
  <si>
    <t>MulticulturalFestivalJoyHighSchool</t>
  </si>
  <si>
    <t>VirtualTalentShowSuccessHighSchool</t>
  </si>
  <si>
    <t>Cleaned Platform</t>
  </si>
  <si>
    <t>Twitter</t>
  </si>
  <si>
    <t>Instagram</t>
  </si>
  <si>
    <t>Facebook</t>
  </si>
  <si>
    <t>Row Labels</t>
  </si>
  <si>
    <t>Grand Total</t>
  </si>
  <si>
    <t>Sum of Likes</t>
  </si>
  <si>
    <t>Sum of Retweets</t>
  </si>
  <si>
    <t>Count of Cleaned Sentiment</t>
  </si>
  <si>
    <t>Column Labels</t>
  </si>
  <si>
    <t>Sum of Total Engagement</t>
  </si>
  <si>
    <t>Average of Likes</t>
  </si>
  <si>
    <t>Month Name</t>
  </si>
  <si>
    <t>Average of Retweets</t>
  </si>
  <si>
    <t>Amplification Ratio</t>
  </si>
  <si>
    <t>Distinct Count of Cleaned Sentiment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</si>
</sst>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8">
    <xf numFmtId="0" fontId="0" fillId="0" borderId="0" xfId="0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2" fontId="0" fillId="0" borderId="0" xfId="0" applyNumberFormat="1"/>
    <xf numFmtId="9" fontId="0" fillId="0" borderId="0" xfId="42" applyFont="1"/>
    <xf numFmtId="0" fontId="16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numFmt numFmtId="2" formatCode="0.00"/>
    </dxf>
    <dxf>
      <numFmt numFmtId="2" formatCode="0.00"/>
    </dxf>
    <dxf>
      <numFmt numFmtId="0" formatCode="General"/>
    </dxf>
    <dxf>
      <numFmt numFmtId="27" formatCode="m/d/yyyy\ h:mm"/>
    </dxf>
    <dxf>
      <numFmt numFmtId="27" formatCode="m/d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powerPivotData" Target="model/item.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[3) Sentiment dataset - Codeveda Project Emmanuel Ayodele.xlsx]Platform Performance Metrics!PivotTable2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solidFill>
                  <a:sysClr val="windowText" lastClr="000000"/>
                </a:solidFill>
              </a:rPr>
              <a:t>Platform Performance Metrics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'Platform Performance Metrics'!$B$3</c:f>
              <c:strCache>
                <c:ptCount val="1"/>
                <c:pt idx="0">
                  <c:v>Sum of Likes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'Platform Performance Metrics'!$A$4:$A$8</c:f>
              <c:strCache>
                <c:ptCount val="4"/>
                <c:pt idx="0">
                  <c:v> Facebook </c:v>
                </c:pt>
                <c:pt idx="1">
                  <c:v> Instagram </c:v>
                </c:pt>
                <c:pt idx="2">
                  <c:v> Twitter </c:v>
                </c:pt>
                <c:pt idx="3">
                  <c:v> Twitter  </c:v>
                </c:pt>
              </c:strCache>
            </c:strRef>
          </c:cat>
          <c:val>
            <c:numRef>
              <c:f>'Platform Performance Metrics'!$B$4:$B$8</c:f>
              <c:numCache>
                <c:formatCode>General</c:formatCode>
                <c:ptCount val="4"/>
                <c:pt idx="0">
                  <c:v>9672</c:v>
                </c:pt>
                <c:pt idx="1">
                  <c:v>11633</c:v>
                </c:pt>
                <c:pt idx="2">
                  <c:v>5809</c:v>
                </c:pt>
                <c:pt idx="3">
                  <c:v>4290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60-4BF6-9A17-0628D7E9094F}"/>
            </c:ext>
          </c:extLst>
        </c:ser>
        <c:ser>
          <c:idx val="1"/>
          <c:order val="1"/>
          <c:tx>
            <c:strRef>
              <c:f>'Platform Performance Metrics'!$C$3</c:f>
              <c:strCache>
                <c:ptCount val="1"/>
                <c:pt idx="0">
                  <c:v>Sum of Retweets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'Platform Performance Metrics'!$A$4:$A$8</c:f>
              <c:strCache>
                <c:ptCount val="4"/>
                <c:pt idx="0">
                  <c:v> Facebook </c:v>
                </c:pt>
                <c:pt idx="1">
                  <c:v> Instagram </c:v>
                </c:pt>
                <c:pt idx="2">
                  <c:v> Twitter </c:v>
                </c:pt>
                <c:pt idx="3">
                  <c:v> Twitter  </c:v>
                </c:pt>
              </c:strCache>
            </c:strRef>
          </c:cat>
          <c:val>
            <c:numRef>
              <c:f>'Platform Performance Metrics'!$C$4:$C$8</c:f>
              <c:numCache>
                <c:formatCode>General</c:formatCode>
                <c:ptCount val="4"/>
                <c:pt idx="0">
                  <c:v>4844</c:v>
                </c:pt>
                <c:pt idx="1">
                  <c:v>5831</c:v>
                </c:pt>
                <c:pt idx="2">
                  <c:v>2918</c:v>
                </c:pt>
                <c:pt idx="3">
                  <c:v>2151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360-4BF6-9A17-0628D7E909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7773008"/>
        <c:axId val="387771928"/>
      </c:barChart>
      <c:catAx>
        <c:axId val="387773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771928"/>
        <c:crosses val="autoZero"/>
        <c:auto val="1"/>
        <c:lblAlgn val="ctr"/>
        <c:lblOffset val="100"/>
        <c:noMultiLvlLbl val="0"/>
      </c:catAx>
      <c:valAx>
        <c:axId val="3877719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773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[3) Sentiment dataset - Codeveda Project Emmanuel Ayodele.xlsx]Sentiment Trends Over Time (201!PivotTable3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solidFill>
                  <a:sysClr val="windowText" lastClr="000000"/>
                </a:solidFill>
              </a:rPr>
              <a:t>Sentiment Trends Over Time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'Sentiment Trends Over Time (201'!$B$3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'Sentiment Trends Over Time (201'!$A$4:$A$16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'Sentiment Trends Over Time (201'!$B$4:$B$16</c:f>
              <c:numCache>
                <c:formatCode>General</c:formatCode>
                <c:ptCount val="12"/>
                <c:pt idx="0">
                  <c:v>82</c:v>
                </c:pt>
                <c:pt idx="1">
                  <c:v>85</c:v>
                </c:pt>
                <c:pt idx="2">
                  <c:v>44</c:v>
                </c:pt>
                <c:pt idx="3">
                  <c:v>51</c:v>
                </c:pt>
                <c:pt idx="4">
                  <c:v>46</c:v>
                </c:pt>
                <c:pt idx="5">
                  <c:v>71</c:v>
                </c:pt>
                <c:pt idx="6">
                  <c:v>62</c:v>
                </c:pt>
                <c:pt idx="7">
                  <c:v>78</c:v>
                </c:pt>
                <c:pt idx="8">
                  <c:v>77</c:v>
                </c:pt>
                <c:pt idx="9">
                  <c:v>48</c:v>
                </c:pt>
                <c:pt idx="10">
                  <c:v>49</c:v>
                </c:pt>
                <c:pt idx="11">
                  <c:v>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B2-48D5-9007-88D48F70AA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9865424"/>
        <c:axId val="619618824"/>
      </c:lineChart>
      <c:catAx>
        <c:axId val="519865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9618824"/>
        <c:crosses val="autoZero"/>
        <c:auto val="1"/>
        <c:lblAlgn val="ctr"/>
        <c:lblOffset val="100"/>
        <c:noMultiLvlLbl val="0"/>
      </c:catAx>
      <c:valAx>
        <c:axId val="6196188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9865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[3) Sentiment dataset - Codeveda Project Emmanuel Ayodele.xlsx]Total Likes vs. Retweets by Soc!PivotTable1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solidFill>
                  <a:sysClr val="windowText" lastClr="000000"/>
                </a:solidFill>
              </a:rPr>
              <a:t>Total Likes vs. Retweets by Social Channel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206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'Total Likes vs. Retweets by Soc'!$B$3</c:f>
              <c:strCache>
                <c:ptCount val="1"/>
                <c:pt idx="0">
                  <c:v>Sum of Retweets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'Total Likes vs. Retweets by Soc'!$A$4:$A$7</c:f>
              <c:strCache>
                <c:ptCount val="3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</c:strCache>
            </c:strRef>
          </c:cat>
          <c:val>
            <c:numRef>
              <c:f>'Total Likes vs. Retweets by Soc'!$B$4:$B$7</c:f>
              <c:numCache>
                <c:formatCode>General</c:formatCode>
                <c:ptCount val="3"/>
                <c:pt idx="0">
                  <c:v>4844</c:v>
                </c:pt>
                <c:pt idx="1">
                  <c:v>5831</c:v>
                </c:pt>
                <c:pt idx="2">
                  <c:v>5069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C6-490B-880B-230D7C6DCA5C}"/>
            </c:ext>
          </c:extLst>
        </c:ser>
        <c:ser>
          <c:idx val="1"/>
          <c:order val="1"/>
          <c:tx>
            <c:strRef>
              <c:f>'Total Likes vs. Retweets by Soc'!$C$3</c:f>
              <c:strCache>
                <c:ptCount val="1"/>
                <c:pt idx="0">
                  <c:v>Sum of Likes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'Total Likes vs. Retweets by Soc'!$A$4:$A$7</c:f>
              <c:strCache>
                <c:ptCount val="3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</c:strCache>
            </c:strRef>
          </c:cat>
          <c:val>
            <c:numRef>
              <c:f>'Total Likes vs. Retweets by Soc'!$C$4:$C$7</c:f>
              <c:numCache>
                <c:formatCode>General</c:formatCode>
                <c:ptCount val="3"/>
                <c:pt idx="0">
                  <c:v>9672</c:v>
                </c:pt>
                <c:pt idx="1">
                  <c:v>11633</c:v>
                </c:pt>
                <c:pt idx="2">
                  <c:v>10099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8C6-490B-880B-230D7C6DCA5C}"/>
            </c:ext>
          </c:extLst>
        </c:ser>
        <c:ser>
          <c:idx val="2"/>
          <c:order val="2"/>
          <c:tx>
            <c:strRef>
              <c:f>'Total Likes vs. Retweets by Soc'!$D$3</c:f>
              <c:strCache>
                <c:ptCount val="1"/>
                <c:pt idx="0">
                  <c:v>Sum of Total Engagement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cat>
            <c:strRef>
              <c:f>'Total Likes vs. Retweets by Soc'!$A$4:$A$7</c:f>
              <c:strCache>
                <c:ptCount val="3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</c:strCache>
            </c:strRef>
          </c:cat>
          <c:val>
            <c:numRef>
              <c:f>'Total Likes vs. Retweets by Soc'!$D$4:$D$7</c:f>
              <c:numCache>
                <c:formatCode>General</c:formatCode>
                <c:ptCount val="3"/>
                <c:pt idx="0">
                  <c:v>14516</c:v>
                </c:pt>
                <c:pt idx="1">
                  <c:v>17464</c:v>
                </c:pt>
                <c:pt idx="2">
                  <c:v>15168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8C6-490B-880B-230D7C6DCA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1322048"/>
        <c:axId val="421320968"/>
      </c:barChart>
      <c:catAx>
        <c:axId val="421322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1320968"/>
        <c:crosses val="autoZero"/>
        <c:auto val="1"/>
        <c:lblAlgn val="ctr"/>
        <c:lblOffset val="100"/>
        <c:noMultiLvlLbl val="0"/>
      </c:catAx>
      <c:valAx>
        <c:axId val="4213209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1322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[3) Sentiment dataset - Codeveda Project Emmanuel Ayodele.xlsx]Emotional Distribution by Ctry!PivotTable2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solidFill>
                  <a:sysClr val="windowText" lastClr="000000"/>
                </a:solidFill>
              </a:rPr>
              <a:t>Emotional Distribution by Country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'Emotional Distribution by Ctry'!$B$3:$B$4</c:f>
              <c:strCache>
                <c:ptCount val="1"/>
                <c:pt idx="0">
                  <c:v>Acceptance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Ctry'!$B$5:$B$10</c:f>
              <c:numCache>
                <c:formatCode>General</c:formatCode>
                <c:ptCount val="5"/>
                <c:pt idx="0">
                  <c:v>4</c:v>
                </c:pt>
                <c:pt idx="1">
                  <c:v>3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46-45E6-A307-0486777DE5C3}"/>
            </c:ext>
          </c:extLst>
        </c:ser>
        <c:ser>
          <c:idx val="1"/>
          <c:order val="1"/>
          <c:tx>
            <c:strRef>
              <c:f>'Emotional Distribution by Ctry'!$C$3:$C$4</c:f>
              <c:strCache>
                <c:ptCount val="1"/>
                <c:pt idx="0">
                  <c:v>Accomplishment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Ctry'!$C$5:$C$10</c:f>
              <c:numCache>
                <c:formatCode>General</c:formatCode>
                <c:ptCount val="5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646-45E6-A307-0486777DE5C3}"/>
            </c:ext>
          </c:extLst>
        </c:ser>
        <c:ser>
          <c:idx val="2"/>
          <c:order val="2"/>
          <c:tx>
            <c:strRef>
              <c:f>'Emotional Distribution by Ctry'!$D$3:$D$4</c:f>
              <c:strCache>
                <c:ptCount val="1"/>
                <c:pt idx="0">
                  <c:v>Admiration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Ctry'!$D$5:$D$10</c:f>
              <c:numCache>
                <c:formatCode>General</c:formatCode>
                <c:ptCount val="5"/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646-45E6-A307-0486777DE5C3}"/>
            </c:ext>
          </c:extLst>
        </c:ser>
        <c:ser>
          <c:idx val="3"/>
          <c:order val="3"/>
          <c:tx>
            <c:strRef>
              <c:f>'Emotional Distribution by Ctry'!$E$3:$E$4</c:f>
              <c:strCache>
                <c:ptCount val="1"/>
                <c:pt idx="0">
                  <c:v>Adoration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Ctry'!$E$5:$E$10</c:f>
              <c:numCache>
                <c:formatCode>General</c:formatCode>
                <c:ptCount val="5"/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646-45E6-A307-0486777DE5C3}"/>
            </c:ext>
          </c:extLst>
        </c:ser>
        <c:ser>
          <c:idx val="4"/>
          <c:order val="4"/>
          <c:tx>
            <c:strRef>
              <c:f>'Emotional Distribution by Ctry'!$F$3:$F$4</c:f>
              <c:strCache>
                <c:ptCount val="1"/>
                <c:pt idx="0">
                  <c:v>Adrenaline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Ctry'!$F$5:$F$10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4-F646-45E6-A307-0486777DE5C3}"/>
            </c:ext>
          </c:extLst>
        </c:ser>
        <c:ser>
          <c:idx val="5"/>
          <c:order val="5"/>
          <c:tx>
            <c:strRef>
              <c:f>'Emotional Distribution by Ctry'!$G$3:$G$4</c:f>
              <c:strCache>
                <c:ptCount val="1"/>
                <c:pt idx="0">
                  <c:v>Adventure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Ctry'!$G$5:$G$10</c:f>
              <c:numCache>
                <c:formatCode>General</c:formatCode>
                <c:ptCount val="5"/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646-45E6-A307-0486777DE5C3}"/>
            </c:ext>
          </c:extLst>
        </c:ser>
        <c:ser>
          <c:idx val="6"/>
          <c:order val="6"/>
          <c:tx>
            <c:strRef>
              <c:f>'Emotional Distribution by Ctry'!$H$3:$H$4</c:f>
              <c:strCache>
                <c:ptCount val="1"/>
                <c:pt idx="0">
                  <c:v>Affection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Ctry'!$H$5:$H$10</c:f>
              <c:numCache>
                <c:formatCode>General</c:formatCode>
                <c:ptCount val="5"/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646-45E6-A307-0486777DE5C3}"/>
            </c:ext>
          </c:extLst>
        </c:ser>
        <c:ser>
          <c:idx val="7"/>
          <c:order val="7"/>
          <c:tx>
            <c:strRef>
              <c:f>'Emotional Distribution by Ctry'!$I$3:$I$4</c:f>
              <c:strCache>
                <c:ptCount val="1"/>
                <c:pt idx="0">
                  <c:v>Amazement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Ctry'!$I$5:$I$10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7-F646-45E6-A307-0486777DE5C3}"/>
            </c:ext>
          </c:extLst>
        </c:ser>
        <c:ser>
          <c:idx val="8"/>
          <c:order val="8"/>
          <c:tx>
            <c:strRef>
              <c:f>'Emotional Distribution by Ctry'!$J$3:$J$4</c:f>
              <c:strCache>
                <c:ptCount val="1"/>
                <c:pt idx="0">
                  <c:v>Ambivalence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Ctry'!$J$5:$J$10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646-45E6-A307-0486777DE5C3}"/>
            </c:ext>
          </c:extLst>
        </c:ser>
        <c:ser>
          <c:idx val="9"/>
          <c:order val="9"/>
          <c:tx>
            <c:strRef>
              <c:f>'Emotional Distribution by Ctry'!$K$3:$K$4</c:f>
              <c:strCache>
                <c:ptCount val="1"/>
                <c:pt idx="0">
                  <c:v>Amusement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Ctry'!$K$5:$K$10</c:f>
              <c:numCache>
                <c:formatCode>General</c:formatCode>
                <c:ptCount val="5"/>
                <c:pt idx="1">
                  <c:v>1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F646-45E6-A307-0486777DE5C3}"/>
            </c:ext>
          </c:extLst>
        </c:ser>
        <c:ser>
          <c:idx val="10"/>
          <c:order val="10"/>
          <c:tx>
            <c:strRef>
              <c:f>'Emotional Distribution by Ctry'!$L$3:$L$4</c:f>
              <c:strCache>
                <c:ptCount val="1"/>
                <c:pt idx="0">
                  <c:v>Anger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Ctry'!$L$5:$L$10</c:f>
              <c:numCache>
                <c:formatCode>General</c:formatCode>
                <c:ptCount val="5"/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646-45E6-A307-0486777DE5C3}"/>
            </c:ext>
          </c:extLst>
        </c:ser>
        <c:ser>
          <c:idx val="11"/>
          <c:order val="11"/>
          <c:tx>
            <c:strRef>
              <c:f>'Emotional Distribution by Ctry'!$M$3:$M$4</c:f>
              <c:strCache>
                <c:ptCount val="1"/>
                <c:pt idx="0">
                  <c:v>Anticipation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Ctry'!$M$5:$M$10</c:f>
              <c:numCache>
                <c:formatCode>General</c:formatCode>
                <c:ptCount val="5"/>
                <c:pt idx="0">
                  <c:v>1</c:v>
                </c:pt>
                <c:pt idx="2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F646-45E6-A307-0486777DE5C3}"/>
            </c:ext>
          </c:extLst>
        </c:ser>
        <c:ser>
          <c:idx val="12"/>
          <c:order val="12"/>
          <c:tx>
            <c:strRef>
              <c:f>'Emotional Distribution by Ctry'!$N$3:$N$4</c:f>
              <c:strCache>
                <c:ptCount val="1"/>
                <c:pt idx="0">
                  <c:v>Anxiety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Ctry'!$N$5:$N$10</c:f>
              <c:numCache>
                <c:formatCode>General</c:formatCode>
                <c:ptCount val="5"/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F646-45E6-A307-0486777DE5C3}"/>
            </c:ext>
          </c:extLst>
        </c:ser>
        <c:ser>
          <c:idx val="13"/>
          <c:order val="13"/>
          <c:tx>
            <c:strRef>
              <c:f>'Emotional Distribution by Ctry'!$O$3:$O$4</c:f>
              <c:strCache>
                <c:ptCount val="1"/>
                <c:pt idx="0">
                  <c:v>Appreciation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Ctry'!$O$5:$O$10</c:f>
              <c:numCache>
                <c:formatCode>General</c:formatCode>
                <c:ptCount val="5"/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F646-45E6-A307-0486777DE5C3}"/>
            </c:ext>
          </c:extLst>
        </c:ser>
        <c:ser>
          <c:idx val="14"/>
          <c:order val="14"/>
          <c:tx>
            <c:strRef>
              <c:f>'Emotional Distribution by Ctry'!$P$3:$P$4</c:f>
              <c:strCache>
                <c:ptCount val="1"/>
                <c:pt idx="0">
                  <c:v>Apprehensive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Ctry'!$P$5:$P$10</c:f>
              <c:numCache>
                <c:formatCode>General</c:formatCode>
                <c:ptCount val="5"/>
                <c:pt idx="1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F646-45E6-A307-0486777DE5C3}"/>
            </c:ext>
          </c:extLst>
        </c:ser>
        <c:ser>
          <c:idx val="15"/>
          <c:order val="15"/>
          <c:tx>
            <c:strRef>
              <c:f>'Emotional Distribution by Ctry'!$Q$3:$Q$4</c:f>
              <c:strCache>
                <c:ptCount val="1"/>
                <c:pt idx="0">
                  <c:v>Arousal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Ctry'!$Q$5:$Q$10</c:f>
              <c:numCache>
                <c:formatCode>General</c:formatCode>
                <c:ptCount val="5"/>
                <c:pt idx="0">
                  <c:v>2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F646-45E6-A307-0486777DE5C3}"/>
            </c:ext>
          </c:extLst>
        </c:ser>
        <c:ser>
          <c:idx val="16"/>
          <c:order val="16"/>
          <c:tx>
            <c:strRef>
              <c:f>'Emotional Distribution by Ctry'!$R$3:$R$4</c:f>
              <c:strCache>
                <c:ptCount val="1"/>
                <c:pt idx="0">
                  <c:v>ArtisticBurst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Ctry'!$R$5:$R$10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10-F646-45E6-A307-0486777DE5C3}"/>
            </c:ext>
          </c:extLst>
        </c:ser>
        <c:ser>
          <c:idx val="17"/>
          <c:order val="17"/>
          <c:tx>
            <c:strRef>
              <c:f>'Emotional Distribution by Ctry'!$S$3:$S$4</c:f>
              <c:strCache>
                <c:ptCount val="1"/>
                <c:pt idx="0">
                  <c:v>Awe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Ctry'!$S$5:$S$10</c:f>
              <c:numCache>
                <c:formatCode>General</c:formatCode>
                <c:ptCount val="5"/>
                <c:pt idx="0">
                  <c:v>2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F646-45E6-A307-0486777DE5C3}"/>
            </c:ext>
          </c:extLst>
        </c:ser>
        <c:ser>
          <c:idx val="18"/>
          <c:order val="18"/>
          <c:tx>
            <c:strRef>
              <c:f>'Emotional Distribution by Ctry'!$T$3:$T$4</c:f>
              <c:strCache>
                <c:ptCount val="1"/>
                <c:pt idx="0">
                  <c:v>Bad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Ctry'!$T$5:$T$10</c:f>
              <c:numCache>
                <c:formatCode>General</c:formatCode>
                <c:ptCount val="5"/>
                <c:pt idx="1">
                  <c:v>2</c:v>
                </c:pt>
                <c:pt idx="3">
                  <c:v>2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F646-45E6-A307-0486777DE5C3}"/>
            </c:ext>
          </c:extLst>
        </c:ser>
        <c:ser>
          <c:idx val="19"/>
          <c:order val="19"/>
          <c:tx>
            <c:strRef>
              <c:f>'Emotional Distribution by Ctry'!$U$3:$U$4</c:f>
              <c:strCache>
                <c:ptCount val="1"/>
                <c:pt idx="0">
                  <c:v>Betrayal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Ctry'!$U$5:$U$10</c:f>
              <c:numCache>
                <c:formatCode>General</c:formatCode>
                <c:ptCount val="5"/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F646-45E6-A307-0486777DE5C3}"/>
            </c:ext>
          </c:extLst>
        </c:ser>
        <c:ser>
          <c:idx val="20"/>
          <c:order val="20"/>
          <c:tx>
            <c:strRef>
              <c:f>'Emotional Distribution by Ctry'!$V$3:$V$4</c:f>
              <c:strCache>
                <c:ptCount val="1"/>
                <c:pt idx="0">
                  <c:v>Bitter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Ctry'!$V$5:$V$10</c:f>
              <c:numCache>
                <c:formatCode>General</c:formatCode>
                <c:ptCount val="5"/>
                <c:pt idx="1">
                  <c:v>1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F646-45E6-A307-0486777DE5C3}"/>
            </c:ext>
          </c:extLst>
        </c:ser>
        <c:ser>
          <c:idx val="21"/>
          <c:order val="21"/>
          <c:tx>
            <c:strRef>
              <c:f>'Emotional Distribution by Ctry'!$W$3:$W$4</c:f>
              <c:strCache>
                <c:ptCount val="1"/>
                <c:pt idx="0">
                  <c:v>Bitterness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Ctry'!$W$5:$W$10</c:f>
              <c:numCache>
                <c:formatCode>General</c:formatCode>
                <c:ptCount val="5"/>
                <c:pt idx="0">
                  <c:v>1</c:v>
                </c:pt>
                <c:pt idx="2">
                  <c:v>1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F646-45E6-A307-0486777DE5C3}"/>
            </c:ext>
          </c:extLst>
        </c:ser>
        <c:ser>
          <c:idx val="22"/>
          <c:order val="22"/>
          <c:tx>
            <c:strRef>
              <c:f>'Emotional Distribution by Ctry'!$X$3:$X$4</c:f>
              <c:strCache>
                <c:ptCount val="1"/>
                <c:pt idx="0">
                  <c:v>Bittersweet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Ctry'!$X$5:$X$10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16-F646-45E6-A307-0486777DE5C3}"/>
            </c:ext>
          </c:extLst>
        </c:ser>
        <c:ser>
          <c:idx val="23"/>
          <c:order val="23"/>
          <c:tx>
            <c:strRef>
              <c:f>'Emotional Distribution by Ctry'!$Y$3:$Y$4</c:f>
              <c:strCache>
                <c:ptCount val="1"/>
                <c:pt idx="0">
                  <c:v>Blessed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Ctry'!$Y$5:$Y$10</c:f>
              <c:numCache>
                <c:formatCode>General</c:formatCode>
                <c:ptCount val="5"/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F646-45E6-A307-0486777DE5C3}"/>
            </c:ext>
          </c:extLst>
        </c:ser>
        <c:ser>
          <c:idx val="24"/>
          <c:order val="24"/>
          <c:tx>
            <c:strRef>
              <c:f>'Emotional Distribution by Ctry'!$Z$3:$Z$4</c:f>
              <c:strCache>
                <c:ptCount val="1"/>
                <c:pt idx="0">
                  <c:v>Boredom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Ctry'!$Z$5:$Z$10</c:f>
              <c:numCache>
                <c:formatCode>General</c:formatCode>
                <c:ptCount val="5"/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646-45E6-A307-0486777DE5C3}"/>
            </c:ext>
          </c:extLst>
        </c:ser>
        <c:ser>
          <c:idx val="25"/>
          <c:order val="25"/>
          <c:tx>
            <c:strRef>
              <c:f>'Emotional Distribution by Ctry'!$AA$3:$AA$4</c:f>
              <c:strCache>
                <c:ptCount val="1"/>
                <c:pt idx="0">
                  <c:v>Breakthrough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Ctry'!$AA$5:$AA$10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19-F646-45E6-A307-0486777DE5C3}"/>
            </c:ext>
          </c:extLst>
        </c:ser>
        <c:ser>
          <c:idx val="26"/>
          <c:order val="26"/>
          <c:tx>
            <c:strRef>
              <c:f>'Emotional Distribution by Ctry'!$AB$3:$AB$4</c:f>
              <c:strCache>
                <c:ptCount val="1"/>
                <c:pt idx="0">
                  <c:v>Calmness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Ctry'!$AB$5:$AB$10</c:f>
              <c:numCache>
                <c:formatCode>General</c:formatCode>
                <c:ptCount val="5"/>
                <c:pt idx="0">
                  <c:v>1</c:v>
                </c:pt>
                <c:pt idx="2">
                  <c:v>2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F646-45E6-A307-0486777DE5C3}"/>
            </c:ext>
          </c:extLst>
        </c:ser>
        <c:ser>
          <c:idx val="27"/>
          <c:order val="27"/>
          <c:tx>
            <c:strRef>
              <c:f>'Emotional Distribution by Ctry'!$AC$3:$AC$4</c:f>
              <c:strCache>
                <c:ptCount val="1"/>
                <c:pt idx="0">
                  <c:v>Captivation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Ctry'!$AC$5:$AC$10</c:f>
              <c:numCache>
                <c:formatCode>General</c:formatCode>
                <c:ptCount val="5"/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F646-45E6-A307-0486777DE5C3}"/>
            </c:ext>
          </c:extLst>
        </c:ser>
        <c:ser>
          <c:idx val="28"/>
          <c:order val="28"/>
          <c:tx>
            <c:strRef>
              <c:f>'Emotional Distribution by Ctry'!$AD$3:$AD$4</c:f>
              <c:strCache>
                <c:ptCount val="1"/>
                <c:pt idx="0">
                  <c:v>Celebration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Ctry'!$AD$5:$AD$10</c:f>
              <c:numCache>
                <c:formatCode>General</c:formatCode>
                <c:ptCount val="5"/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F646-45E6-A307-0486777DE5C3}"/>
            </c:ext>
          </c:extLst>
        </c:ser>
        <c:ser>
          <c:idx val="29"/>
          <c:order val="29"/>
          <c:tx>
            <c:strRef>
              <c:f>'Emotional Distribution by Ctry'!$AE$3:$AE$4</c:f>
              <c:strCache>
                <c:ptCount val="1"/>
                <c:pt idx="0">
                  <c:v>Celestial Wonder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Ctry'!$AE$5:$AE$10</c:f>
              <c:numCache>
                <c:formatCode>General</c:formatCode>
                <c:ptCount val="5"/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F646-45E6-A307-0486777DE5C3}"/>
            </c:ext>
          </c:extLst>
        </c:ser>
        <c:ser>
          <c:idx val="30"/>
          <c:order val="30"/>
          <c:tx>
            <c:strRef>
              <c:f>'Emotional Distribution by Ctry'!$AF$3:$AF$4</c:f>
              <c:strCache>
                <c:ptCount val="1"/>
                <c:pt idx="0">
                  <c:v>Challenge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Ctry'!$AF$5:$AF$10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1E-F646-45E6-A307-0486777DE5C3}"/>
            </c:ext>
          </c:extLst>
        </c:ser>
        <c:ser>
          <c:idx val="31"/>
          <c:order val="31"/>
          <c:tx>
            <c:strRef>
              <c:f>'Emotional Distribution by Ctry'!$AG$3:$AG$4</c:f>
              <c:strCache>
                <c:ptCount val="1"/>
                <c:pt idx="0">
                  <c:v>Charm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Ctry'!$AG$5:$AG$10</c:f>
              <c:numCache>
                <c:formatCode>General</c:formatCode>
                <c:ptCount val="5"/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F646-45E6-A307-0486777DE5C3}"/>
            </c:ext>
          </c:extLst>
        </c:ser>
        <c:ser>
          <c:idx val="32"/>
          <c:order val="32"/>
          <c:tx>
            <c:strRef>
              <c:f>'Emotional Distribution by Ctry'!$AH$3:$AH$4</c:f>
              <c:strCache>
                <c:ptCount val="1"/>
                <c:pt idx="0">
                  <c:v>Colorful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Ctry'!$AH$5:$AH$10</c:f>
              <c:numCache>
                <c:formatCode>General</c:formatCode>
                <c:ptCount val="5"/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F646-45E6-A307-0486777DE5C3}"/>
            </c:ext>
          </c:extLst>
        </c:ser>
        <c:ser>
          <c:idx val="33"/>
          <c:order val="33"/>
          <c:tx>
            <c:strRef>
              <c:f>'Emotional Distribution by Ctry'!$AI$3:$AI$4</c:f>
              <c:strCache>
                <c:ptCount val="1"/>
                <c:pt idx="0">
                  <c:v>Compassion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Ctry'!$AI$5:$AI$10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F646-45E6-A307-0486777DE5C3}"/>
            </c:ext>
          </c:extLst>
        </c:ser>
        <c:ser>
          <c:idx val="34"/>
          <c:order val="34"/>
          <c:tx>
            <c:strRef>
              <c:f>'Emotional Distribution by Ctry'!$AJ$3:$AJ$4</c:f>
              <c:strCache>
                <c:ptCount val="1"/>
                <c:pt idx="0">
                  <c:v>Compassionate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Ctry'!$AJ$5:$AJ$10</c:f>
              <c:numCache>
                <c:formatCode>General</c:formatCode>
                <c:ptCount val="5"/>
                <c:pt idx="0">
                  <c:v>1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F646-45E6-A307-0486777DE5C3}"/>
            </c:ext>
          </c:extLst>
        </c:ser>
        <c:ser>
          <c:idx val="35"/>
          <c:order val="35"/>
          <c:tx>
            <c:strRef>
              <c:f>'Emotional Distribution by Ctry'!$AK$3:$AK$4</c:f>
              <c:strCache>
                <c:ptCount val="1"/>
                <c:pt idx="0">
                  <c:v>Confidence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Ctry'!$AK$5:$AK$10</c:f>
              <c:numCache>
                <c:formatCode>General</c:formatCode>
                <c:ptCount val="5"/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F646-45E6-A307-0486777DE5C3}"/>
            </c:ext>
          </c:extLst>
        </c:ser>
        <c:ser>
          <c:idx val="36"/>
          <c:order val="36"/>
          <c:tx>
            <c:strRef>
              <c:f>'Emotional Distribution by Ctry'!$AL$3:$AL$4</c:f>
              <c:strCache>
                <c:ptCount val="1"/>
                <c:pt idx="0">
                  <c:v>Confident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Ctry'!$AL$5:$AL$10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F646-45E6-A307-0486777DE5C3}"/>
            </c:ext>
          </c:extLst>
        </c:ser>
        <c:ser>
          <c:idx val="37"/>
          <c:order val="37"/>
          <c:tx>
            <c:strRef>
              <c:f>'Emotional Distribution by Ctry'!$AM$3:$AM$4</c:f>
              <c:strCache>
                <c:ptCount val="1"/>
                <c:pt idx="0">
                  <c:v>Confusion</c:v>
                </c:pt>
              </c:strCache>
            </c:strRef>
          </c:tx>
          <c:spPr>
            <a:solidFill>
              <a:schemeClr val="accent2">
                <a:lumMod val="70000"/>
                <a:lumOff val="3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Ctry'!$AM$5:$AM$10</c:f>
              <c:numCache>
                <c:formatCode>General</c:formatCode>
                <c:ptCount val="5"/>
                <c:pt idx="0">
                  <c:v>3</c:v>
                </c:pt>
                <c:pt idx="3">
                  <c:v>4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F646-45E6-A307-0486777DE5C3}"/>
            </c:ext>
          </c:extLst>
        </c:ser>
        <c:ser>
          <c:idx val="38"/>
          <c:order val="38"/>
          <c:tx>
            <c:strRef>
              <c:f>'Emotional Distribution by Ctry'!$AN$3:$AN$4</c:f>
              <c:strCache>
                <c:ptCount val="1"/>
                <c:pt idx="0">
                  <c:v>Connection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Ctry'!$AN$5:$AN$10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26-F646-45E6-A307-0486777DE5C3}"/>
            </c:ext>
          </c:extLst>
        </c:ser>
        <c:ser>
          <c:idx val="39"/>
          <c:order val="39"/>
          <c:tx>
            <c:strRef>
              <c:f>'Emotional Distribution by Ctry'!$AO$3:$AO$4</c:f>
              <c:strCache>
                <c:ptCount val="1"/>
                <c:pt idx="0">
                  <c:v>Contemplation</c:v>
                </c:pt>
              </c:strCache>
            </c:strRef>
          </c:tx>
          <c:spPr>
            <a:solidFill>
              <a:schemeClr val="accent4">
                <a:lumMod val="70000"/>
                <a:lumOff val="3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Ctry'!$AO$5:$AO$10</c:f>
              <c:numCache>
                <c:formatCode>General</c:formatCode>
                <c:ptCount val="5"/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F646-45E6-A307-0486777DE5C3}"/>
            </c:ext>
          </c:extLst>
        </c:ser>
        <c:ser>
          <c:idx val="40"/>
          <c:order val="40"/>
          <c:tx>
            <c:strRef>
              <c:f>'Emotional Distribution by Ctry'!$AP$3:$AP$4</c:f>
              <c:strCache>
                <c:ptCount val="1"/>
                <c:pt idx="0">
                  <c:v>Contentment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Ctry'!$AP$5:$AP$10</c:f>
              <c:numCache>
                <c:formatCode>General</c:formatCode>
                <c:ptCount val="5"/>
                <c:pt idx="0">
                  <c:v>2</c:v>
                </c:pt>
                <c:pt idx="1">
                  <c:v>4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F646-45E6-A307-0486777DE5C3}"/>
            </c:ext>
          </c:extLst>
        </c:ser>
        <c:ser>
          <c:idx val="41"/>
          <c:order val="41"/>
          <c:tx>
            <c:strRef>
              <c:f>'Emotional Distribution by Ctry'!$AQ$3:$AQ$4</c:f>
              <c:strCache>
                <c:ptCount val="1"/>
                <c:pt idx="0">
                  <c:v>Coziness</c:v>
                </c:pt>
              </c:strCache>
            </c:strRef>
          </c:tx>
          <c:spPr>
            <a:solidFill>
              <a:schemeClr val="accent6">
                <a:lumMod val="70000"/>
                <a:lumOff val="3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Ctry'!$AQ$5:$AQ$10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29-F646-45E6-A307-0486777DE5C3}"/>
            </c:ext>
          </c:extLst>
        </c:ser>
        <c:ser>
          <c:idx val="42"/>
          <c:order val="42"/>
          <c:tx>
            <c:strRef>
              <c:f>'Emotional Distribution by Ctry'!$AR$3:$AR$4</c:f>
              <c:strCache>
                <c:ptCount val="1"/>
                <c:pt idx="0">
                  <c:v>Creative Inspiration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Ctry'!$AR$5:$AR$10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2A-F646-45E6-A307-0486777DE5C3}"/>
            </c:ext>
          </c:extLst>
        </c:ser>
        <c:ser>
          <c:idx val="43"/>
          <c:order val="43"/>
          <c:tx>
            <c:strRef>
              <c:f>'Emotional Distribution by Ctry'!$AS$3:$AS$4</c:f>
              <c:strCache>
                <c:ptCount val="1"/>
                <c:pt idx="0">
                  <c:v>Creativity</c:v>
                </c:pt>
              </c:strCache>
            </c:strRef>
          </c:tx>
          <c:spPr>
            <a:solidFill>
              <a:schemeClr val="accent2">
                <a:lumMod val="7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Ctry'!$AS$5:$AS$10</c:f>
              <c:numCache>
                <c:formatCode>General</c:formatCode>
                <c:ptCount val="5"/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F646-45E6-A307-0486777DE5C3}"/>
            </c:ext>
          </c:extLst>
        </c:ser>
        <c:ser>
          <c:idx val="44"/>
          <c:order val="44"/>
          <c:tx>
            <c:strRef>
              <c:f>'Emotional Distribution by Ctry'!$AT$3:$AT$4</c:f>
              <c:strCache>
                <c:ptCount val="1"/>
                <c:pt idx="0">
                  <c:v>Culinary Adventure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Ctry'!$AT$5:$AT$10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2C-F646-45E6-A307-0486777DE5C3}"/>
            </c:ext>
          </c:extLst>
        </c:ser>
        <c:ser>
          <c:idx val="45"/>
          <c:order val="45"/>
          <c:tx>
            <c:strRef>
              <c:f>'Emotional Distribution by Ctry'!$AU$3:$AU$4</c:f>
              <c:strCache>
                <c:ptCount val="1"/>
                <c:pt idx="0">
                  <c:v>CulinaryOdyssey</c:v>
                </c:pt>
              </c:strCache>
            </c:strRef>
          </c:tx>
          <c:spPr>
            <a:solidFill>
              <a:schemeClr val="accent4">
                <a:lumMod val="7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Ctry'!$AU$5:$AU$10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2D-F646-45E6-A307-0486777DE5C3}"/>
            </c:ext>
          </c:extLst>
        </c:ser>
        <c:ser>
          <c:idx val="46"/>
          <c:order val="46"/>
          <c:tx>
            <c:strRef>
              <c:f>'Emotional Distribution by Ctry'!$AV$3:$AV$4</c:f>
              <c:strCache>
                <c:ptCount val="1"/>
                <c:pt idx="0">
                  <c:v>Curiosity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Ctry'!$AV$5:$AV$10</c:f>
              <c:numCache>
                <c:formatCode>General</c:formatCode>
                <c:ptCount val="5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F646-45E6-A307-0486777DE5C3}"/>
            </c:ext>
          </c:extLst>
        </c:ser>
        <c:ser>
          <c:idx val="47"/>
          <c:order val="47"/>
          <c:tx>
            <c:strRef>
              <c:f>'Emotional Distribution by Ctry'!$AW$3:$AW$4</c:f>
              <c:strCache>
                <c:ptCount val="1"/>
                <c:pt idx="0">
                  <c:v>Darkness</c:v>
                </c:pt>
              </c:strCache>
            </c:strRef>
          </c:tx>
          <c:spPr>
            <a:solidFill>
              <a:schemeClr val="accent6">
                <a:lumMod val="7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Ctry'!$AW$5:$AW$10</c:f>
              <c:numCache>
                <c:formatCode>General</c:formatCode>
                <c:ptCount val="5"/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F646-45E6-A307-0486777DE5C3}"/>
            </c:ext>
          </c:extLst>
        </c:ser>
        <c:ser>
          <c:idx val="48"/>
          <c:order val="48"/>
          <c:tx>
            <c:strRef>
              <c:f>'Emotional Distribution by Ctry'!$AX$3:$AX$4</c:f>
              <c:strCache>
                <c:ptCount val="1"/>
                <c:pt idx="0">
                  <c:v>Dazzle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Ctry'!$AX$5:$AX$10</c:f>
              <c:numCache>
                <c:formatCode>General</c:formatCode>
                <c:ptCount val="5"/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0-F646-45E6-A307-0486777DE5C3}"/>
            </c:ext>
          </c:extLst>
        </c:ser>
        <c:ser>
          <c:idx val="49"/>
          <c:order val="49"/>
          <c:tx>
            <c:strRef>
              <c:f>'Emotional Distribution by Ctry'!$AY$3:$AY$4</c:f>
              <c:strCache>
                <c:ptCount val="1"/>
                <c:pt idx="0">
                  <c:v>Desolation</c:v>
                </c:pt>
              </c:strCache>
            </c:strRef>
          </c:tx>
          <c:spPr>
            <a:solidFill>
              <a:schemeClr val="accent2">
                <a:lumMod val="50000"/>
                <a:lumOff val="5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Ctry'!$AY$5:$AY$10</c:f>
              <c:numCache>
                <c:formatCode>General</c:formatCode>
                <c:ptCount val="5"/>
                <c:pt idx="0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1-F646-45E6-A307-0486777DE5C3}"/>
            </c:ext>
          </c:extLst>
        </c:ser>
        <c:ser>
          <c:idx val="50"/>
          <c:order val="50"/>
          <c:tx>
            <c:strRef>
              <c:f>'Emotional Distribution by Ctry'!$AZ$3:$AZ$4</c:f>
              <c:strCache>
                <c:ptCount val="1"/>
                <c:pt idx="0">
                  <c:v>Despair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Ctry'!$AZ$5:$AZ$10</c:f>
              <c:numCache>
                <c:formatCode>General</c:formatCode>
                <c:ptCount val="5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2-F646-45E6-A307-0486777DE5C3}"/>
            </c:ext>
          </c:extLst>
        </c:ser>
        <c:ser>
          <c:idx val="51"/>
          <c:order val="51"/>
          <c:tx>
            <c:strRef>
              <c:f>'Emotional Distribution by Ctry'!$BA$3:$BA$4</c:f>
              <c:strCache>
                <c:ptCount val="1"/>
                <c:pt idx="0">
                  <c:v>Desperation</c:v>
                </c:pt>
              </c:strCache>
            </c:strRef>
          </c:tx>
          <c:spPr>
            <a:solidFill>
              <a:schemeClr val="accent4">
                <a:lumMod val="50000"/>
                <a:lumOff val="5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Ctry'!$BA$5:$BA$10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33-F646-45E6-A307-0486777DE5C3}"/>
            </c:ext>
          </c:extLst>
        </c:ser>
        <c:ser>
          <c:idx val="52"/>
          <c:order val="52"/>
          <c:tx>
            <c:strRef>
              <c:f>'Emotional Distribution by Ctry'!$BB$3:$BB$4</c:f>
              <c:strCache>
                <c:ptCount val="1"/>
                <c:pt idx="0">
                  <c:v>Determination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Ctry'!$BB$5:$BB$10</c:f>
              <c:numCache>
                <c:formatCode>General</c:formatCode>
                <c:ptCount val="5"/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4-F646-45E6-A307-0486777DE5C3}"/>
            </c:ext>
          </c:extLst>
        </c:ser>
        <c:ser>
          <c:idx val="53"/>
          <c:order val="53"/>
          <c:tx>
            <c:strRef>
              <c:f>'Emotional Distribution by Ctry'!$BC$3:$BC$4</c:f>
              <c:strCache>
                <c:ptCount val="1"/>
                <c:pt idx="0">
                  <c:v>Devastated</c:v>
                </c:pt>
              </c:strCache>
            </c:strRef>
          </c:tx>
          <c:spPr>
            <a:solidFill>
              <a:schemeClr val="accent6">
                <a:lumMod val="50000"/>
                <a:lumOff val="5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Ctry'!$BC$5:$BC$10</c:f>
              <c:numCache>
                <c:formatCode>General</c:formatCode>
                <c:ptCount val="5"/>
                <c:pt idx="0">
                  <c:v>2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5-F646-45E6-A307-0486777DE5C3}"/>
            </c:ext>
          </c:extLst>
        </c:ser>
        <c:ser>
          <c:idx val="54"/>
          <c:order val="54"/>
          <c:tx>
            <c:strRef>
              <c:f>'Emotional Distribution by Ctry'!$BD$3:$BD$4</c:f>
              <c:strCache>
                <c:ptCount val="1"/>
                <c:pt idx="0">
                  <c:v>Disappointed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Ctry'!$BD$5:$BD$10</c:f>
              <c:numCache>
                <c:formatCode>General</c:formatCode>
                <c:ptCount val="5"/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6-F646-45E6-A307-0486777DE5C3}"/>
            </c:ext>
          </c:extLst>
        </c:ser>
        <c:ser>
          <c:idx val="55"/>
          <c:order val="55"/>
          <c:tx>
            <c:strRef>
              <c:f>'Emotional Distribution by Ctry'!$BE$3:$BE$4</c:f>
              <c:strCache>
                <c:ptCount val="1"/>
                <c:pt idx="0">
                  <c:v>Disappointment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Ctry'!$BE$5:$BE$10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37-F646-45E6-A307-0486777DE5C3}"/>
            </c:ext>
          </c:extLst>
        </c:ser>
        <c:ser>
          <c:idx val="56"/>
          <c:order val="56"/>
          <c:tx>
            <c:strRef>
              <c:f>'Emotional Distribution by Ctry'!$BF$3:$BF$4</c:f>
              <c:strCache>
                <c:ptCount val="1"/>
                <c:pt idx="0">
                  <c:v>Disgust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Ctry'!$BF$5:$BF$10</c:f>
              <c:numCache>
                <c:formatCode>General</c:formatCode>
                <c:ptCount val="5"/>
                <c:pt idx="1">
                  <c:v>1</c:v>
                </c:pt>
                <c:pt idx="2">
                  <c:v>1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8-F646-45E6-A307-0486777DE5C3}"/>
            </c:ext>
          </c:extLst>
        </c:ser>
        <c:ser>
          <c:idx val="57"/>
          <c:order val="57"/>
          <c:tx>
            <c:strRef>
              <c:f>'Emotional Distribution by Ctry'!$BG$3:$BG$4</c:f>
              <c:strCache>
                <c:ptCount val="1"/>
                <c:pt idx="0">
                  <c:v>Dismissive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Ctry'!$BG$5:$BG$10</c:f>
              <c:numCache>
                <c:formatCode>General</c:formatCode>
                <c:ptCount val="5"/>
                <c:pt idx="0">
                  <c:v>2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9-F646-45E6-A307-0486777DE5C3}"/>
            </c:ext>
          </c:extLst>
        </c:ser>
        <c:ser>
          <c:idx val="58"/>
          <c:order val="58"/>
          <c:tx>
            <c:strRef>
              <c:f>'Emotional Distribution by Ctry'!$BH$3:$BH$4</c:f>
              <c:strCache>
                <c:ptCount val="1"/>
                <c:pt idx="0">
                  <c:v>DreamChaser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Ctry'!$BH$5:$BH$10</c:f>
              <c:numCache>
                <c:formatCode>General</c:formatCode>
                <c:ptCount val="5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A-F646-45E6-A307-0486777DE5C3}"/>
            </c:ext>
          </c:extLst>
        </c:ser>
        <c:ser>
          <c:idx val="59"/>
          <c:order val="59"/>
          <c:tx>
            <c:strRef>
              <c:f>'Emotional Distribution by Ctry'!$BI$3:$BI$4</c:f>
              <c:strCache>
                <c:ptCount val="1"/>
                <c:pt idx="0">
                  <c:v>Ecstasy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Ctry'!$BI$5:$BI$10</c:f>
              <c:numCache>
                <c:formatCode>General</c:formatCode>
                <c:ptCount val="5"/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B-F646-45E6-A307-0486777DE5C3}"/>
            </c:ext>
          </c:extLst>
        </c:ser>
        <c:ser>
          <c:idx val="60"/>
          <c:order val="60"/>
          <c:tx>
            <c:strRef>
              <c:f>'Emotional Distribution by Ctry'!$BJ$3:$BJ$4</c:f>
              <c:strCache>
                <c:ptCount val="1"/>
                <c:pt idx="0">
                  <c:v>Elation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Ctry'!$BJ$5:$BJ$10</c:f>
              <c:numCache>
                <c:formatCode>General</c:formatCode>
                <c:ptCount val="5"/>
                <c:pt idx="1">
                  <c:v>3</c:v>
                </c:pt>
                <c:pt idx="3">
                  <c:v>1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C-F646-45E6-A307-0486777DE5C3}"/>
            </c:ext>
          </c:extLst>
        </c:ser>
        <c:ser>
          <c:idx val="61"/>
          <c:order val="61"/>
          <c:tx>
            <c:strRef>
              <c:f>'Emotional Distribution by Ctry'!$BK$3:$BK$4</c:f>
              <c:strCache>
                <c:ptCount val="1"/>
                <c:pt idx="0">
                  <c:v>Elegance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Ctry'!$BK$5:$BK$10</c:f>
              <c:numCache>
                <c:formatCode>General</c:formatCode>
                <c:ptCount val="5"/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D-F646-45E6-A307-0486777DE5C3}"/>
            </c:ext>
          </c:extLst>
        </c:ser>
        <c:ser>
          <c:idx val="62"/>
          <c:order val="62"/>
          <c:tx>
            <c:strRef>
              <c:f>'Emotional Distribution by Ctry'!$BL$3:$BL$4</c:f>
              <c:strCache>
                <c:ptCount val="1"/>
                <c:pt idx="0">
                  <c:v>Embarrassed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Ctry'!$BL$5:$BL$10</c:f>
              <c:numCache>
                <c:formatCode>General</c:formatCode>
                <c:ptCount val="5"/>
                <c:pt idx="1">
                  <c:v>1</c:v>
                </c:pt>
                <c:pt idx="3">
                  <c:v>3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E-F646-45E6-A307-0486777DE5C3}"/>
            </c:ext>
          </c:extLst>
        </c:ser>
        <c:ser>
          <c:idx val="63"/>
          <c:order val="63"/>
          <c:tx>
            <c:strRef>
              <c:f>'Emotional Distribution by Ctry'!$BM$3:$BM$4</c:f>
              <c:strCache>
                <c:ptCount val="1"/>
                <c:pt idx="0">
                  <c:v>Emotion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Ctry'!$BM$5:$BM$10</c:f>
              <c:numCache>
                <c:formatCode>General</c:formatCode>
                <c:ptCount val="5"/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F-F646-45E6-A307-0486777DE5C3}"/>
            </c:ext>
          </c:extLst>
        </c:ser>
        <c:ser>
          <c:idx val="64"/>
          <c:order val="64"/>
          <c:tx>
            <c:strRef>
              <c:f>'Emotional Distribution by Ctry'!$BN$3:$BN$4</c:f>
              <c:strCache>
                <c:ptCount val="1"/>
                <c:pt idx="0">
                  <c:v>EmotionalStorm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Ctry'!$BN$5:$BN$10</c:f>
              <c:numCache>
                <c:formatCode>General</c:formatCode>
                <c:ptCount val="5"/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0-F646-45E6-A307-0486777DE5C3}"/>
            </c:ext>
          </c:extLst>
        </c:ser>
        <c:ser>
          <c:idx val="65"/>
          <c:order val="65"/>
          <c:tx>
            <c:strRef>
              <c:f>'Emotional Distribution by Ctry'!$BO$3:$BO$4</c:f>
              <c:strCache>
                <c:ptCount val="1"/>
                <c:pt idx="0">
                  <c:v>Empathetic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Ctry'!$BO$5:$BO$10</c:f>
              <c:numCache>
                <c:formatCode>General</c:formatCode>
                <c:ptCount val="5"/>
                <c:pt idx="3">
                  <c:v>1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1-F646-45E6-A307-0486777DE5C3}"/>
            </c:ext>
          </c:extLst>
        </c:ser>
        <c:ser>
          <c:idx val="66"/>
          <c:order val="66"/>
          <c:tx>
            <c:strRef>
              <c:f>'Emotional Distribution by Ctry'!$BP$3:$BP$4</c:f>
              <c:strCache>
                <c:ptCount val="1"/>
                <c:pt idx="0">
                  <c:v>Empowerment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Ctry'!$BP$5:$BP$10</c:f>
              <c:numCache>
                <c:formatCode>General</c:formatCode>
                <c:ptCount val="5"/>
                <c:pt idx="2">
                  <c:v>1</c:v>
                </c:pt>
                <c:pt idx="3">
                  <c:v>2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2-F646-45E6-A307-0486777DE5C3}"/>
            </c:ext>
          </c:extLst>
        </c:ser>
        <c:ser>
          <c:idx val="67"/>
          <c:order val="67"/>
          <c:tx>
            <c:strRef>
              <c:f>'Emotional Distribution by Ctry'!$BQ$3:$BQ$4</c:f>
              <c:strCache>
                <c:ptCount val="1"/>
                <c:pt idx="0">
                  <c:v>Enchantment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Ctry'!$BQ$5:$BQ$10</c:f>
              <c:numCache>
                <c:formatCode>General</c:formatCode>
                <c:ptCount val="5"/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3-F646-45E6-A307-0486777DE5C3}"/>
            </c:ext>
          </c:extLst>
        </c:ser>
        <c:ser>
          <c:idx val="68"/>
          <c:order val="68"/>
          <c:tx>
            <c:strRef>
              <c:f>'Emotional Distribution by Ctry'!$BR$3:$BR$4</c:f>
              <c:strCache>
                <c:ptCount val="1"/>
                <c:pt idx="0">
                  <c:v>Energy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Ctry'!$BR$5:$BR$10</c:f>
              <c:numCache>
                <c:formatCode>General</c:formatCode>
                <c:ptCount val="5"/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4-F646-45E6-A307-0486777DE5C3}"/>
            </c:ext>
          </c:extLst>
        </c:ser>
        <c:ser>
          <c:idx val="69"/>
          <c:order val="69"/>
          <c:tx>
            <c:strRef>
              <c:f>'Emotional Distribution by Ctry'!$BS$3:$BS$4</c:f>
              <c:strCache>
                <c:ptCount val="1"/>
                <c:pt idx="0">
                  <c:v>Engagement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Ctry'!$BS$5:$BS$10</c:f>
              <c:numCache>
                <c:formatCode>General</c:formatCode>
                <c:ptCount val="5"/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5-F646-45E6-A307-0486777DE5C3}"/>
            </c:ext>
          </c:extLst>
        </c:ser>
        <c:ser>
          <c:idx val="70"/>
          <c:order val="70"/>
          <c:tx>
            <c:strRef>
              <c:f>'Emotional Distribution by Ctry'!$BT$3:$BT$4</c:f>
              <c:strCache>
                <c:ptCount val="1"/>
                <c:pt idx="0">
                  <c:v>Enjoyment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Ctry'!$BT$5:$BT$10</c:f>
              <c:numCache>
                <c:formatCode>General</c:formatCode>
                <c:ptCount val="5"/>
                <c:pt idx="1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6-F646-45E6-A307-0486777DE5C3}"/>
            </c:ext>
          </c:extLst>
        </c:ser>
        <c:ser>
          <c:idx val="71"/>
          <c:order val="71"/>
          <c:tx>
            <c:strRef>
              <c:f>'Emotional Distribution by Ctry'!$BU$3:$BU$4</c:f>
              <c:strCache>
                <c:ptCount val="1"/>
                <c:pt idx="0">
                  <c:v>Enthusiasm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Ctry'!$BU$5:$BU$10</c:f>
              <c:numCache>
                <c:formatCode>General</c:formatCode>
                <c:ptCount val="5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7-F646-45E6-A307-0486777DE5C3}"/>
            </c:ext>
          </c:extLst>
        </c:ser>
        <c:ser>
          <c:idx val="72"/>
          <c:order val="72"/>
          <c:tx>
            <c:strRef>
              <c:f>'Emotional Distribution by Ctry'!$BV$3:$BV$4</c:f>
              <c:strCache>
                <c:ptCount val="1"/>
                <c:pt idx="0">
                  <c:v>Envious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Ctry'!$BV$5:$BV$10</c:f>
              <c:numCache>
                <c:formatCode>General</c:formatCode>
                <c:ptCount val="5"/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8-F646-45E6-A307-0486777DE5C3}"/>
            </c:ext>
          </c:extLst>
        </c:ser>
        <c:ser>
          <c:idx val="73"/>
          <c:order val="73"/>
          <c:tx>
            <c:strRef>
              <c:f>'Emotional Distribution by Ctry'!$BW$3:$BW$4</c:f>
              <c:strCache>
                <c:ptCount val="1"/>
                <c:pt idx="0">
                  <c:v>Envisioning History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Ctry'!$BW$5:$BW$10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49-F646-45E6-A307-0486777DE5C3}"/>
            </c:ext>
          </c:extLst>
        </c:ser>
        <c:ser>
          <c:idx val="74"/>
          <c:order val="74"/>
          <c:tx>
            <c:strRef>
              <c:f>'Emotional Distribution by Ctry'!$BX$3:$BX$4</c:f>
              <c:strCache>
                <c:ptCount val="1"/>
                <c:pt idx="0">
                  <c:v>Envy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Ctry'!$BX$5:$BX$10</c:f>
              <c:numCache>
                <c:formatCode>General</c:formatCode>
                <c:ptCount val="5"/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A-F646-45E6-A307-0486777DE5C3}"/>
            </c:ext>
          </c:extLst>
        </c:ser>
        <c:ser>
          <c:idx val="75"/>
          <c:order val="75"/>
          <c:tx>
            <c:strRef>
              <c:f>'Emotional Distribution by Ctry'!$BY$3:$BY$4</c:f>
              <c:strCache>
                <c:ptCount val="1"/>
                <c:pt idx="0">
                  <c:v>Euphoria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Ctry'!$BY$5:$BY$10</c:f>
              <c:numCache>
                <c:formatCode>General</c:formatCode>
                <c:ptCount val="5"/>
                <c:pt idx="3">
                  <c:v>1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B-F646-45E6-A307-0486777DE5C3}"/>
            </c:ext>
          </c:extLst>
        </c:ser>
        <c:ser>
          <c:idx val="76"/>
          <c:order val="76"/>
          <c:tx>
            <c:strRef>
              <c:f>'Emotional Distribution by Ctry'!$BZ$3:$BZ$4</c:f>
              <c:strCache>
                <c:ptCount val="1"/>
                <c:pt idx="0">
                  <c:v>Excitement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Ctry'!$BZ$5:$BZ$10</c:f>
              <c:numCache>
                <c:formatCode>General</c:formatCode>
                <c:ptCount val="5"/>
                <c:pt idx="0">
                  <c:v>1</c:v>
                </c:pt>
                <c:pt idx="1">
                  <c:v>11</c:v>
                </c:pt>
                <c:pt idx="2">
                  <c:v>2</c:v>
                </c:pt>
                <c:pt idx="3">
                  <c:v>11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C-F646-45E6-A307-0486777DE5C3}"/>
            </c:ext>
          </c:extLst>
        </c:ser>
        <c:ser>
          <c:idx val="77"/>
          <c:order val="77"/>
          <c:tx>
            <c:strRef>
              <c:f>'Emotional Distribution by Ctry'!$CA$3:$CA$4</c:f>
              <c:strCache>
                <c:ptCount val="1"/>
                <c:pt idx="0">
                  <c:v>Exhaustion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Ctry'!$CA$5:$CA$10</c:f>
              <c:numCache>
                <c:formatCode>General</c:formatCode>
                <c:ptCount val="5"/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D-F646-45E6-A307-0486777DE5C3}"/>
            </c:ext>
          </c:extLst>
        </c:ser>
        <c:ser>
          <c:idx val="78"/>
          <c:order val="78"/>
          <c:tx>
            <c:strRef>
              <c:f>'Emotional Distribution by Ctry'!$CB$3:$CB$4</c:f>
              <c:strCache>
                <c:ptCount val="1"/>
                <c:pt idx="0">
                  <c:v>Exploration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Ctry'!$CB$5:$CB$10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4E-F646-45E6-A307-0486777DE5C3}"/>
            </c:ext>
          </c:extLst>
        </c:ser>
        <c:ser>
          <c:idx val="79"/>
          <c:order val="79"/>
          <c:tx>
            <c:strRef>
              <c:f>'Emotional Distribution by Ctry'!$CC$3:$CC$4</c:f>
              <c:strCache>
                <c:ptCount val="1"/>
                <c:pt idx="0">
                  <c:v>Fear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Ctry'!$CC$5:$CC$10</c:f>
              <c:numCache>
                <c:formatCode>General</c:formatCode>
                <c:ptCount val="5"/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F-F646-45E6-A307-0486777DE5C3}"/>
            </c:ext>
          </c:extLst>
        </c:ser>
        <c:ser>
          <c:idx val="80"/>
          <c:order val="80"/>
          <c:tx>
            <c:strRef>
              <c:f>'Emotional Distribution by Ctry'!$CD$3:$CD$4</c:f>
              <c:strCache>
                <c:ptCount val="1"/>
                <c:pt idx="0">
                  <c:v>Fearful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Ctry'!$CD$5:$CD$10</c:f>
              <c:numCache>
                <c:formatCode>General</c:formatCode>
                <c:ptCount val="5"/>
                <c:pt idx="2">
                  <c:v>2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0-F646-45E6-A307-0486777DE5C3}"/>
            </c:ext>
          </c:extLst>
        </c:ser>
        <c:ser>
          <c:idx val="81"/>
          <c:order val="81"/>
          <c:tx>
            <c:strRef>
              <c:f>'Emotional Distribution by Ctry'!$CE$3:$CE$4</c:f>
              <c:strCache>
                <c:ptCount val="1"/>
                <c:pt idx="0">
                  <c:v>FestiveJoy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Ctry'!$CE$5:$CE$10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51-F646-45E6-A307-0486777DE5C3}"/>
            </c:ext>
          </c:extLst>
        </c:ser>
        <c:ser>
          <c:idx val="82"/>
          <c:order val="82"/>
          <c:tx>
            <c:strRef>
              <c:f>'Emotional Distribution by Ctry'!$CF$3:$CF$4</c:f>
              <c:strCache>
                <c:ptCount val="1"/>
                <c:pt idx="0">
                  <c:v>Freedom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Ctry'!$CF$5:$CF$10</c:f>
              <c:numCache>
                <c:formatCode>General</c:formatCode>
                <c:ptCount val="5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2-F646-45E6-A307-0486777DE5C3}"/>
            </c:ext>
          </c:extLst>
        </c:ser>
        <c:ser>
          <c:idx val="83"/>
          <c:order val="83"/>
          <c:tx>
            <c:strRef>
              <c:f>'Emotional Distribution by Ctry'!$CG$3:$CG$4</c:f>
              <c:strCache>
                <c:ptCount val="1"/>
                <c:pt idx="0">
                  <c:v>Free-spirited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Ctry'!$CG$5:$CG$10</c:f>
              <c:numCache>
                <c:formatCode>General</c:formatCode>
                <c:ptCount val="5"/>
                <c:pt idx="2">
                  <c:v>1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3-F646-45E6-A307-0486777DE5C3}"/>
            </c:ext>
          </c:extLst>
        </c:ser>
        <c:ser>
          <c:idx val="84"/>
          <c:order val="84"/>
          <c:tx>
            <c:strRef>
              <c:f>'Emotional Distribution by Ctry'!$CH$3:$CH$4</c:f>
              <c:strCache>
                <c:ptCount val="1"/>
                <c:pt idx="0">
                  <c:v>Friendship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Ctry'!$CH$5:$CH$10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54-F646-45E6-A307-0486777DE5C3}"/>
            </c:ext>
          </c:extLst>
        </c:ser>
        <c:ser>
          <c:idx val="85"/>
          <c:order val="85"/>
          <c:tx>
            <c:strRef>
              <c:f>'Emotional Distribution by Ctry'!$CI$3:$CI$4</c:f>
              <c:strCache>
                <c:ptCount val="1"/>
                <c:pt idx="0">
                  <c:v>Frustrated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Ctry'!$CI$5:$CI$10</c:f>
              <c:numCache>
                <c:formatCode>General</c:formatCode>
                <c:ptCount val="5"/>
                <c:pt idx="1">
                  <c:v>2</c:v>
                </c:pt>
                <c:pt idx="2">
                  <c:v>2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5-F646-45E6-A307-0486777DE5C3}"/>
            </c:ext>
          </c:extLst>
        </c:ser>
        <c:ser>
          <c:idx val="86"/>
          <c:order val="86"/>
          <c:tx>
            <c:strRef>
              <c:f>'Emotional Distribution by Ctry'!$CJ$3:$CJ$4</c:f>
              <c:strCache>
                <c:ptCount val="1"/>
                <c:pt idx="0">
                  <c:v>Frustration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Ctry'!$CJ$5:$CJ$10</c:f>
              <c:numCache>
                <c:formatCode>General</c:formatCode>
                <c:ptCount val="5"/>
                <c:pt idx="3">
                  <c:v>2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6-F646-45E6-A307-0486777DE5C3}"/>
            </c:ext>
          </c:extLst>
        </c:ser>
        <c:ser>
          <c:idx val="87"/>
          <c:order val="87"/>
          <c:tx>
            <c:strRef>
              <c:f>'Emotional Distribution by Ctry'!$CK$3:$CK$4</c:f>
              <c:strCache>
                <c:ptCount val="1"/>
                <c:pt idx="0">
                  <c:v>Fulfillment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Ctry'!$CK$5:$CK$10</c:f>
              <c:numCache>
                <c:formatCode>General</c:formatCode>
                <c:ptCount val="5"/>
                <c:pt idx="1">
                  <c:v>1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7-F646-45E6-A307-0486777DE5C3}"/>
            </c:ext>
          </c:extLst>
        </c:ser>
        <c:ser>
          <c:idx val="88"/>
          <c:order val="88"/>
          <c:tx>
            <c:strRef>
              <c:f>'Emotional Distribution by Ctry'!$CL$3:$CL$4</c:f>
              <c:strCache>
                <c:ptCount val="1"/>
                <c:pt idx="0">
                  <c:v>Grandeur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Ctry'!$CL$5:$CL$10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58-F646-45E6-A307-0486777DE5C3}"/>
            </c:ext>
          </c:extLst>
        </c:ser>
        <c:ser>
          <c:idx val="89"/>
          <c:order val="89"/>
          <c:tx>
            <c:strRef>
              <c:f>'Emotional Distribution by Ctry'!$CM$3:$CM$4</c:f>
              <c:strCache>
                <c:ptCount val="1"/>
                <c:pt idx="0">
                  <c:v>Grateful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Ctry'!$CM$5:$CM$10</c:f>
              <c:numCache>
                <c:formatCode>General</c:formatCode>
                <c:ptCount val="5"/>
                <c:pt idx="0">
                  <c:v>3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9-F646-45E6-A307-0486777DE5C3}"/>
            </c:ext>
          </c:extLst>
        </c:ser>
        <c:ser>
          <c:idx val="90"/>
          <c:order val="90"/>
          <c:tx>
            <c:strRef>
              <c:f>'Emotional Distribution by Ctry'!$CN$3:$CN$4</c:f>
              <c:strCache>
                <c:ptCount val="1"/>
                <c:pt idx="0">
                  <c:v>Gratitude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Ctry'!$CN$5:$CN$10</c:f>
              <c:numCache>
                <c:formatCode>General</c:formatCode>
                <c:ptCount val="5"/>
                <c:pt idx="0">
                  <c:v>2</c:v>
                </c:pt>
                <c:pt idx="1">
                  <c:v>1</c:v>
                </c:pt>
                <c:pt idx="2">
                  <c:v>3</c:v>
                </c:pt>
                <c:pt idx="3">
                  <c:v>3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A-F646-45E6-A307-0486777DE5C3}"/>
            </c:ext>
          </c:extLst>
        </c:ser>
        <c:ser>
          <c:idx val="91"/>
          <c:order val="91"/>
          <c:tx>
            <c:strRef>
              <c:f>'Emotional Distribution by Ctry'!$CO$3:$CO$4</c:f>
              <c:strCache>
                <c:ptCount val="1"/>
                <c:pt idx="0">
                  <c:v>Grief</c:v>
                </c:pt>
              </c:strCache>
            </c:strRef>
          </c:tx>
          <c:spPr>
            <a:solidFill>
              <a:schemeClr val="accent2">
                <a:lumMod val="70000"/>
                <a:lumOff val="3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Ctry'!$CO$5:$CO$10</c:f>
              <c:numCache>
                <c:formatCode>General</c:formatCode>
                <c:ptCount val="5"/>
                <c:pt idx="1">
                  <c:v>3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B-F646-45E6-A307-0486777DE5C3}"/>
            </c:ext>
          </c:extLst>
        </c:ser>
        <c:ser>
          <c:idx val="92"/>
          <c:order val="92"/>
          <c:tx>
            <c:strRef>
              <c:f>'Emotional Distribution by Ctry'!$CP$3:$CP$4</c:f>
              <c:strCache>
                <c:ptCount val="1"/>
                <c:pt idx="0">
                  <c:v>Happiness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Ctry'!$CP$5:$CP$10</c:f>
              <c:numCache>
                <c:formatCode>General</c:formatCode>
                <c:ptCount val="5"/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C-F646-45E6-A307-0486777DE5C3}"/>
            </c:ext>
          </c:extLst>
        </c:ser>
        <c:ser>
          <c:idx val="93"/>
          <c:order val="93"/>
          <c:tx>
            <c:strRef>
              <c:f>'Emotional Distribution by Ctry'!$CQ$3:$CQ$4</c:f>
              <c:strCache>
                <c:ptCount val="1"/>
                <c:pt idx="0">
                  <c:v>Happy</c:v>
                </c:pt>
              </c:strCache>
            </c:strRef>
          </c:tx>
          <c:spPr>
            <a:solidFill>
              <a:schemeClr val="accent4">
                <a:lumMod val="70000"/>
                <a:lumOff val="3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Ctry'!$CQ$5:$CQ$10</c:f>
              <c:numCache>
                <c:formatCode>General</c:formatCode>
                <c:ptCount val="5"/>
                <c:pt idx="1">
                  <c:v>4</c:v>
                </c:pt>
                <c:pt idx="3">
                  <c:v>5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D-F646-45E6-A307-0486777DE5C3}"/>
            </c:ext>
          </c:extLst>
        </c:ser>
        <c:ser>
          <c:idx val="94"/>
          <c:order val="94"/>
          <c:tx>
            <c:strRef>
              <c:f>'Emotional Distribution by Ctry'!$CR$3:$CR$4</c:f>
              <c:strCache>
                <c:ptCount val="1"/>
                <c:pt idx="0">
                  <c:v>Harmony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Ctry'!$CR$5:$CR$10</c:f>
              <c:numCache>
                <c:formatCode>General</c:formatCode>
                <c:ptCount val="5"/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E-F646-45E6-A307-0486777DE5C3}"/>
            </c:ext>
          </c:extLst>
        </c:ser>
        <c:ser>
          <c:idx val="95"/>
          <c:order val="95"/>
          <c:tx>
            <c:strRef>
              <c:f>'Emotional Distribution by Ctry'!$CS$3:$CS$4</c:f>
              <c:strCache>
                <c:ptCount val="1"/>
                <c:pt idx="0">
                  <c:v>Hate</c:v>
                </c:pt>
              </c:strCache>
            </c:strRef>
          </c:tx>
          <c:spPr>
            <a:solidFill>
              <a:schemeClr val="accent6">
                <a:lumMod val="70000"/>
                <a:lumOff val="3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Ctry'!$CS$5:$CS$10</c:f>
              <c:numCache>
                <c:formatCode>General</c:formatCode>
                <c:ptCount val="5"/>
                <c:pt idx="1">
                  <c:v>2</c:v>
                </c:pt>
                <c:pt idx="3">
                  <c:v>2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F-F646-45E6-A307-0486777DE5C3}"/>
            </c:ext>
          </c:extLst>
        </c:ser>
        <c:ser>
          <c:idx val="96"/>
          <c:order val="96"/>
          <c:tx>
            <c:strRef>
              <c:f>'Emotional Distribution by Ctry'!$CT$3:$CT$4</c:f>
              <c:strCache>
                <c:ptCount val="1"/>
                <c:pt idx="0">
                  <c:v>Heartache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Ctry'!$CT$5:$CT$10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60-F646-45E6-A307-0486777DE5C3}"/>
            </c:ext>
          </c:extLst>
        </c:ser>
        <c:ser>
          <c:idx val="97"/>
          <c:order val="97"/>
          <c:tx>
            <c:strRef>
              <c:f>'Emotional Distribution by Ctry'!$CU$3:$CU$4</c:f>
              <c:strCache>
                <c:ptCount val="1"/>
                <c:pt idx="0">
                  <c:v>Heartbreak</c:v>
                </c:pt>
              </c:strCache>
            </c:strRef>
          </c:tx>
          <c:spPr>
            <a:solidFill>
              <a:schemeClr val="accent2">
                <a:lumMod val="7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Ctry'!$CU$5:$CU$10</c:f>
              <c:numCache>
                <c:formatCode>General</c:formatCode>
                <c:ptCount val="5"/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1-F646-45E6-A307-0486777DE5C3}"/>
            </c:ext>
          </c:extLst>
        </c:ser>
        <c:ser>
          <c:idx val="98"/>
          <c:order val="98"/>
          <c:tx>
            <c:strRef>
              <c:f>'Emotional Distribution by Ctry'!$CV$3:$CV$4</c:f>
              <c:strCache>
                <c:ptCount val="1"/>
                <c:pt idx="0">
                  <c:v>Heartwarming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Ctry'!$CV$5:$CV$10</c:f>
              <c:numCache>
                <c:formatCode>General</c:formatCode>
                <c:ptCount val="5"/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2-F646-45E6-A307-0486777DE5C3}"/>
            </c:ext>
          </c:extLst>
        </c:ser>
        <c:ser>
          <c:idx val="99"/>
          <c:order val="99"/>
          <c:tx>
            <c:strRef>
              <c:f>'Emotional Distribution by Ctry'!$CW$3:$CW$4</c:f>
              <c:strCache>
                <c:ptCount val="1"/>
                <c:pt idx="0">
                  <c:v>Helplessness</c:v>
                </c:pt>
              </c:strCache>
            </c:strRef>
          </c:tx>
          <c:spPr>
            <a:solidFill>
              <a:schemeClr val="accent4">
                <a:lumMod val="7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Ctry'!$CW$5:$CW$10</c:f>
              <c:numCache>
                <c:formatCode>General</c:formatCode>
                <c:ptCount val="5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3-F646-45E6-A307-0486777DE5C3}"/>
            </c:ext>
          </c:extLst>
        </c:ser>
        <c:ser>
          <c:idx val="100"/>
          <c:order val="100"/>
          <c:tx>
            <c:strRef>
              <c:f>'Emotional Distribution by Ctry'!$CX$3:$CX$4</c:f>
              <c:strCache>
                <c:ptCount val="1"/>
                <c:pt idx="0">
                  <c:v>Hope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Ctry'!$CX$5:$CX$10</c:f>
              <c:numCache>
                <c:formatCode>General</c:formatCode>
                <c:ptCount val="5"/>
                <c:pt idx="1">
                  <c:v>2</c:v>
                </c:pt>
                <c:pt idx="3">
                  <c:v>2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4-F646-45E6-A307-0486777DE5C3}"/>
            </c:ext>
          </c:extLst>
        </c:ser>
        <c:ser>
          <c:idx val="101"/>
          <c:order val="101"/>
          <c:tx>
            <c:strRef>
              <c:f>'Emotional Distribution by Ctry'!$CY$3:$CY$4</c:f>
              <c:strCache>
                <c:ptCount val="1"/>
                <c:pt idx="0">
                  <c:v>Hopeful</c:v>
                </c:pt>
              </c:strCache>
            </c:strRef>
          </c:tx>
          <c:spPr>
            <a:solidFill>
              <a:schemeClr val="accent6">
                <a:lumMod val="7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Ctry'!$CY$5:$CY$10</c:f>
              <c:numCache>
                <c:formatCode>General</c:formatCode>
                <c:ptCount val="5"/>
                <c:pt idx="0">
                  <c:v>2</c:v>
                </c:pt>
                <c:pt idx="2">
                  <c:v>4</c:v>
                </c:pt>
                <c:pt idx="3">
                  <c:v>2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5-F646-45E6-A307-0486777DE5C3}"/>
            </c:ext>
          </c:extLst>
        </c:ser>
        <c:ser>
          <c:idx val="102"/>
          <c:order val="102"/>
          <c:tx>
            <c:strRef>
              <c:f>'Emotional Distribution by Ctry'!$CZ$3:$CZ$4</c:f>
              <c:strCache>
                <c:ptCount val="1"/>
                <c:pt idx="0">
                  <c:v>Hypnotic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Ctry'!$CZ$5:$CZ$10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66-F646-45E6-A307-0486777DE5C3}"/>
            </c:ext>
          </c:extLst>
        </c:ser>
        <c:ser>
          <c:idx val="103"/>
          <c:order val="103"/>
          <c:tx>
            <c:strRef>
              <c:f>'Emotional Distribution by Ctry'!$DA$3:$DA$4</c:f>
              <c:strCache>
                <c:ptCount val="1"/>
                <c:pt idx="0">
                  <c:v>Iconic</c:v>
                </c:pt>
              </c:strCache>
            </c:strRef>
          </c:tx>
          <c:spPr>
            <a:solidFill>
              <a:schemeClr val="accent2">
                <a:lumMod val="50000"/>
                <a:lumOff val="5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Ctry'!$DA$5:$DA$10</c:f>
              <c:numCache>
                <c:formatCode>General</c:formatCode>
                <c:ptCount val="5"/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7-F646-45E6-A307-0486777DE5C3}"/>
            </c:ext>
          </c:extLst>
        </c:ser>
        <c:ser>
          <c:idx val="104"/>
          <c:order val="104"/>
          <c:tx>
            <c:strRef>
              <c:f>'Emotional Distribution by Ctry'!$DB$3:$DB$4</c:f>
              <c:strCache>
                <c:ptCount val="1"/>
                <c:pt idx="0">
                  <c:v>Imagination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Ctry'!$DB$5:$DB$10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68-F646-45E6-A307-0486777DE5C3}"/>
            </c:ext>
          </c:extLst>
        </c:ser>
        <c:ser>
          <c:idx val="105"/>
          <c:order val="105"/>
          <c:tx>
            <c:strRef>
              <c:f>'Emotional Distribution by Ctry'!$DC$3:$DC$4</c:f>
              <c:strCache>
                <c:ptCount val="1"/>
                <c:pt idx="0">
                  <c:v>Immersion</c:v>
                </c:pt>
              </c:strCache>
            </c:strRef>
          </c:tx>
          <c:spPr>
            <a:solidFill>
              <a:schemeClr val="accent4">
                <a:lumMod val="50000"/>
                <a:lumOff val="5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Ctry'!$DC$5:$DC$10</c:f>
              <c:numCache>
                <c:formatCode>General</c:formatCode>
                <c:ptCount val="5"/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9-F646-45E6-A307-0486777DE5C3}"/>
            </c:ext>
          </c:extLst>
        </c:ser>
        <c:ser>
          <c:idx val="106"/>
          <c:order val="106"/>
          <c:tx>
            <c:strRef>
              <c:f>'Emotional Distribution by Ctry'!$DD$3:$DD$4</c:f>
              <c:strCache>
                <c:ptCount val="1"/>
                <c:pt idx="0">
                  <c:v>Indifference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Ctry'!$DD$5:$DD$10</c:f>
              <c:numCache>
                <c:formatCode>General</c:formatCode>
                <c:ptCount val="5"/>
                <c:pt idx="1">
                  <c:v>2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A-F646-45E6-A307-0486777DE5C3}"/>
            </c:ext>
          </c:extLst>
        </c:ser>
        <c:ser>
          <c:idx val="107"/>
          <c:order val="107"/>
          <c:tx>
            <c:strRef>
              <c:f>'Emotional Distribution by Ctry'!$DE$3:$DE$4</c:f>
              <c:strCache>
                <c:ptCount val="1"/>
                <c:pt idx="0">
                  <c:v>InnerJourney</c:v>
                </c:pt>
              </c:strCache>
            </c:strRef>
          </c:tx>
          <c:spPr>
            <a:solidFill>
              <a:schemeClr val="accent6">
                <a:lumMod val="50000"/>
                <a:lumOff val="5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Ctry'!$DE$5:$DE$10</c:f>
              <c:numCache>
                <c:formatCode>General</c:formatCode>
                <c:ptCount val="5"/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B-F646-45E6-A307-0486777DE5C3}"/>
            </c:ext>
          </c:extLst>
        </c:ser>
        <c:ser>
          <c:idx val="108"/>
          <c:order val="108"/>
          <c:tx>
            <c:strRef>
              <c:f>'Emotional Distribution by Ctry'!$DF$3:$DF$4</c:f>
              <c:strCache>
                <c:ptCount val="1"/>
                <c:pt idx="0">
                  <c:v>Inspiration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Ctry'!$DF$5:$DF$10</c:f>
              <c:numCache>
                <c:formatCode>General</c:formatCode>
                <c:ptCount val="5"/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C-F646-45E6-A307-0486777DE5C3}"/>
            </c:ext>
          </c:extLst>
        </c:ser>
        <c:ser>
          <c:idx val="109"/>
          <c:order val="109"/>
          <c:tx>
            <c:strRef>
              <c:f>'Emotional Distribution by Ctry'!$DG$3:$DG$4</c:f>
              <c:strCache>
                <c:ptCount val="1"/>
                <c:pt idx="0">
                  <c:v>Inspired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Ctry'!$DG$5:$DG$10</c:f>
              <c:numCache>
                <c:formatCode>General</c:formatCode>
                <c:ptCount val="5"/>
                <c:pt idx="2">
                  <c:v>2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D-F646-45E6-A307-0486777DE5C3}"/>
            </c:ext>
          </c:extLst>
        </c:ser>
        <c:ser>
          <c:idx val="110"/>
          <c:order val="110"/>
          <c:tx>
            <c:strRef>
              <c:f>'Emotional Distribution by Ctry'!$DH$3:$DH$4</c:f>
              <c:strCache>
                <c:ptCount val="1"/>
                <c:pt idx="0">
                  <c:v>Intimidation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Ctry'!$DH$5:$DH$10</c:f>
              <c:numCache>
                <c:formatCode>General</c:formatCode>
                <c:ptCount val="5"/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E-F646-45E6-A307-0486777DE5C3}"/>
            </c:ext>
          </c:extLst>
        </c:ser>
        <c:ser>
          <c:idx val="111"/>
          <c:order val="111"/>
          <c:tx>
            <c:strRef>
              <c:f>'Emotional Distribution by Ctry'!$DI$3:$DI$4</c:f>
              <c:strCache>
                <c:ptCount val="1"/>
                <c:pt idx="0">
                  <c:v>Intrigue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Ctry'!$DI$5:$DI$10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6F-F646-45E6-A307-0486777DE5C3}"/>
            </c:ext>
          </c:extLst>
        </c:ser>
        <c:ser>
          <c:idx val="112"/>
          <c:order val="112"/>
          <c:tx>
            <c:strRef>
              <c:f>'Emotional Distribution by Ctry'!$DJ$3:$DJ$4</c:f>
              <c:strCache>
                <c:ptCount val="1"/>
                <c:pt idx="0">
                  <c:v>Isolation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Ctry'!$DJ$5:$DJ$10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70-F646-45E6-A307-0486777DE5C3}"/>
            </c:ext>
          </c:extLst>
        </c:ser>
        <c:ser>
          <c:idx val="113"/>
          <c:order val="113"/>
          <c:tx>
            <c:strRef>
              <c:f>'Emotional Distribution by Ctry'!$DK$3:$DK$4</c:f>
              <c:strCache>
                <c:ptCount val="1"/>
                <c:pt idx="0">
                  <c:v>Jealous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Ctry'!$DK$5:$DK$10</c:f>
              <c:numCache>
                <c:formatCode>General</c:formatCode>
                <c:ptCount val="5"/>
                <c:pt idx="0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1-F646-45E6-A307-0486777DE5C3}"/>
            </c:ext>
          </c:extLst>
        </c:ser>
        <c:ser>
          <c:idx val="114"/>
          <c:order val="114"/>
          <c:tx>
            <c:strRef>
              <c:f>'Emotional Distribution by Ctry'!$DL$3:$DL$4</c:f>
              <c:strCache>
                <c:ptCount val="1"/>
                <c:pt idx="0">
                  <c:v>Jealousy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Ctry'!$DL$5:$DL$10</c:f>
              <c:numCache>
                <c:formatCode>General</c:formatCode>
                <c:ptCount val="5"/>
                <c:pt idx="2">
                  <c:v>2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2-F646-45E6-A307-0486777DE5C3}"/>
            </c:ext>
          </c:extLst>
        </c:ser>
        <c:ser>
          <c:idx val="115"/>
          <c:order val="115"/>
          <c:tx>
            <c:strRef>
              <c:f>'Emotional Distribution by Ctry'!$DM$3:$DM$4</c:f>
              <c:strCache>
                <c:ptCount val="1"/>
                <c:pt idx="0">
                  <c:v>Journey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Ctry'!$DM$5:$DM$10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73-F646-45E6-A307-0486777DE5C3}"/>
            </c:ext>
          </c:extLst>
        </c:ser>
        <c:ser>
          <c:idx val="116"/>
          <c:order val="116"/>
          <c:tx>
            <c:strRef>
              <c:f>'Emotional Distribution by Ctry'!$DN$3:$DN$4</c:f>
              <c:strCache>
                <c:ptCount val="1"/>
                <c:pt idx="0">
                  <c:v>Joy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Ctry'!$DN$5:$DN$10</c:f>
              <c:numCache>
                <c:formatCode>General</c:formatCode>
                <c:ptCount val="5"/>
                <c:pt idx="1">
                  <c:v>15</c:v>
                </c:pt>
                <c:pt idx="3">
                  <c:v>9</c:v>
                </c:pt>
                <c:pt idx="4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4-F646-45E6-A307-0486777DE5C3}"/>
            </c:ext>
          </c:extLst>
        </c:ser>
        <c:ser>
          <c:idx val="117"/>
          <c:order val="117"/>
          <c:tx>
            <c:strRef>
              <c:f>'Emotional Distribution by Ctry'!$DO$3:$DO$4</c:f>
              <c:strCache>
                <c:ptCount val="1"/>
                <c:pt idx="0">
                  <c:v>Joy in Baking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Ctry'!$DO$5:$DO$10</c:f>
              <c:numCache>
                <c:formatCode>General</c:formatCode>
                <c:ptCount val="5"/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5-F646-45E6-A307-0486777DE5C3}"/>
            </c:ext>
          </c:extLst>
        </c:ser>
        <c:ser>
          <c:idx val="118"/>
          <c:order val="118"/>
          <c:tx>
            <c:strRef>
              <c:f>'Emotional Distribution by Ctry'!$DP$3:$DP$4</c:f>
              <c:strCache>
                <c:ptCount val="1"/>
                <c:pt idx="0">
                  <c:v>JoyfulReunion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Ctry'!$DP$5:$DP$10</c:f>
              <c:numCache>
                <c:formatCode>General</c:formatCode>
                <c:ptCount val="5"/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6-F646-45E6-A307-0486777DE5C3}"/>
            </c:ext>
          </c:extLst>
        </c:ser>
        <c:ser>
          <c:idx val="119"/>
          <c:order val="119"/>
          <c:tx>
            <c:strRef>
              <c:f>'Emotional Distribution by Ctry'!$DQ$3:$DQ$4</c:f>
              <c:strCache>
                <c:ptCount val="1"/>
                <c:pt idx="0">
                  <c:v>Kind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Ctry'!$DQ$5:$DQ$10</c:f>
              <c:numCache>
                <c:formatCode>General</c:formatCode>
                <c:ptCount val="5"/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7-F646-45E6-A307-0486777DE5C3}"/>
            </c:ext>
          </c:extLst>
        </c:ser>
        <c:ser>
          <c:idx val="120"/>
          <c:order val="120"/>
          <c:tx>
            <c:strRef>
              <c:f>'Emotional Distribution by Ctry'!$DR$3:$DR$4</c:f>
              <c:strCache>
                <c:ptCount val="1"/>
                <c:pt idx="0">
                  <c:v>Kindness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Ctry'!$DR$5:$DR$10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78-F646-45E6-A307-0486777DE5C3}"/>
            </c:ext>
          </c:extLst>
        </c:ser>
        <c:ser>
          <c:idx val="121"/>
          <c:order val="121"/>
          <c:tx>
            <c:strRef>
              <c:f>'Emotional Distribution by Ctry'!$DS$3:$DS$4</c:f>
              <c:strCache>
                <c:ptCount val="1"/>
                <c:pt idx="0">
                  <c:v>Loneliness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Ctry'!$DS$5:$DS$10</c:f>
              <c:numCache>
                <c:formatCode>General</c:formatCode>
                <c:ptCount val="5"/>
                <c:pt idx="0">
                  <c:v>3</c:v>
                </c:pt>
                <c:pt idx="1">
                  <c:v>1</c:v>
                </c:pt>
                <c:pt idx="3">
                  <c:v>3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9-F646-45E6-A307-0486777DE5C3}"/>
            </c:ext>
          </c:extLst>
        </c:ser>
        <c:ser>
          <c:idx val="122"/>
          <c:order val="122"/>
          <c:tx>
            <c:strRef>
              <c:f>'Emotional Distribution by Ctry'!$DT$3:$DT$4</c:f>
              <c:strCache>
                <c:ptCount val="1"/>
                <c:pt idx="0">
                  <c:v>Loss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Ctry'!$DT$5:$DT$10</c:f>
              <c:numCache>
                <c:formatCode>General</c:formatCode>
                <c:ptCount val="5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A-F646-45E6-A307-0486777DE5C3}"/>
            </c:ext>
          </c:extLst>
        </c:ser>
        <c:ser>
          <c:idx val="123"/>
          <c:order val="123"/>
          <c:tx>
            <c:strRef>
              <c:f>'Emotional Distribution by Ctry'!$DU$3:$DU$4</c:f>
              <c:strCache>
                <c:ptCount val="1"/>
                <c:pt idx="0">
                  <c:v>LostLove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Ctry'!$DU$5:$DU$10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7B-F646-45E6-A307-0486777DE5C3}"/>
            </c:ext>
          </c:extLst>
        </c:ser>
        <c:ser>
          <c:idx val="124"/>
          <c:order val="124"/>
          <c:tx>
            <c:strRef>
              <c:f>'Emotional Distribution by Ctry'!$DV$3:$DV$4</c:f>
              <c:strCache>
                <c:ptCount val="1"/>
                <c:pt idx="0">
                  <c:v>Love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Ctry'!$DV$5:$DV$10</c:f>
              <c:numCache>
                <c:formatCode>General</c:formatCode>
                <c:ptCount val="5"/>
                <c:pt idx="0">
                  <c:v>2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C-F646-45E6-A307-0486777DE5C3}"/>
            </c:ext>
          </c:extLst>
        </c:ser>
        <c:ser>
          <c:idx val="125"/>
          <c:order val="125"/>
          <c:tx>
            <c:strRef>
              <c:f>'Emotional Distribution by Ctry'!$DW$3:$DW$4</c:f>
              <c:strCache>
                <c:ptCount val="1"/>
                <c:pt idx="0">
                  <c:v>Marvel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Ctry'!$DW$5:$DW$10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7D-F646-45E6-A307-0486777DE5C3}"/>
            </c:ext>
          </c:extLst>
        </c:ser>
        <c:ser>
          <c:idx val="126"/>
          <c:order val="126"/>
          <c:tx>
            <c:strRef>
              <c:f>'Emotional Distribution by Ctry'!$DX$3:$DX$4</c:f>
              <c:strCache>
                <c:ptCount val="1"/>
                <c:pt idx="0">
                  <c:v>Melancholy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Ctry'!$DX$5:$DX$10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E-F646-45E6-A307-0486777DE5C3}"/>
            </c:ext>
          </c:extLst>
        </c:ser>
        <c:ser>
          <c:idx val="127"/>
          <c:order val="127"/>
          <c:tx>
            <c:strRef>
              <c:f>'Emotional Distribution by Ctry'!$DY$3:$DY$4</c:f>
              <c:strCache>
                <c:ptCount val="1"/>
                <c:pt idx="0">
                  <c:v>Melodic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Ctry'!$DY$5:$DY$10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7F-F646-45E6-A307-0486777DE5C3}"/>
            </c:ext>
          </c:extLst>
        </c:ser>
        <c:ser>
          <c:idx val="128"/>
          <c:order val="128"/>
          <c:tx>
            <c:strRef>
              <c:f>'Emotional Distribution by Ctry'!$DZ$3:$DZ$4</c:f>
              <c:strCache>
                <c:ptCount val="1"/>
                <c:pt idx="0">
                  <c:v>Mesmerizing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Ctry'!$DZ$5:$DZ$10</c:f>
              <c:numCache>
                <c:formatCode>General</c:formatCode>
                <c:ptCount val="5"/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0-F646-45E6-A307-0486777DE5C3}"/>
            </c:ext>
          </c:extLst>
        </c:ser>
        <c:ser>
          <c:idx val="129"/>
          <c:order val="129"/>
          <c:tx>
            <c:strRef>
              <c:f>'Emotional Distribution by Ctry'!$EA$3:$EA$4</c:f>
              <c:strCache>
                <c:ptCount val="1"/>
                <c:pt idx="0">
                  <c:v>Mindfulness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Ctry'!$EA$5:$EA$10</c:f>
              <c:numCache>
                <c:formatCode>General</c:formatCode>
                <c:ptCount val="5"/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1-F646-45E6-A307-0486777DE5C3}"/>
            </c:ext>
          </c:extLst>
        </c:ser>
        <c:ser>
          <c:idx val="130"/>
          <c:order val="130"/>
          <c:tx>
            <c:strRef>
              <c:f>'Emotional Distribution by Ctry'!$EB$3:$EB$4</c:f>
              <c:strCache>
                <c:ptCount val="1"/>
                <c:pt idx="0">
                  <c:v>Miscalculation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Ctry'!$EB$5:$EB$10</c:f>
              <c:numCache>
                <c:formatCode>General</c:formatCode>
                <c:ptCount val="5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2-F646-45E6-A307-0486777DE5C3}"/>
            </c:ext>
          </c:extLst>
        </c:ser>
        <c:ser>
          <c:idx val="131"/>
          <c:order val="131"/>
          <c:tx>
            <c:strRef>
              <c:f>'Emotional Distribution by Ctry'!$EC$3:$EC$4</c:f>
              <c:strCache>
                <c:ptCount val="1"/>
                <c:pt idx="0">
                  <c:v>Mischievous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Ctry'!$EC$5:$EC$10</c:f>
              <c:numCache>
                <c:formatCode>General</c:formatCode>
                <c:ptCount val="5"/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3-F646-45E6-A307-0486777DE5C3}"/>
            </c:ext>
          </c:extLst>
        </c:ser>
        <c:ser>
          <c:idx val="132"/>
          <c:order val="132"/>
          <c:tx>
            <c:strRef>
              <c:f>'Emotional Distribution by Ctry'!$ED$3:$ED$4</c:f>
              <c:strCache>
                <c:ptCount val="1"/>
                <c:pt idx="0">
                  <c:v>Motivation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Ctry'!$ED$5:$ED$10</c:f>
              <c:numCache>
                <c:formatCode>General</c:formatCode>
                <c:ptCount val="5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4-F646-45E6-A307-0486777DE5C3}"/>
            </c:ext>
          </c:extLst>
        </c:ser>
        <c:ser>
          <c:idx val="133"/>
          <c:order val="133"/>
          <c:tx>
            <c:strRef>
              <c:f>'Emotional Distribution by Ctry'!$EE$3:$EE$4</c:f>
              <c:strCache>
                <c:ptCount val="1"/>
                <c:pt idx="0">
                  <c:v>Nature's Beauty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Ctry'!$EE$5:$EE$10</c:f>
              <c:numCache>
                <c:formatCode>General</c:formatCode>
                <c:ptCount val="5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5-F646-45E6-A307-0486777DE5C3}"/>
            </c:ext>
          </c:extLst>
        </c:ser>
        <c:ser>
          <c:idx val="134"/>
          <c:order val="134"/>
          <c:tx>
            <c:strRef>
              <c:f>'Emotional Distribution by Ctry'!$EF$3:$EF$4</c:f>
              <c:strCache>
                <c:ptCount val="1"/>
                <c:pt idx="0">
                  <c:v>Negative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Ctry'!$EF$5:$EF$10</c:f>
              <c:numCache>
                <c:formatCode>General</c:formatCode>
                <c:ptCount val="5"/>
                <c:pt idx="1">
                  <c:v>2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6-F646-45E6-A307-0486777DE5C3}"/>
            </c:ext>
          </c:extLst>
        </c:ser>
        <c:ser>
          <c:idx val="135"/>
          <c:order val="135"/>
          <c:tx>
            <c:strRef>
              <c:f>'Emotional Distribution by Ctry'!$EG$3:$EG$4</c:f>
              <c:strCache>
                <c:ptCount val="1"/>
                <c:pt idx="0">
                  <c:v>Neutral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Ctry'!$EG$5:$EG$10</c:f>
              <c:numCache>
                <c:formatCode>General</c:formatCode>
                <c:ptCount val="5"/>
                <c:pt idx="0">
                  <c:v>2</c:v>
                </c:pt>
                <c:pt idx="1">
                  <c:v>5</c:v>
                </c:pt>
                <c:pt idx="2">
                  <c:v>1</c:v>
                </c:pt>
                <c:pt idx="3">
                  <c:v>4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7-F646-45E6-A307-0486777DE5C3}"/>
            </c:ext>
          </c:extLst>
        </c:ser>
        <c:ser>
          <c:idx val="136"/>
          <c:order val="136"/>
          <c:tx>
            <c:strRef>
              <c:f>'Emotional Distribution by Ctry'!$EH$3:$EH$4</c:f>
              <c:strCache>
                <c:ptCount val="1"/>
                <c:pt idx="0">
                  <c:v>Nostalgia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Ctry'!$EH$5:$EH$10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8-F646-45E6-A307-0486777DE5C3}"/>
            </c:ext>
          </c:extLst>
        </c:ser>
        <c:ser>
          <c:idx val="137"/>
          <c:order val="137"/>
          <c:tx>
            <c:strRef>
              <c:f>'Emotional Distribution by Ctry'!$EI$3:$EI$4</c:f>
              <c:strCache>
                <c:ptCount val="1"/>
                <c:pt idx="0">
                  <c:v>Numbness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Ctry'!$EI$5:$EI$10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9-F646-45E6-A307-0486777DE5C3}"/>
            </c:ext>
          </c:extLst>
        </c:ser>
        <c:ser>
          <c:idx val="138"/>
          <c:order val="138"/>
          <c:tx>
            <c:strRef>
              <c:f>'Emotional Distribution by Ctry'!$EJ$3:$EJ$4</c:f>
              <c:strCache>
                <c:ptCount val="1"/>
                <c:pt idx="0">
                  <c:v>Obstacle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Ctry'!$EJ$5:$EJ$10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8A-F646-45E6-A307-0486777DE5C3}"/>
            </c:ext>
          </c:extLst>
        </c:ser>
        <c:ser>
          <c:idx val="139"/>
          <c:order val="139"/>
          <c:tx>
            <c:strRef>
              <c:f>'Emotional Distribution by Ctry'!$EK$3:$EK$4</c:f>
              <c:strCache>
                <c:ptCount val="1"/>
                <c:pt idx="0">
                  <c:v>Ocean's Freedom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Ctry'!$EK$5:$EK$10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8B-F646-45E6-A307-0486777DE5C3}"/>
            </c:ext>
          </c:extLst>
        </c:ser>
        <c:ser>
          <c:idx val="140"/>
          <c:order val="140"/>
          <c:tx>
            <c:strRef>
              <c:f>'Emotional Distribution by Ctry'!$EL$3:$EL$4</c:f>
              <c:strCache>
                <c:ptCount val="1"/>
                <c:pt idx="0">
                  <c:v>Optimism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Ctry'!$EL$5:$EL$10</c:f>
              <c:numCache>
                <c:formatCode>General</c:formatCode>
                <c:ptCount val="5"/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C-F646-45E6-A307-0486777DE5C3}"/>
            </c:ext>
          </c:extLst>
        </c:ser>
        <c:ser>
          <c:idx val="141"/>
          <c:order val="141"/>
          <c:tx>
            <c:strRef>
              <c:f>'Emotional Distribution by Ctry'!$EM$3:$EM$4</c:f>
              <c:strCache>
                <c:ptCount val="1"/>
                <c:pt idx="0">
                  <c:v>Overjoyed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Ctry'!$EM$5:$EM$10</c:f>
              <c:numCache>
                <c:formatCode>General</c:formatCode>
                <c:ptCount val="5"/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D-F646-45E6-A307-0486777DE5C3}"/>
            </c:ext>
          </c:extLst>
        </c:ser>
        <c:ser>
          <c:idx val="142"/>
          <c:order val="142"/>
          <c:tx>
            <c:strRef>
              <c:f>'Emotional Distribution by Ctry'!$EN$3:$EN$4</c:f>
              <c:strCache>
                <c:ptCount val="1"/>
                <c:pt idx="0">
                  <c:v>Overwhelmed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Ctry'!$EN$5:$EN$10</c:f>
              <c:numCache>
                <c:formatCode>General</c:formatCode>
                <c:ptCount val="5"/>
                <c:pt idx="1">
                  <c:v>1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E-F646-45E6-A307-0486777DE5C3}"/>
            </c:ext>
          </c:extLst>
        </c:ser>
        <c:ser>
          <c:idx val="143"/>
          <c:order val="143"/>
          <c:tx>
            <c:strRef>
              <c:f>'Emotional Distribution by Ctry'!$EO$3:$EO$4</c:f>
              <c:strCache>
                <c:ptCount val="1"/>
                <c:pt idx="0">
                  <c:v>Pensive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Ctry'!$EO$5:$EO$10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8F-F646-45E6-A307-0486777DE5C3}"/>
            </c:ext>
          </c:extLst>
        </c:ser>
        <c:ser>
          <c:idx val="144"/>
          <c:order val="144"/>
          <c:tx>
            <c:strRef>
              <c:f>'Emotional Distribution by Ctry'!$EP$3:$EP$4</c:f>
              <c:strCache>
                <c:ptCount val="1"/>
                <c:pt idx="0">
                  <c:v>Playful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Ctry'!$EP$5:$EP$10</c:f>
              <c:numCache>
                <c:formatCode>General</c:formatCode>
                <c:ptCount val="5"/>
                <c:pt idx="0">
                  <c:v>3</c:v>
                </c:pt>
                <c:pt idx="1">
                  <c:v>1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0-F646-45E6-A307-0486777DE5C3}"/>
            </c:ext>
          </c:extLst>
        </c:ser>
        <c:ser>
          <c:idx val="145"/>
          <c:order val="145"/>
          <c:tx>
            <c:strRef>
              <c:f>'Emotional Distribution by Ctry'!$EQ$3:$EQ$4</c:f>
              <c:strCache>
                <c:ptCount val="1"/>
                <c:pt idx="0">
                  <c:v>PlayfulJoy</c:v>
                </c:pt>
              </c:strCache>
            </c:strRef>
          </c:tx>
          <c:spPr>
            <a:solidFill>
              <a:schemeClr val="accent2">
                <a:lumMod val="70000"/>
                <a:lumOff val="3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Ctry'!$EQ$5:$EQ$10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91-F646-45E6-A307-0486777DE5C3}"/>
            </c:ext>
          </c:extLst>
        </c:ser>
        <c:ser>
          <c:idx val="146"/>
          <c:order val="146"/>
          <c:tx>
            <c:strRef>
              <c:f>'Emotional Distribution by Ctry'!$ER$3:$ER$4</c:f>
              <c:strCache>
                <c:ptCount val="1"/>
                <c:pt idx="0">
                  <c:v>Positive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Ctry'!$ER$5:$ER$10</c:f>
              <c:numCache>
                <c:formatCode>General</c:formatCode>
                <c:ptCount val="5"/>
                <c:pt idx="0">
                  <c:v>2</c:v>
                </c:pt>
                <c:pt idx="1">
                  <c:v>8</c:v>
                </c:pt>
                <c:pt idx="2">
                  <c:v>7</c:v>
                </c:pt>
                <c:pt idx="3">
                  <c:v>10</c:v>
                </c:pt>
                <c:pt idx="4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2-F646-45E6-A307-0486777DE5C3}"/>
            </c:ext>
          </c:extLst>
        </c:ser>
        <c:ser>
          <c:idx val="147"/>
          <c:order val="147"/>
          <c:tx>
            <c:strRef>
              <c:f>'Emotional Distribution by Ctry'!$ES$3:$ES$4</c:f>
              <c:strCache>
                <c:ptCount val="1"/>
                <c:pt idx="0">
                  <c:v>Positivity</c:v>
                </c:pt>
              </c:strCache>
            </c:strRef>
          </c:tx>
          <c:spPr>
            <a:solidFill>
              <a:schemeClr val="accent4">
                <a:lumMod val="70000"/>
                <a:lumOff val="3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Ctry'!$ES$5:$ES$10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93-F646-45E6-A307-0486777DE5C3}"/>
            </c:ext>
          </c:extLst>
        </c:ser>
        <c:ser>
          <c:idx val="148"/>
          <c:order val="148"/>
          <c:tx>
            <c:strRef>
              <c:f>'Emotional Distribution by Ctry'!$ET$3:$ET$4</c:f>
              <c:strCache>
                <c:ptCount val="1"/>
                <c:pt idx="0">
                  <c:v>Pressure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Ctry'!$ET$5:$ET$10</c:f>
              <c:numCache>
                <c:formatCode>General</c:formatCode>
                <c:ptCount val="5"/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4-F646-45E6-A307-0486777DE5C3}"/>
            </c:ext>
          </c:extLst>
        </c:ser>
        <c:ser>
          <c:idx val="149"/>
          <c:order val="149"/>
          <c:tx>
            <c:strRef>
              <c:f>'Emotional Distribution by Ctry'!$EU$3:$EU$4</c:f>
              <c:strCache>
                <c:ptCount val="1"/>
                <c:pt idx="0">
                  <c:v>Pride</c:v>
                </c:pt>
              </c:strCache>
            </c:strRef>
          </c:tx>
          <c:spPr>
            <a:solidFill>
              <a:schemeClr val="accent6">
                <a:lumMod val="70000"/>
                <a:lumOff val="3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Ctry'!$EU$5:$EU$10</c:f>
              <c:numCache>
                <c:formatCode>General</c:formatCode>
                <c:ptCount val="5"/>
                <c:pt idx="0">
                  <c:v>2</c:v>
                </c:pt>
                <c:pt idx="1">
                  <c:v>1</c:v>
                </c:pt>
                <c:pt idx="3">
                  <c:v>2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5-F646-45E6-A307-0486777DE5C3}"/>
            </c:ext>
          </c:extLst>
        </c:ser>
        <c:ser>
          <c:idx val="150"/>
          <c:order val="150"/>
          <c:tx>
            <c:strRef>
              <c:f>'Emotional Distribution by Ctry'!$EV$3:$EV$4</c:f>
              <c:strCache>
                <c:ptCount val="1"/>
                <c:pt idx="0">
                  <c:v>Proud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Ctry'!$EV$5:$EV$10</c:f>
              <c:numCache>
                <c:formatCode>General</c:formatCode>
                <c:ptCount val="5"/>
                <c:pt idx="1">
                  <c:v>1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6-F646-45E6-A307-0486777DE5C3}"/>
            </c:ext>
          </c:extLst>
        </c:ser>
        <c:ser>
          <c:idx val="151"/>
          <c:order val="151"/>
          <c:tx>
            <c:strRef>
              <c:f>'Emotional Distribution by Ctry'!$EW$3:$EW$4</c:f>
              <c:strCache>
                <c:ptCount val="1"/>
                <c:pt idx="0">
                  <c:v>Radiance</c:v>
                </c:pt>
              </c:strCache>
            </c:strRef>
          </c:tx>
          <c:spPr>
            <a:solidFill>
              <a:schemeClr val="accent2">
                <a:lumMod val="7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Ctry'!$EW$5:$EW$10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97-F646-45E6-A307-0486777DE5C3}"/>
            </c:ext>
          </c:extLst>
        </c:ser>
        <c:ser>
          <c:idx val="152"/>
          <c:order val="152"/>
          <c:tx>
            <c:strRef>
              <c:f>'Emotional Distribution by Ctry'!$EX$3:$EX$4</c:f>
              <c:strCache>
                <c:ptCount val="1"/>
                <c:pt idx="0">
                  <c:v>Reflection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Ctry'!$EX$5:$EX$10</c:f>
              <c:numCache>
                <c:formatCode>General</c:formatCode>
                <c:ptCount val="5"/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8-F646-45E6-A307-0486777DE5C3}"/>
            </c:ext>
          </c:extLst>
        </c:ser>
        <c:ser>
          <c:idx val="153"/>
          <c:order val="153"/>
          <c:tx>
            <c:strRef>
              <c:f>'Emotional Distribution by Ctry'!$EY$3:$EY$4</c:f>
              <c:strCache>
                <c:ptCount val="1"/>
                <c:pt idx="0">
                  <c:v>Regret</c:v>
                </c:pt>
              </c:strCache>
            </c:strRef>
          </c:tx>
          <c:spPr>
            <a:solidFill>
              <a:schemeClr val="accent4">
                <a:lumMod val="7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Ctry'!$EY$5:$EY$10</c:f>
              <c:numCache>
                <c:formatCode>General</c:formatCode>
                <c:ptCount val="5"/>
                <c:pt idx="1">
                  <c:v>1</c:v>
                </c:pt>
                <c:pt idx="3">
                  <c:v>2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9-F646-45E6-A307-0486777DE5C3}"/>
            </c:ext>
          </c:extLst>
        </c:ser>
        <c:ser>
          <c:idx val="154"/>
          <c:order val="154"/>
          <c:tx>
            <c:strRef>
              <c:f>'Emotional Distribution by Ctry'!$EZ$3:$EZ$4</c:f>
              <c:strCache>
                <c:ptCount val="1"/>
                <c:pt idx="0">
                  <c:v>Rejuvenation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Ctry'!$EZ$5:$EZ$10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9A-F646-45E6-A307-0486777DE5C3}"/>
            </c:ext>
          </c:extLst>
        </c:ser>
        <c:ser>
          <c:idx val="155"/>
          <c:order val="155"/>
          <c:tx>
            <c:strRef>
              <c:f>'Emotional Distribution by Ctry'!$FA$3:$FA$4</c:f>
              <c:strCache>
                <c:ptCount val="1"/>
                <c:pt idx="0">
                  <c:v>Relief</c:v>
                </c:pt>
              </c:strCache>
            </c:strRef>
          </c:tx>
          <c:spPr>
            <a:solidFill>
              <a:schemeClr val="accent6">
                <a:lumMod val="7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Ctry'!$FA$5:$FA$10</c:f>
              <c:numCache>
                <c:formatCode>General</c:formatCode>
                <c:ptCount val="5"/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B-F646-45E6-A307-0486777DE5C3}"/>
            </c:ext>
          </c:extLst>
        </c:ser>
        <c:ser>
          <c:idx val="156"/>
          <c:order val="156"/>
          <c:tx>
            <c:strRef>
              <c:f>'Emotional Distribution by Ctry'!$FB$3:$FB$4</c:f>
              <c:strCache>
                <c:ptCount val="1"/>
                <c:pt idx="0">
                  <c:v>Renewed Effort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Ctry'!$FB$5:$FB$10</c:f>
              <c:numCache>
                <c:formatCode>General</c:formatCode>
                <c:ptCount val="5"/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C-F646-45E6-A307-0486777DE5C3}"/>
            </c:ext>
          </c:extLst>
        </c:ser>
        <c:ser>
          <c:idx val="157"/>
          <c:order val="157"/>
          <c:tx>
            <c:strRef>
              <c:f>'Emotional Distribution by Ctry'!$FC$3:$FC$4</c:f>
              <c:strCache>
                <c:ptCount val="1"/>
                <c:pt idx="0">
                  <c:v>Resentment</c:v>
                </c:pt>
              </c:strCache>
            </c:strRef>
          </c:tx>
          <c:spPr>
            <a:solidFill>
              <a:schemeClr val="accent2">
                <a:lumMod val="50000"/>
                <a:lumOff val="5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Ctry'!$FC$5:$FC$10</c:f>
              <c:numCache>
                <c:formatCode>General</c:formatCode>
                <c:ptCount val="5"/>
                <c:pt idx="0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D-F646-45E6-A307-0486777DE5C3}"/>
            </c:ext>
          </c:extLst>
        </c:ser>
        <c:ser>
          <c:idx val="158"/>
          <c:order val="158"/>
          <c:tx>
            <c:strRef>
              <c:f>'Emotional Distribution by Ctry'!$FD$3:$FD$4</c:f>
              <c:strCache>
                <c:ptCount val="1"/>
                <c:pt idx="0">
                  <c:v>Resilience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Ctry'!$FD$5:$FD$10</c:f>
              <c:numCache>
                <c:formatCode>General</c:formatCode>
                <c:ptCount val="5"/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E-F646-45E6-A307-0486777DE5C3}"/>
            </c:ext>
          </c:extLst>
        </c:ser>
        <c:ser>
          <c:idx val="159"/>
          <c:order val="159"/>
          <c:tx>
            <c:strRef>
              <c:f>'Emotional Distribution by Ctry'!$FE$3:$FE$4</c:f>
              <c:strCache>
                <c:ptCount val="1"/>
                <c:pt idx="0">
                  <c:v>Reverence</c:v>
                </c:pt>
              </c:strCache>
            </c:strRef>
          </c:tx>
          <c:spPr>
            <a:solidFill>
              <a:schemeClr val="accent4">
                <a:lumMod val="50000"/>
                <a:lumOff val="5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Ctry'!$FE$5:$FE$10</c:f>
              <c:numCache>
                <c:formatCode>General</c:formatCode>
                <c:ptCount val="5"/>
                <c:pt idx="0">
                  <c:v>1</c:v>
                </c:pt>
                <c:pt idx="3">
                  <c:v>2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F-F646-45E6-A307-0486777DE5C3}"/>
            </c:ext>
          </c:extLst>
        </c:ser>
        <c:ser>
          <c:idx val="160"/>
          <c:order val="160"/>
          <c:tx>
            <c:strRef>
              <c:f>'Emotional Distribution by Ctry'!$FF$3:$FF$4</c:f>
              <c:strCache>
                <c:ptCount val="1"/>
                <c:pt idx="0">
                  <c:v>Romance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Ctry'!$FF$5:$FF$10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A0-F646-45E6-A307-0486777DE5C3}"/>
            </c:ext>
          </c:extLst>
        </c:ser>
        <c:ser>
          <c:idx val="161"/>
          <c:order val="161"/>
          <c:tx>
            <c:strRef>
              <c:f>'Emotional Distribution by Ctry'!$FG$3:$FG$4</c:f>
              <c:strCache>
                <c:ptCount val="1"/>
                <c:pt idx="0">
                  <c:v>Ruins</c:v>
                </c:pt>
              </c:strCache>
            </c:strRef>
          </c:tx>
          <c:spPr>
            <a:solidFill>
              <a:schemeClr val="accent6">
                <a:lumMod val="50000"/>
                <a:lumOff val="5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Ctry'!$FG$5:$FG$10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A1-F646-45E6-A307-0486777DE5C3}"/>
            </c:ext>
          </c:extLst>
        </c:ser>
        <c:ser>
          <c:idx val="162"/>
          <c:order val="162"/>
          <c:tx>
            <c:strRef>
              <c:f>'Emotional Distribution by Ctry'!$FH$3:$FH$4</c:f>
              <c:strCache>
                <c:ptCount val="1"/>
                <c:pt idx="0">
                  <c:v>Runway Creativity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Ctry'!$FH$5:$FH$10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A2-F646-45E6-A307-0486777DE5C3}"/>
            </c:ext>
          </c:extLst>
        </c:ser>
        <c:ser>
          <c:idx val="163"/>
          <c:order val="163"/>
          <c:tx>
            <c:strRef>
              <c:f>'Emotional Distribution by Ctry'!$FI$3:$FI$4</c:f>
              <c:strCache>
                <c:ptCount val="1"/>
                <c:pt idx="0">
                  <c:v>Sad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Ctry'!$FI$5:$FI$10</c:f>
              <c:numCache>
                <c:formatCode>General</c:formatCode>
                <c:ptCount val="5"/>
                <c:pt idx="1">
                  <c:v>3</c:v>
                </c:pt>
                <c:pt idx="3">
                  <c:v>3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3-F646-45E6-A307-0486777DE5C3}"/>
            </c:ext>
          </c:extLst>
        </c:ser>
        <c:ser>
          <c:idx val="164"/>
          <c:order val="164"/>
          <c:tx>
            <c:strRef>
              <c:f>'Emotional Distribution by Ctry'!$FJ$3:$FJ$4</c:f>
              <c:strCache>
                <c:ptCount val="1"/>
                <c:pt idx="0">
                  <c:v>Sadness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Ctry'!$FJ$5:$FJ$10</c:f>
              <c:numCache>
                <c:formatCode>General</c:formatCode>
                <c:ptCount val="5"/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4-F646-45E6-A307-0486777DE5C3}"/>
            </c:ext>
          </c:extLst>
        </c:ser>
        <c:ser>
          <c:idx val="165"/>
          <c:order val="165"/>
          <c:tx>
            <c:strRef>
              <c:f>'Emotional Distribution by Ctry'!$FK$3:$FK$4</c:f>
              <c:strCache>
                <c:ptCount val="1"/>
                <c:pt idx="0">
                  <c:v>Satisfaction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Ctry'!$FK$5:$FK$10</c:f>
              <c:numCache>
                <c:formatCode>General</c:formatCode>
                <c:ptCount val="5"/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5-F646-45E6-A307-0486777DE5C3}"/>
            </c:ext>
          </c:extLst>
        </c:ser>
        <c:ser>
          <c:idx val="166"/>
          <c:order val="166"/>
          <c:tx>
            <c:strRef>
              <c:f>'Emotional Distribution by Ctry'!$FL$3:$FL$4</c:f>
              <c:strCache>
                <c:ptCount val="1"/>
                <c:pt idx="0">
                  <c:v>Serenity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Ctry'!$FL$5:$FL$10</c:f>
              <c:numCache>
                <c:formatCode>General</c:formatCode>
                <c:ptCount val="5"/>
                <c:pt idx="0">
                  <c:v>1</c:v>
                </c:pt>
                <c:pt idx="1">
                  <c:v>6</c:v>
                </c:pt>
                <c:pt idx="3">
                  <c:v>3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6-F646-45E6-A307-0486777DE5C3}"/>
            </c:ext>
          </c:extLst>
        </c:ser>
        <c:ser>
          <c:idx val="167"/>
          <c:order val="167"/>
          <c:tx>
            <c:strRef>
              <c:f>'Emotional Distribution by Ctry'!$FM$3:$FM$4</c:f>
              <c:strCache>
                <c:ptCount val="1"/>
                <c:pt idx="0">
                  <c:v>Shame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Ctry'!$FM$5:$FM$10</c:f>
              <c:numCache>
                <c:formatCode>General</c:formatCode>
                <c:ptCount val="5"/>
                <c:pt idx="2">
                  <c:v>2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7-F646-45E6-A307-0486777DE5C3}"/>
            </c:ext>
          </c:extLst>
        </c:ser>
        <c:ser>
          <c:idx val="168"/>
          <c:order val="168"/>
          <c:tx>
            <c:strRef>
              <c:f>'Emotional Distribution by Ctry'!$FN$3:$FN$4</c:f>
              <c:strCache>
                <c:ptCount val="1"/>
                <c:pt idx="0">
                  <c:v>Solace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Ctry'!$FN$5:$FN$10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A8-F646-45E6-A307-0486777DE5C3}"/>
            </c:ext>
          </c:extLst>
        </c:ser>
        <c:ser>
          <c:idx val="169"/>
          <c:order val="169"/>
          <c:tx>
            <c:strRef>
              <c:f>'Emotional Distribution by Ctry'!$FO$3:$FO$4</c:f>
              <c:strCache>
                <c:ptCount val="1"/>
                <c:pt idx="0">
                  <c:v>Solitude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Ctry'!$FO$5:$FO$10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A9-F646-45E6-A307-0486777DE5C3}"/>
            </c:ext>
          </c:extLst>
        </c:ser>
        <c:ser>
          <c:idx val="170"/>
          <c:order val="170"/>
          <c:tx>
            <c:strRef>
              <c:f>'Emotional Distribution by Ctry'!$FP$3:$FP$4</c:f>
              <c:strCache>
                <c:ptCount val="1"/>
                <c:pt idx="0">
                  <c:v>Sorrow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Ctry'!$FP$5:$FP$10</c:f>
              <c:numCache>
                <c:formatCode>General</c:formatCode>
                <c:ptCount val="5"/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A-F646-45E6-A307-0486777DE5C3}"/>
            </c:ext>
          </c:extLst>
        </c:ser>
        <c:ser>
          <c:idx val="171"/>
          <c:order val="171"/>
          <c:tx>
            <c:strRef>
              <c:f>'Emotional Distribution by Ctry'!$FQ$3:$FQ$4</c:f>
              <c:strCache>
                <c:ptCount val="1"/>
                <c:pt idx="0">
                  <c:v>Spark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Ctry'!$FQ$5:$FQ$10</c:f>
              <c:numCache>
                <c:formatCode>General</c:formatCode>
                <c:ptCount val="5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B-F646-45E6-A307-0486777DE5C3}"/>
            </c:ext>
          </c:extLst>
        </c:ser>
        <c:ser>
          <c:idx val="172"/>
          <c:order val="172"/>
          <c:tx>
            <c:strRef>
              <c:f>'Emotional Distribution by Ctry'!$FR$3:$FR$4</c:f>
              <c:strCache>
                <c:ptCount val="1"/>
                <c:pt idx="0">
                  <c:v>Success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Ctry'!$FR$5:$FR$10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AC-F646-45E6-A307-0486777DE5C3}"/>
            </c:ext>
          </c:extLst>
        </c:ser>
        <c:ser>
          <c:idx val="173"/>
          <c:order val="173"/>
          <c:tx>
            <c:strRef>
              <c:f>'Emotional Distribution by Ctry'!$FS$3:$FS$4</c:f>
              <c:strCache>
                <c:ptCount val="1"/>
                <c:pt idx="0">
                  <c:v>Suffering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Ctry'!$FS$5:$FS$10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AD-F646-45E6-A307-0486777DE5C3}"/>
            </c:ext>
          </c:extLst>
        </c:ser>
        <c:ser>
          <c:idx val="174"/>
          <c:order val="174"/>
          <c:tx>
            <c:strRef>
              <c:f>'Emotional Distribution by Ctry'!$FT$3:$FT$4</c:f>
              <c:strCache>
                <c:ptCount val="1"/>
                <c:pt idx="0">
                  <c:v>Surprise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Ctry'!$FT$5:$FT$10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3">
                  <c:v>1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E-F646-45E6-A307-0486777DE5C3}"/>
            </c:ext>
          </c:extLst>
        </c:ser>
        <c:ser>
          <c:idx val="175"/>
          <c:order val="175"/>
          <c:tx>
            <c:strRef>
              <c:f>'Emotional Distribution by Ctry'!$FU$3:$FU$4</c:f>
              <c:strCache>
                <c:ptCount val="1"/>
                <c:pt idx="0">
                  <c:v>Suspense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Ctry'!$FU$5:$FU$10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AF-F646-45E6-A307-0486777DE5C3}"/>
            </c:ext>
          </c:extLst>
        </c:ser>
        <c:ser>
          <c:idx val="176"/>
          <c:order val="176"/>
          <c:tx>
            <c:strRef>
              <c:f>'Emotional Distribution by Ctry'!$FV$3:$FV$4</c:f>
              <c:strCache>
                <c:ptCount val="1"/>
                <c:pt idx="0">
                  <c:v>Sympathy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Ctry'!$FV$5:$FV$10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B0-F646-45E6-A307-0486777DE5C3}"/>
            </c:ext>
          </c:extLst>
        </c:ser>
        <c:ser>
          <c:idx val="177"/>
          <c:order val="177"/>
          <c:tx>
            <c:strRef>
              <c:f>'Emotional Distribution by Ctry'!$FW$3:$FW$4</c:f>
              <c:strCache>
                <c:ptCount val="1"/>
                <c:pt idx="0">
                  <c:v>Tenderness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Ctry'!$FW$5:$FW$10</c:f>
              <c:numCache>
                <c:formatCode>General</c:formatCode>
                <c:ptCount val="5"/>
                <c:pt idx="1">
                  <c:v>1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B1-F646-45E6-A307-0486777DE5C3}"/>
            </c:ext>
          </c:extLst>
        </c:ser>
        <c:ser>
          <c:idx val="178"/>
          <c:order val="178"/>
          <c:tx>
            <c:strRef>
              <c:f>'Emotional Distribution by Ctry'!$FX$3:$FX$4</c:f>
              <c:strCache>
                <c:ptCount val="1"/>
                <c:pt idx="0">
                  <c:v>Thrill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Ctry'!$FX$5:$FX$10</c:f>
              <c:numCache>
                <c:formatCode>General</c:formatCode>
                <c:ptCount val="5"/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B2-F646-45E6-A307-0486777DE5C3}"/>
            </c:ext>
          </c:extLst>
        </c:ser>
        <c:ser>
          <c:idx val="179"/>
          <c:order val="179"/>
          <c:tx>
            <c:strRef>
              <c:f>'Emotional Distribution by Ctry'!$FY$3:$FY$4</c:f>
              <c:strCache>
                <c:ptCount val="1"/>
                <c:pt idx="0">
                  <c:v>Thrilling Journey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Ctry'!$FY$5:$FY$10</c:f>
              <c:numCache>
                <c:formatCode>General</c:formatCode>
                <c:ptCount val="5"/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B3-F646-45E6-A307-0486777DE5C3}"/>
            </c:ext>
          </c:extLst>
        </c:ser>
        <c:ser>
          <c:idx val="180"/>
          <c:order val="180"/>
          <c:tx>
            <c:strRef>
              <c:f>'Emotional Distribution by Ctry'!$FZ$3:$FZ$4</c:f>
              <c:strCache>
                <c:ptCount val="1"/>
                <c:pt idx="0">
                  <c:v>Touched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Ctry'!$FZ$5:$FZ$10</c:f>
              <c:numCache>
                <c:formatCode>General</c:formatCode>
                <c:ptCount val="5"/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B4-F646-45E6-A307-0486777DE5C3}"/>
            </c:ext>
          </c:extLst>
        </c:ser>
        <c:ser>
          <c:idx val="181"/>
          <c:order val="181"/>
          <c:tx>
            <c:strRef>
              <c:f>'Emotional Distribution by Ctry'!$GA$3:$GA$4</c:f>
              <c:strCache>
                <c:ptCount val="1"/>
                <c:pt idx="0">
                  <c:v>Tranquility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Ctry'!$GA$5:$GA$10</c:f>
              <c:numCache>
                <c:formatCode>General</c:formatCode>
                <c:ptCount val="5"/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B5-F646-45E6-A307-0486777DE5C3}"/>
            </c:ext>
          </c:extLst>
        </c:ser>
        <c:ser>
          <c:idx val="182"/>
          <c:order val="182"/>
          <c:tx>
            <c:strRef>
              <c:f>'Emotional Distribution by Ctry'!$GB$3:$GB$4</c:f>
              <c:strCache>
                <c:ptCount val="1"/>
                <c:pt idx="0">
                  <c:v>Triumph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Ctry'!$GB$5:$GB$10</c:f>
              <c:numCache>
                <c:formatCode>General</c:formatCode>
                <c:ptCount val="5"/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B6-F646-45E6-A307-0486777DE5C3}"/>
            </c:ext>
          </c:extLst>
        </c:ser>
        <c:ser>
          <c:idx val="183"/>
          <c:order val="183"/>
          <c:tx>
            <c:strRef>
              <c:f>'Emotional Distribution by Ctry'!$GC$3:$GC$4</c:f>
              <c:strCache>
                <c:ptCount val="1"/>
                <c:pt idx="0">
                  <c:v>Vibrancy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Ctry'!$GC$5:$GC$10</c:f>
              <c:numCache>
                <c:formatCode>General</c:formatCode>
                <c:ptCount val="5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B7-F646-45E6-A307-0486777DE5C3}"/>
            </c:ext>
          </c:extLst>
        </c:ser>
        <c:ser>
          <c:idx val="184"/>
          <c:order val="184"/>
          <c:tx>
            <c:strRef>
              <c:f>'Emotional Distribution by Ctry'!$GD$3:$GD$4</c:f>
              <c:strCache>
                <c:ptCount val="1"/>
                <c:pt idx="0">
                  <c:v>Whimsy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Ctry'!$GD$5:$GD$10</c:f>
              <c:numCache>
                <c:formatCode>General</c:formatCode>
                <c:ptCount val="5"/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B8-F646-45E6-A307-0486777DE5C3}"/>
            </c:ext>
          </c:extLst>
        </c:ser>
        <c:ser>
          <c:idx val="185"/>
          <c:order val="185"/>
          <c:tx>
            <c:strRef>
              <c:f>'Emotional Distribution by Ctry'!$GE$3:$GE$4</c:f>
              <c:strCache>
                <c:ptCount val="1"/>
                <c:pt idx="0">
                  <c:v>Whispers of the Past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Ctry'!$GE$5:$GE$10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B9-F646-45E6-A307-0486777DE5C3}"/>
            </c:ext>
          </c:extLst>
        </c:ser>
        <c:ser>
          <c:idx val="186"/>
          <c:order val="186"/>
          <c:tx>
            <c:strRef>
              <c:f>'Emotional Distribution by Ctry'!$GF$3:$GF$4</c:f>
              <c:strCache>
                <c:ptCount val="1"/>
                <c:pt idx="0">
                  <c:v>Winter Magic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Ctry'!$GF$5:$GF$10</c:f>
              <c:numCache>
                <c:formatCode>General</c:formatCode>
                <c:ptCount val="5"/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BA-F646-45E6-A307-0486777DE5C3}"/>
            </c:ext>
          </c:extLst>
        </c:ser>
        <c:ser>
          <c:idx val="187"/>
          <c:order val="187"/>
          <c:tx>
            <c:strRef>
              <c:f>'Emotional Distribution by Ctry'!$GG$3:$GG$4</c:f>
              <c:strCache>
                <c:ptCount val="1"/>
                <c:pt idx="0">
                  <c:v>Wonder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Ctry'!$GG$5:$GG$10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BB-F646-45E6-A307-0486777DE5C3}"/>
            </c:ext>
          </c:extLst>
        </c:ser>
        <c:ser>
          <c:idx val="188"/>
          <c:order val="188"/>
          <c:tx>
            <c:strRef>
              <c:f>'Emotional Distribution by Ctry'!$GH$3:$GH$4</c:f>
              <c:strCache>
                <c:ptCount val="1"/>
                <c:pt idx="0">
                  <c:v>Wonderment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Ctry'!$GH$5:$GH$10</c:f>
              <c:numCache>
                <c:formatCode>General</c:formatCode>
                <c:ptCount val="5"/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BC-F646-45E6-A307-0486777DE5C3}"/>
            </c:ext>
          </c:extLst>
        </c:ser>
        <c:ser>
          <c:idx val="189"/>
          <c:order val="189"/>
          <c:tx>
            <c:strRef>
              <c:f>'Emotional Distribution by Ctry'!$GI$3:$GI$4</c:f>
              <c:strCache>
                <c:ptCount val="1"/>
                <c:pt idx="0">
                  <c:v>Yearning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Ctry'!$GI$5:$GI$10</c:f>
              <c:numCache>
                <c:formatCode>General</c:formatCode>
                <c:ptCount val="5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BD-F646-45E6-A307-0486777DE5C3}"/>
            </c:ext>
          </c:extLst>
        </c:ser>
        <c:ser>
          <c:idx val="190"/>
          <c:order val="190"/>
          <c:tx>
            <c:strRef>
              <c:f>'Emotional Distribution by Ctry'!$GJ$3:$GJ$4</c:f>
              <c:strCache>
                <c:ptCount val="1"/>
                <c:pt idx="0">
                  <c:v>Zest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Ctry'!$GJ$5:$GJ$10</c:f>
              <c:numCache>
                <c:formatCode>General</c:formatCode>
                <c:ptCount val="5"/>
                <c:pt idx="2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BE-F646-45E6-A307-0486777DE5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6270072"/>
        <c:axId val="596266472"/>
      </c:areaChart>
      <c:catAx>
        <c:axId val="596270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266472"/>
        <c:crosses val="autoZero"/>
        <c:auto val="1"/>
        <c:lblAlgn val="ctr"/>
        <c:lblOffset val="100"/>
        <c:noMultiLvlLbl val="0"/>
      </c:catAx>
      <c:valAx>
        <c:axId val="5962664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2700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[3) Sentiment dataset - Codeveda Project Emmanuel Ayodele.xlsx]Total Likes vs. Retweets by Soc!PivotTable1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solidFill>
                  <a:sysClr val="windowText" lastClr="000000"/>
                </a:solidFill>
              </a:rPr>
              <a:t>Platform Performance Metrics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206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00206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00206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'Total Likes vs. Retweets by Soc'!$B$3</c:f>
              <c:strCache>
                <c:ptCount val="1"/>
                <c:pt idx="0">
                  <c:v>Sum of Retweets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'Total Likes vs. Retweets by Soc'!$A$4:$A$7</c:f>
              <c:strCache>
                <c:ptCount val="3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</c:strCache>
            </c:strRef>
          </c:cat>
          <c:val>
            <c:numRef>
              <c:f>'Total Likes vs. Retweets by Soc'!$B$4:$B$7</c:f>
              <c:numCache>
                <c:formatCode>General</c:formatCode>
                <c:ptCount val="3"/>
                <c:pt idx="0">
                  <c:v>4844</c:v>
                </c:pt>
                <c:pt idx="1">
                  <c:v>5831</c:v>
                </c:pt>
                <c:pt idx="2">
                  <c:v>5069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17-431B-A3DE-24B4D279AB83}"/>
            </c:ext>
          </c:extLst>
        </c:ser>
        <c:ser>
          <c:idx val="1"/>
          <c:order val="1"/>
          <c:tx>
            <c:strRef>
              <c:f>'Total Likes vs. Retweets by Soc'!$C$3</c:f>
              <c:strCache>
                <c:ptCount val="1"/>
                <c:pt idx="0">
                  <c:v>Sum of Likes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'Total Likes vs. Retweets by Soc'!$A$4:$A$7</c:f>
              <c:strCache>
                <c:ptCount val="3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</c:strCache>
            </c:strRef>
          </c:cat>
          <c:val>
            <c:numRef>
              <c:f>'Total Likes vs. Retweets by Soc'!$C$4:$C$7</c:f>
              <c:numCache>
                <c:formatCode>General</c:formatCode>
                <c:ptCount val="3"/>
                <c:pt idx="0">
                  <c:v>9672</c:v>
                </c:pt>
                <c:pt idx="1">
                  <c:v>11633</c:v>
                </c:pt>
                <c:pt idx="2">
                  <c:v>10099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C17-431B-A3DE-24B4D279AB83}"/>
            </c:ext>
          </c:extLst>
        </c:ser>
        <c:ser>
          <c:idx val="2"/>
          <c:order val="2"/>
          <c:tx>
            <c:strRef>
              <c:f>'Total Likes vs. Retweets by Soc'!$D$3</c:f>
              <c:strCache>
                <c:ptCount val="1"/>
                <c:pt idx="0">
                  <c:v>Sum of Total Engagement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cat>
            <c:strRef>
              <c:f>'Total Likes vs. Retweets by Soc'!$A$4:$A$7</c:f>
              <c:strCache>
                <c:ptCount val="3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</c:strCache>
            </c:strRef>
          </c:cat>
          <c:val>
            <c:numRef>
              <c:f>'Total Likes vs. Retweets by Soc'!$D$4:$D$7</c:f>
              <c:numCache>
                <c:formatCode>General</c:formatCode>
                <c:ptCount val="3"/>
                <c:pt idx="0">
                  <c:v>14516</c:v>
                </c:pt>
                <c:pt idx="1">
                  <c:v>17464</c:v>
                </c:pt>
                <c:pt idx="2">
                  <c:v>15168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C17-431B-A3DE-24B4D279AB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1322048"/>
        <c:axId val="421320968"/>
      </c:barChart>
      <c:catAx>
        <c:axId val="421322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1320968"/>
        <c:crosses val="autoZero"/>
        <c:auto val="1"/>
        <c:lblAlgn val="ctr"/>
        <c:lblOffset val="100"/>
        <c:noMultiLvlLbl val="0"/>
      </c:catAx>
      <c:valAx>
        <c:axId val="4213209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1322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[3) Sentiment dataset - Codeveda Project Emmanuel Ayodele.xlsx]Sentiment Trends Over Time (201!PivotTable3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solidFill>
                  <a:sysClr val="windowText" lastClr="000000"/>
                </a:solidFill>
              </a:rPr>
              <a:t>Sentiment Trends Over Time (2010 - 2023)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2">
                <a:lumMod val="60000"/>
              </a:schemeClr>
            </a:solidFill>
            <a:ln w="9525">
              <a:solidFill>
                <a:schemeClr val="accent2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3">
                <a:lumMod val="60000"/>
              </a:schemeClr>
            </a:solidFill>
            <a:ln w="9525">
              <a:solidFill>
                <a:schemeClr val="accent3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4">
                <a:lumMod val="60000"/>
              </a:schemeClr>
            </a:solidFill>
            <a:ln w="9525">
              <a:solidFill>
                <a:schemeClr val="accent4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5">
                <a:lumMod val="60000"/>
              </a:schemeClr>
            </a:solidFill>
            <a:ln w="9525">
              <a:solidFill>
                <a:schemeClr val="accent5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6">
                <a:lumMod val="60000"/>
              </a:schemeClr>
            </a:solidFill>
            <a:ln w="9525">
              <a:solidFill>
                <a:schemeClr val="accent6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>
                <a:lumMod val="80000"/>
                <a:lumOff val="20000"/>
              </a:schemeClr>
            </a:solidFill>
            <a:ln w="9525">
              <a:solidFill>
                <a:schemeClr val="accent1">
                  <a:lumMod val="80000"/>
                  <a:lumOff val="2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2">
                <a:lumMod val="80000"/>
                <a:lumOff val="20000"/>
              </a:schemeClr>
            </a:solidFill>
            <a:ln w="9525">
              <a:solidFill>
                <a:schemeClr val="accent2">
                  <a:lumMod val="80000"/>
                  <a:lumOff val="2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3">
                <a:lumMod val="80000"/>
                <a:lumOff val="20000"/>
              </a:schemeClr>
            </a:solidFill>
            <a:ln w="9525">
              <a:solidFill>
                <a:schemeClr val="accent3">
                  <a:lumMod val="80000"/>
                  <a:lumOff val="2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4">
                <a:lumMod val="80000"/>
                <a:lumOff val="20000"/>
              </a:schemeClr>
            </a:solidFill>
            <a:ln w="9525">
              <a:solidFill>
                <a:schemeClr val="accent4">
                  <a:lumMod val="80000"/>
                  <a:lumOff val="2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5">
                <a:lumMod val="80000"/>
                <a:lumOff val="20000"/>
              </a:schemeClr>
            </a:solidFill>
            <a:ln w="9525">
              <a:solidFill>
                <a:schemeClr val="accent5">
                  <a:lumMod val="80000"/>
                  <a:lumOff val="2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6">
                <a:lumMod val="80000"/>
                <a:lumOff val="20000"/>
              </a:schemeClr>
            </a:solidFill>
            <a:ln w="9525">
              <a:solidFill>
                <a:schemeClr val="accent6">
                  <a:lumMod val="80000"/>
                  <a:lumOff val="2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>
                <a:lumMod val="80000"/>
              </a:schemeClr>
            </a:solidFill>
            <a:ln w="9525">
              <a:solidFill>
                <a:schemeClr val="accent1">
                  <a:lumMod val="8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2">
                <a:lumMod val="80000"/>
              </a:schemeClr>
            </a:solidFill>
            <a:ln w="9525">
              <a:solidFill>
                <a:schemeClr val="accent2">
                  <a:lumMod val="8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3">
                <a:lumMod val="80000"/>
              </a:schemeClr>
            </a:solidFill>
            <a:ln w="9525">
              <a:solidFill>
                <a:schemeClr val="accent3">
                  <a:lumMod val="8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4">
                <a:lumMod val="80000"/>
              </a:schemeClr>
            </a:solidFill>
            <a:ln w="9525">
              <a:solidFill>
                <a:schemeClr val="accent4">
                  <a:lumMod val="8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5">
                <a:lumMod val="80000"/>
              </a:schemeClr>
            </a:solidFill>
            <a:ln w="9525">
              <a:solidFill>
                <a:schemeClr val="accent5">
                  <a:lumMod val="8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6">
                <a:lumMod val="80000"/>
              </a:schemeClr>
            </a:solidFill>
            <a:ln w="9525">
              <a:solidFill>
                <a:schemeClr val="accent6">
                  <a:lumMod val="8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>
                <a:lumMod val="60000"/>
                <a:lumOff val="40000"/>
              </a:schemeClr>
            </a:solidFill>
            <a:ln w="9525">
              <a:solidFill>
                <a:schemeClr val="accent1">
                  <a:lumMod val="60000"/>
                  <a:lumOff val="4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2">
                <a:lumMod val="60000"/>
                <a:lumOff val="40000"/>
              </a:schemeClr>
            </a:solidFill>
            <a:ln w="9525">
              <a:solidFill>
                <a:schemeClr val="accent2">
                  <a:lumMod val="60000"/>
                  <a:lumOff val="4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3">
                <a:lumMod val="60000"/>
                <a:lumOff val="40000"/>
              </a:schemeClr>
            </a:solidFill>
            <a:ln w="9525">
              <a:solidFill>
                <a:schemeClr val="accent3">
                  <a:lumMod val="60000"/>
                  <a:lumOff val="4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4">
                <a:lumMod val="60000"/>
                <a:lumOff val="40000"/>
              </a:schemeClr>
            </a:solidFill>
            <a:ln w="9525">
              <a:solidFill>
                <a:schemeClr val="accent4">
                  <a:lumMod val="60000"/>
                  <a:lumOff val="4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5">
                <a:lumMod val="60000"/>
                <a:lumOff val="40000"/>
              </a:schemeClr>
            </a:solidFill>
            <a:ln w="9525">
              <a:solidFill>
                <a:schemeClr val="accent5">
                  <a:lumMod val="60000"/>
                  <a:lumOff val="4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6">
                <a:lumMod val="60000"/>
                <a:lumOff val="40000"/>
              </a:schemeClr>
            </a:solidFill>
            <a:ln w="9525">
              <a:solidFill>
                <a:schemeClr val="accent6">
                  <a:lumMod val="60000"/>
                  <a:lumOff val="4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>
                <a:lumMod val="50000"/>
              </a:schemeClr>
            </a:solidFill>
            <a:ln w="9525">
              <a:solidFill>
                <a:schemeClr val="accent1">
                  <a:lumMod val="5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2">
                <a:lumMod val="50000"/>
              </a:schemeClr>
            </a:solidFill>
            <a:ln w="9525">
              <a:solidFill>
                <a:schemeClr val="accent2">
                  <a:lumMod val="5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3">
                <a:lumMod val="50000"/>
              </a:schemeClr>
            </a:solidFill>
            <a:ln w="9525">
              <a:solidFill>
                <a:schemeClr val="accent3">
                  <a:lumMod val="5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4">
                <a:lumMod val="50000"/>
              </a:schemeClr>
            </a:solidFill>
            <a:ln w="9525">
              <a:solidFill>
                <a:schemeClr val="accent4">
                  <a:lumMod val="5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5">
                <a:lumMod val="50000"/>
              </a:schemeClr>
            </a:solidFill>
            <a:ln w="9525">
              <a:solidFill>
                <a:schemeClr val="accent5">
                  <a:lumMod val="5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6">
                <a:lumMod val="50000"/>
              </a:schemeClr>
            </a:solidFill>
            <a:ln w="9525">
              <a:solidFill>
                <a:schemeClr val="accent6">
                  <a:lumMod val="5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>
                <a:lumMod val="70000"/>
                <a:lumOff val="30000"/>
              </a:schemeClr>
            </a:solidFill>
            <a:ln w="9525">
              <a:solidFill>
                <a:schemeClr val="accent1">
                  <a:lumMod val="70000"/>
                  <a:lumOff val="3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2">
                <a:lumMod val="70000"/>
                <a:lumOff val="30000"/>
              </a:schemeClr>
            </a:solidFill>
            <a:ln w="9525">
              <a:solidFill>
                <a:schemeClr val="accent2">
                  <a:lumMod val="70000"/>
                  <a:lumOff val="3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3">
                <a:lumMod val="70000"/>
                <a:lumOff val="30000"/>
              </a:schemeClr>
            </a:solidFill>
            <a:ln w="9525">
              <a:solidFill>
                <a:schemeClr val="accent3">
                  <a:lumMod val="70000"/>
                  <a:lumOff val="3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4">
                <a:lumMod val="70000"/>
                <a:lumOff val="30000"/>
              </a:schemeClr>
            </a:solidFill>
            <a:ln w="9525">
              <a:solidFill>
                <a:schemeClr val="accent4">
                  <a:lumMod val="70000"/>
                  <a:lumOff val="3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5">
                <a:lumMod val="70000"/>
                <a:lumOff val="30000"/>
              </a:schemeClr>
            </a:solidFill>
            <a:ln w="9525">
              <a:solidFill>
                <a:schemeClr val="accent5">
                  <a:lumMod val="70000"/>
                  <a:lumOff val="3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6">
                <a:lumMod val="70000"/>
                <a:lumOff val="30000"/>
              </a:schemeClr>
            </a:solidFill>
            <a:ln w="9525">
              <a:solidFill>
                <a:schemeClr val="accent6">
                  <a:lumMod val="70000"/>
                  <a:lumOff val="3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>
                <a:lumMod val="70000"/>
              </a:schemeClr>
            </a:solidFill>
            <a:ln w="9525">
              <a:solidFill>
                <a:schemeClr val="accent1">
                  <a:lumMod val="7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2">
                <a:lumMod val="70000"/>
              </a:schemeClr>
            </a:solidFill>
            <a:ln w="9525">
              <a:solidFill>
                <a:schemeClr val="accent2">
                  <a:lumMod val="7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3">
                <a:lumMod val="70000"/>
              </a:schemeClr>
            </a:solidFill>
            <a:ln w="9525">
              <a:solidFill>
                <a:schemeClr val="accent3">
                  <a:lumMod val="7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4">
                <a:lumMod val="70000"/>
              </a:schemeClr>
            </a:solidFill>
            <a:ln w="9525">
              <a:solidFill>
                <a:schemeClr val="accent4">
                  <a:lumMod val="7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5">
                <a:lumMod val="70000"/>
              </a:schemeClr>
            </a:solidFill>
            <a:ln w="9525">
              <a:solidFill>
                <a:schemeClr val="accent5">
                  <a:lumMod val="7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6">
                <a:lumMod val="70000"/>
              </a:schemeClr>
            </a:solidFill>
            <a:ln w="9525">
              <a:solidFill>
                <a:schemeClr val="accent6">
                  <a:lumMod val="7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>
                <a:lumMod val="50000"/>
                <a:lumOff val="50000"/>
              </a:schemeClr>
            </a:solidFill>
            <a:ln w="9525">
              <a:solidFill>
                <a:schemeClr val="accent1">
                  <a:lumMod val="50000"/>
                  <a:lumOff val="5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2">
                <a:lumMod val="50000"/>
                <a:lumOff val="50000"/>
              </a:schemeClr>
            </a:solidFill>
            <a:ln w="9525">
              <a:solidFill>
                <a:schemeClr val="accent2">
                  <a:lumMod val="50000"/>
                  <a:lumOff val="5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3">
                <a:lumMod val="50000"/>
                <a:lumOff val="50000"/>
              </a:schemeClr>
            </a:solidFill>
            <a:ln w="9525">
              <a:solidFill>
                <a:schemeClr val="accent3">
                  <a:lumMod val="50000"/>
                  <a:lumOff val="5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4">
                <a:lumMod val="50000"/>
                <a:lumOff val="50000"/>
              </a:schemeClr>
            </a:solidFill>
            <a:ln w="9525">
              <a:solidFill>
                <a:schemeClr val="accent4">
                  <a:lumMod val="50000"/>
                  <a:lumOff val="5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5">
                <a:lumMod val="50000"/>
                <a:lumOff val="50000"/>
              </a:schemeClr>
            </a:solidFill>
            <a:ln w="9525">
              <a:solidFill>
                <a:schemeClr val="accent5">
                  <a:lumMod val="50000"/>
                  <a:lumOff val="5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6">
                <a:lumMod val="50000"/>
                <a:lumOff val="50000"/>
              </a:schemeClr>
            </a:solidFill>
            <a:ln w="9525">
              <a:solidFill>
                <a:schemeClr val="accent6">
                  <a:lumMod val="50000"/>
                  <a:lumOff val="5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2">
                <a:lumMod val="60000"/>
              </a:schemeClr>
            </a:solidFill>
            <a:ln w="9525">
              <a:solidFill>
                <a:schemeClr val="accent2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3">
                <a:lumMod val="60000"/>
              </a:schemeClr>
            </a:solidFill>
            <a:ln w="9525">
              <a:solidFill>
                <a:schemeClr val="accent3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4">
                <a:lumMod val="60000"/>
              </a:schemeClr>
            </a:solidFill>
            <a:ln w="9525">
              <a:solidFill>
                <a:schemeClr val="accent4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5">
                <a:lumMod val="60000"/>
              </a:schemeClr>
            </a:solidFill>
            <a:ln w="9525">
              <a:solidFill>
                <a:schemeClr val="accent5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6">
                <a:lumMod val="60000"/>
              </a:schemeClr>
            </a:solidFill>
            <a:ln w="9525">
              <a:solidFill>
                <a:schemeClr val="accent6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>
                <a:lumMod val="80000"/>
                <a:lumOff val="20000"/>
              </a:schemeClr>
            </a:solidFill>
            <a:ln w="9525">
              <a:solidFill>
                <a:schemeClr val="accent1">
                  <a:lumMod val="80000"/>
                  <a:lumOff val="2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2">
                <a:lumMod val="80000"/>
                <a:lumOff val="20000"/>
              </a:schemeClr>
            </a:solidFill>
            <a:ln w="9525">
              <a:solidFill>
                <a:schemeClr val="accent2">
                  <a:lumMod val="80000"/>
                  <a:lumOff val="2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3">
                <a:lumMod val="80000"/>
                <a:lumOff val="20000"/>
              </a:schemeClr>
            </a:solidFill>
            <a:ln w="9525">
              <a:solidFill>
                <a:schemeClr val="accent3">
                  <a:lumMod val="80000"/>
                  <a:lumOff val="2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4">
                <a:lumMod val="80000"/>
                <a:lumOff val="20000"/>
              </a:schemeClr>
            </a:solidFill>
            <a:ln w="9525">
              <a:solidFill>
                <a:schemeClr val="accent4">
                  <a:lumMod val="80000"/>
                  <a:lumOff val="2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5">
                <a:lumMod val="80000"/>
                <a:lumOff val="20000"/>
              </a:schemeClr>
            </a:solidFill>
            <a:ln w="9525">
              <a:solidFill>
                <a:schemeClr val="accent5">
                  <a:lumMod val="80000"/>
                  <a:lumOff val="2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6">
                <a:lumMod val="80000"/>
                <a:lumOff val="20000"/>
              </a:schemeClr>
            </a:solidFill>
            <a:ln w="9525">
              <a:solidFill>
                <a:schemeClr val="accent6">
                  <a:lumMod val="80000"/>
                  <a:lumOff val="2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>
                <a:lumMod val="80000"/>
              </a:schemeClr>
            </a:solidFill>
            <a:ln w="9525">
              <a:solidFill>
                <a:schemeClr val="accent1">
                  <a:lumMod val="8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2">
                <a:lumMod val="80000"/>
              </a:schemeClr>
            </a:solidFill>
            <a:ln w="9525">
              <a:solidFill>
                <a:schemeClr val="accent2">
                  <a:lumMod val="8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3">
                <a:lumMod val="80000"/>
              </a:schemeClr>
            </a:solidFill>
            <a:ln w="9525">
              <a:solidFill>
                <a:schemeClr val="accent3">
                  <a:lumMod val="8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4">
                <a:lumMod val="80000"/>
              </a:schemeClr>
            </a:solidFill>
            <a:ln w="9525">
              <a:solidFill>
                <a:schemeClr val="accent4">
                  <a:lumMod val="8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5">
                <a:lumMod val="80000"/>
              </a:schemeClr>
            </a:solidFill>
            <a:ln w="9525">
              <a:solidFill>
                <a:schemeClr val="accent5">
                  <a:lumMod val="8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6">
                <a:lumMod val="80000"/>
              </a:schemeClr>
            </a:solidFill>
            <a:ln w="9525">
              <a:solidFill>
                <a:schemeClr val="accent6">
                  <a:lumMod val="8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>
                <a:lumMod val="60000"/>
                <a:lumOff val="40000"/>
              </a:schemeClr>
            </a:solidFill>
            <a:ln w="9525">
              <a:solidFill>
                <a:schemeClr val="accent1">
                  <a:lumMod val="60000"/>
                  <a:lumOff val="4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2">
                <a:lumMod val="60000"/>
                <a:lumOff val="40000"/>
              </a:schemeClr>
            </a:solidFill>
            <a:ln w="9525">
              <a:solidFill>
                <a:schemeClr val="accent2">
                  <a:lumMod val="60000"/>
                  <a:lumOff val="4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3">
                <a:lumMod val="60000"/>
                <a:lumOff val="40000"/>
              </a:schemeClr>
            </a:solidFill>
            <a:ln w="9525">
              <a:solidFill>
                <a:schemeClr val="accent3">
                  <a:lumMod val="60000"/>
                  <a:lumOff val="4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4">
                <a:lumMod val="60000"/>
                <a:lumOff val="40000"/>
              </a:schemeClr>
            </a:solidFill>
            <a:ln w="9525">
              <a:solidFill>
                <a:schemeClr val="accent4">
                  <a:lumMod val="60000"/>
                  <a:lumOff val="4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5">
                <a:lumMod val="60000"/>
                <a:lumOff val="40000"/>
              </a:schemeClr>
            </a:solidFill>
            <a:ln w="9525">
              <a:solidFill>
                <a:schemeClr val="accent5">
                  <a:lumMod val="60000"/>
                  <a:lumOff val="4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6">
                <a:lumMod val="60000"/>
                <a:lumOff val="40000"/>
              </a:schemeClr>
            </a:solidFill>
            <a:ln w="9525">
              <a:solidFill>
                <a:schemeClr val="accent6">
                  <a:lumMod val="60000"/>
                  <a:lumOff val="4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>
                <a:lumMod val="50000"/>
              </a:schemeClr>
            </a:solidFill>
            <a:ln w="9525">
              <a:solidFill>
                <a:schemeClr val="accent1">
                  <a:lumMod val="5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2">
                <a:lumMod val="50000"/>
              </a:schemeClr>
            </a:solidFill>
            <a:ln w="9525">
              <a:solidFill>
                <a:schemeClr val="accent2">
                  <a:lumMod val="5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3">
                <a:lumMod val="50000"/>
              </a:schemeClr>
            </a:solidFill>
            <a:ln w="9525">
              <a:solidFill>
                <a:schemeClr val="accent3">
                  <a:lumMod val="5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4">
                <a:lumMod val="50000"/>
              </a:schemeClr>
            </a:solidFill>
            <a:ln w="9525">
              <a:solidFill>
                <a:schemeClr val="accent4">
                  <a:lumMod val="5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5">
                <a:lumMod val="50000"/>
              </a:schemeClr>
            </a:solidFill>
            <a:ln w="9525">
              <a:solidFill>
                <a:schemeClr val="accent5">
                  <a:lumMod val="5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6">
                <a:lumMod val="50000"/>
              </a:schemeClr>
            </a:solidFill>
            <a:ln w="9525">
              <a:solidFill>
                <a:schemeClr val="accent6">
                  <a:lumMod val="5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>
                <a:lumMod val="70000"/>
                <a:lumOff val="30000"/>
              </a:schemeClr>
            </a:solidFill>
            <a:ln w="9525">
              <a:solidFill>
                <a:schemeClr val="accent1">
                  <a:lumMod val="70000"/>
                  <a:lumOff val="3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2">
                <a:lumMod val="70000"/>
                <a:lumOff val="30000"/>
              </a:schemeClr>
            </a:solidFill>
            <a:ln w="9525">
              <a:solidFill>
                <a:schemeClr val="accent2">
                  <a:lumMod val="70000"/>
                  <a:lumOff val="3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3">
                <a:lumMod val="70000"/>
                <a:lumOff val="30000"/>
              </a:schemeClr>
            </a:solidFill>
            <a:ln w="9525">
              <a:solidFill>
                <a:schemeClr val="accent3">
                  <a:lumMod val="70000"/>
                  <a:lumOff val="3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4">
                <a:lumMod val="70000"/>
                <a:lumOff val="30000"/>
              </a:schemeClr>
            </a:solidFill>
            <a:ln w="9525">
              <a:solidFill>
                <a:schemeClr val="accent4">
                  <a:lumMod val="70000"/>
                  <a:lumOff val="3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5">
                <a:lumMod val="70000"/>
                <a:lumOff val="30000"/>
              </a:schemeClr>
            </a:solidFill>
            <a:ln w="9525">
              <a:solidFill>
                <a:schemeClr val="accent5">
                  <a:lumMod val="70000"/>
                  <a:lumOff val="3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6">
                <a:lumMod val="70000"/>
                <a:lumOff val="30000"/>
              </a:schemeClr>
            </a:solidFill>
            <a:ln w="9525">
              <a:solidFill>
                <a:schemeClr val="accent6">
                  <a:lumMod val="70000"/>
                  <a:lumOff val="3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>
                <a:lumMod val="70000"/>
              </a:schemeClr>
            </a:solidFill>
            <a:ln w="9525">
              <a:solidFill>
                <a:schemeClr val="accent1">
                  <a:lumMod val="7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2">
                <a:lumMod val="70000"/>
              </a:schemeClr>
            </a:solidFill>
            <a:ln w="9525">
              <a:solidFill>
                <a:schemeClr val="accent2">
                  <a:lumMod val="7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3">
                <a:lumMod val="70000"/>
              </a:schemeClr>
            </a:solidFill>
            <a:ln w="9525">
              <a:solidFill>
                <a:schemeClr val="accent3">
                  <a:lumMod val="7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4">
                <a:lumMod val="70000"/>
              </a:schemeClr>
            </a:solidFill>
            <a:ln w="9525">
              <a:solidFill>
                <a:schemeClr val="accent4">
                  <a:lumMod val="7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5">
                <a:lumMod val="70000"/>
              </a:schemeClr>
            </a:solidFill>
            <a:ln w="9525">
              <a:solidFill>
                <a:schemeClr val="accent5">
                  <a:lumMod val="7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6">
                <a:lumMod val="70000"/>
              </a:schemeClr>
            </a:solidFill>
            <a:ln w="9525">
              <a:solidFill>
                <a:schemeClr val="accent6">
                  <a:lumMod val="7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>
                <a:lumMod val="50000"/>
                <a:lumOff val="50000"/>
              </a:schemeClr>
            </a:solidFill>
            <a:ln w="9525">
              <a:solidFill>
                <a:schemeClr val="accent1">
                  <a:lumMod val="50000"/>
                  <a:lumOff val="5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2">
                <a:lumMod val="50000"/>
                <a:lumOff val="50000"/>
              </a:schemeClr>
            </a:solidFill>
            <a:ln w="9525">
              <a:solidFill>
                <a:schemeClr val="accent2">
                  <a:lumMod val="50000"/>
                  <a:lumOff val="5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3">
                <a:lumMod val="50000"/>
                <a:lumOff val="50000"/>
              </a:schemeClr>
            </a:solidFill>
            <a:ln w="9525">
              <a:solidFill>
                <a:schemeClr val="accent3">
                  <a:lumMod val="50000"/>
                  <a:lumOff val="5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4">
                <a:lumMod val="50000"/>
                <a:lumOff val="50000"/>
              </a:schemeClr>
            </a:solidFill>
            <a:ln w="9525">
              <a:solidFill>
                <a:schemeClr val="accent4">
                  <a:lumMod val="50000"/>
                  <a:lumOff val="5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5">
                <a:lumMod val="50000"/>
                <a:lumOff val="50000"/>
              </a:schemeClr>
            </a:solidFill>
            <a:ln w="9525">
              <a:solidFill>
                <a:schemeClr val="accent5">
                  <a:lumMod val="50000"/>
                  <a:lumOff val="5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6">
                <a:lumMod val="50000"/>
                <a:lumOff val="50000"/>
              </a:schemeClr>
            </a:solidFill>
            <a:ln w="9525">
              <a:solidFill>
                <a:schemeClr val="accent6">
                  <a:lumMod val="50000"/>
                  <a:lumOff val="5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2">
                <a:lumMod val="60000"/>
              </a:schemeClr>
            </a:solidFill>
            <a:ln w="9525">
              <a:solidFill>
                <a:schemeClr val="accent2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3">
                <a:lumMod val="60000"/>
              </a:schemeClr>
            </a:solidFill>
            <a:ln w="9525">
              <a:solidFill>
                <a:schemeClr val="accent3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4">
                <a:lumMod val="60000"/>
              </a:schemeClr>
            </a:solidFill>
            <a:ln w="9525">
              <a:solidFill>
                <a:schemeClr val="accent4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5">
                <a:lumMod val="60000"/>
              </a:schemeClr>
            </a:solidFill>
            <a:ln w="9525">
              <a:solidFill>
                <a:schemeClr val="accent5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6">
                <a:lumMod val="60000"/>
              </a:schemeClr>
            </a:solidFill>
            <a:ln w="9525">
              <a:solidFill>
                <a:schemeClr val="accent6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>
                <a:lumMod val="80000"/>
                <a:lumOff val="20000"/>
              </a:schemeClr>
            </a:solidFill>
            <a:ln w="9525">
              <a:solidFill>
                <a:schemeClr val="accent1">
                  <a:lumMod val="80000"/>
                  <a:lumOff val="2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2">
                <a:lumMod val="80000"/>
                <a:lumOff val="20000"/>
              </a:schemeClr>
            </a:solidFill>
            <a:ln w="9525">
              <a:solidFill>
                <a:schemeClr val="accent2">
                  <a:lumMod val="80000"/>
                  <a:lumOff val="2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3">
                <a:lumMod val="80000"/>
                <a:lumOff val="20000"/>
              </a:schemeClr>
            </a:solidFill>
            <a:ln w="9525">
              <a:solidFill>
                <a:schemeClr val="accent3">
                  <a:lumMod val="80000"/>
                  <a:lumOff val="2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4">
                <a:lumMod val="80000"/>
                <a:lumOff val="20000"/>
              </a:schemeClr>
            </a:solidFill>
            <a:ln w="9525">
              <a:solidFill>
                <a:schemeClr val="accent4">
                  <a:lumMod val="80000"/>
                  <a:lumOff val="2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5">
                <a:lumMod val="80000"/>
                <a:lumOff val="20000"/>
              </a:schemeClr>
            </a:solidFill>
            <a:ln w="9525">
              <a:solidFill>
                <a:schemeClr val="accent5">
                  <a:lumMod val="80000"/>
                  <a:lumOff val="2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6">
                <a:lumMod val="80000"/>
                <a:lumOff val="20000"/>
              </a:schemeClr>
            </a:solidFill>
            <a:ln w="9525">
              <a:solidFill>
                <a:schemeClr val="accent6">
                  <a:lumMod val="80000"/>
                  <a:lumOff val="2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>
                <a:lumMod val="80000"/>
              </a:schemeClr>
            </a:solidFill>
            <a:ln w="9525">
              <a:solidFill>
                <a:schemeClr val="accent1">
                  <a:lumMod val="8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2">
                <a:lumMod val="80000"/>
              </a:schemeClr>
            </a:solidFill>
            <a:ln w="9525">
              <a:solidFill>
                <a:schemeClr val="accent2">
                  <a:lumMod val="8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3">
                <a:lumMod val="80000"/>
              </a:schemeClr>
            </a:solidFill>
            <a:ln w="9525">
              <a:solidFill>
                <a:schemeClr val="accent3">
                  <a:lumMod val="8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4">
                <a:lumMod val="80000"/>
              </a:schemeClr>
            </a:solidFill>
            <a:ln w="9525">
              <a:solidFill>
                <a:schemeClr val="accent4">
                  <a:lumMod val="8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5">
                <a:lumMod val="80000"/>
              </a:schemeClr>
            </a:solidFill>
            <a:ln w="9525">
              <a:solidFill>
                <a:schemeClr val="accent5">
                  <a:lumMod val="8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6">
                <a:lumMod val="80000"/>
              </a:schemeClr>
            </a:solidFill>
            <a:ln w="9525">
              <a:solidFill>
                <a:schemeClr val="accent6">
                  <a:lumMod val="8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>
                <a:lumMod val="60000"/>
                <a:lumOff val="40000"/>
              </a:schemeClr>
            </a:solidFill>
            <a:ln w="9525">
              <a:solidFill>
                <a:schemeClr val="accent1">
                  <a:lumMod val="60000"/>
                  <a:lumOff val="4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2">
                <a:lumMod val="60000"/>
                <a:lumOff val="40000"/>
              </a:schemeClr>
            </a:solidFill>
            <a:ln w="9525">
              <a:solidFill>
                <a:schemeClr val="accent2">
                  <a:lumMod val="60000"/>
                  <a:lumOff val="4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3">
                <a:lumMod val="60000"/>
                <a:lumOff val="40000"/>
              </a:schemeClr>
            </a:solidFill>
            <a:ln w="9525">
              <a:solidFill>
                <a:schemeClr val="accent3">
                  <a:lumMod val="60000"/>
                  <a:lumOff val="4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4">
                <a:lumMod val="60000"/>
                <a:lumOff val="40000"/>
              </a:schemeClr>
            </a:solidFill>
            <a:ln w="9525">
              <a:solidFill>
                <a:schemeClr val="accent4">
                  <a:lumMod val="60000"/>
                  <a:lumOff val="4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5">
                <a:lumMod val="60000"/>
                <a:lumOff val="40000"/>
              </a:schemeClr>
            </a:solidFill>
            <a:ln w="9525">
              <a:solidFill>
                <a:schemeClr val="accent5">
                  <a:lumMod val="60000"/>
                  <a:lumOff val="4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6">
                <a:lumMod val="60000"/>
                <a:lumOff val="40000"/>
              </a:schemeClr>
            </a:solidFill>
            <a:ln w="9525">
              <a:solidFill>
                <a:schemeClr val="accent6">
                  <a:lumMod val="60000"/>
                  <a:lumOff val="4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>
                <a:lumMod val="50000"/>
              </a:schemeClr>
            </a:solidFill>
            <a:ln w="9525">
              <a:solidFill>
                <a:schemeClr val="accent1">
                  <a:lumMod val="5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2">
                <a:lumMod val="50000"/>
              </a:schemeClr>
            </a:solidFill>
            <a:ln w="9525">
              <a:solidFill>
                <a:schemeClr val="accent2">
                  <a:lumMod val="5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3">
                <a:lumMod val="50000"/>
              </a:schemeClr>
            </a:solidFill>
            <a:ln w="9525">
              <a:solidFill>
                <a:schemeClr val="accent3">
                  <a:lumMod val="5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4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4">
                <a:lumMod val="50000"/>
              </a:schemeClr>
            </a:solidFill>
            <a:ln w="9525">
              <a:solidFill>
                <a:schemeClr val="accent4">
                  <a:lumMod val="5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5">
                <a:lumMod val="50000"/>
              </a:schemeClr>
            </a:solidFill>
            <a:ln w="9525">
              <a:solidFill>
                <a:schemeClr val="accent5">
                  <a:lumMod val="5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6">
                <a:lumMod val="50000"/>
              </a:schemeClr>
            </a:solidFill>
            <a:ln w="9525">
              <a:solidFill>
                <a:schemeClr val="accent6">
                  <a:lumMod val="5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>
                <a:lumMod val="70000"/>
                <a:lumOff val="30000"/>
              </a:schemeClr>
            </a:solidFill>
            <a:ln w="9525">
              <a:solidFill>
                <a:schemeClr val="accent1">
                  <a:lumMod val="70000"/>
                  <a:lumOff val="3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4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2">
                <a:lumMod val="70000"/>
                <a:lumOff val="30000"/>
              </a:schemeClr>
            </a:solidFill>
            <a:ln w="9525">
              <a:solidFill>
                <a:schemeClr val="accent2">
                  <a:lumMod val="70000"/>
                  <a:lumOff val="3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4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3">
                <a:lumMod val="70000"/>
                <a:lumOff val="30000"/>
              </a:schemeClr>
            </a:solidFill>
            <a:ln w="9525">
              <a:solidFill>
                <a:schemeClr val="accent3">
                  <a:lumMod val="70000"/>
                  <a:lumOff val="3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4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4">
                <a:lumMod val="70000"/>
                <a:lumOff val="30000"/>
              </a:schemeClr>
            </a:solidFill>
            <a:ln w="9525">
              <a:solidFill>
                <a:schemeClr val="accent4">
                  <a:lumMod val="70000"/>
                  <a:lumOff val="3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4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5">
                <a:lumMod val="70000"/>
                <a:lumOff val="30000"/>
              </a:schemeClr>
            </a:solidFill>
            <a:ln w="9525">
              <a:solidFill>
                <a:schemeClr val="accent5">
                  <a:lumMod val="70000"/>
                  <a:lumOff val="3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4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6">
                <a:lumMod val="70000"/>
                <a:lumOff val="30000"/>
              </a:schemeClr>
            </a:solidFill>
            <a:ln w="9525">
              <a:solidFill>
                <a:schemeClr val="accent6">
                  <a:lumMod val="70000"/>
                  <a:lumOff val="3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5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>
                <a:lumMod val="70000"/>
              </a:schemeClr>
            </a:solidFill>
            <a:ln w="9525">
              <a:solidFill>
                <a:schemeClr val="accent1">
                  <a:lumMod val="7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5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2">
                <a:lumMod val="70000"/>
              </a:schemeClr>
            </a:solidFill>
            <a:ln w="9525">
              <a:solidFill>
                <a:schemeClr val="accent2">
                  <a:lumMod val="7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5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3">
                <a:lumMod val="70000"/>
              </a:schemeClr>
            </a:solidFill>
            <a:ln w="9525">
              <a:solidFill>
                <a:schemeClr val="accent3">
                  <a:lumMod val="7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5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4">
                <a:lumMod val="70000"/>
              </a:schemeClr>
            </a:solidFill>
            <a:ln w="9525">
              <a:solidFill>
                <a:schemeClr val="accent4">
                  <a:lumMod val="7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5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5">
                <a:lumMod val="70000"/>
              </a:schemeClr>
            </a:solidFill>
            <a:ln w="9525">
              <a:solidFill>
                <a:schemeClr val="accent5">
                  <a:lumMod val="7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5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6">
                <a:lumMod val="70000"/>
              </a:schemeClr>
            </a:solidFill>
            <a:ln w="9525">
              <a:solidFill>
                <a:schemeClr val="accent6">
                  <a:lumMod val="7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5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>
                <a:lumMod val="50000"/>
                <a:lumOff val="50000"/>
              </a:schemeClr>
            </a:solidFill>
            <a:ln w="9525">
              <a:solidFill>
                <a:schemeClr val="accent1">
                  <a:lumMod val="50000"/>
                  <a:lumOff val="5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5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2">
                <a:lumMod val="50000"/>
                <a:lumOff val="50000"/>
              </a:schemeClr>
            </a:solidFill>
            <a:ln w="9525">
              <a:solidFill>
                <a:schemeClr val="accent2">
                  <a:lumMod val="50000"/>
                  <a:lumOff val="5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5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3">
                <a:lumMod val="50000"/>
                <a:lumOff val="50000"/>
              </a:schemeClr>
            </a:solidFill>
            <a:ln w="9525">
              <a:solidFill>
                <a:schemeClr val="accent3">
                  <a:lumMod val="50000"/>
                  <a:lumOff val="5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5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4">
                <a:lumMod val="50000"/>
                <a:lumOff val="50000"/>
              </a:schemeClr>
            </a:solidFill>
            <a:ln w="9525">
              <a:solidFill>
                <a:schemeClr val="accent4">
                  <a:lumMod val="50000"/>
                  <a:lumOff val="5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6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5">
                <a:lumMod val="50000"/>
                <a:lumOff val="50000"/>
              </a:schemeClr>
            </a:solidFill>
            <a:ln w="9525">
              <a:solidFill>
                <a:schemeClr val="accent5">
                  <a:lumMod val="50000"/>
                  <a:lumOff val="5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6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6">
                <a:lumMod val="50000"/>
                <a:lumOff val="50000"/>
              </a:schemeClr>
            </a:solidFill>
            <a:ln w="9525">
              <a:solidFill>
                <a:schemeClr val="accent6">
                  <a:lumMod val="50000"/>
                  <a:lumOff val="5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6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6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6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6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6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6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6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6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2">
                <a:lumMod val="60000"/>
              </a:schemeClr>
            </a:solidFill>
            <a:ln w="9525">
              <a:solidFill>
                <a:schemeClr val="accent2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7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3">
                <a:lumMod val="60000"/>
              </a:schemeClr>
            </a:solidFill>
            <a:ln w="9525">
              <a:solidFill>
                <a:schemeClr val="accent3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7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4">
                <a:lumMod val="60000"/>
              </a:schemeClr>
            </a:solidFill>
            <a:ln w="9525">
              <a:solidFill>
                <a:schemeClr val="accent4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7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5">
                <a:lumMod val="60000"/>
              </a:schemeClr>
            </a:solidFill>
            <a:ln w="9525">
              <a:solidFill>
                <a:schemeClr val="accent5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7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6">
                <a:lumMod val="60000"/>
              </a:schemeClr>
            </a:solidFill>
            <a:ln w="9525">
              <a:solidFill>
                <a:schemeClr val="accent6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7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>
                <a:lumMod val="80000"/>
                <a:lumOff val="20000"/>
              </a:schemeClr>
            </a:solidFill>
            <a:ln w="9525">
              <a:solidFill>
                <a:schemeClr val="accent1">
                  <a:lumMod val="80000"/>
                  <a:lumOff val="2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7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2">
                <a:lumMod val="80000"/>
                <a:lumOff val="20000"/>
              </a:schemeClr>
            </a:solidFill>
            <a:ln w="9525">
              <a:solidFill>
                <a:schemeClr val="accent2">
                  <a:lumMod val="80000"/>
                  <a:lumOff val="2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7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3">
                <a:lumMod val="80000"/>
                <a:lumOff val="20000"/>
              </a:schemeClr>
            </a:solidFill>
            <a:ln w="9525">
              <a:solidFill>
                <a:schemeClr val="accent3">
                  <a:lumMod val="80000"/>
                  <a:lumOff val="2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7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4">
                <a:lumMod val="80000"/>
                <a:lumOff val="20000"/>
              </a:schemeClr>
            </a:solidFill>
            <a:ln w="9525">
              <a:solidFill>
                <a:schemeClr val="accent4">
                  <a:lumMod val="80000"/>
                  <a:lumOff val="2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7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5">
                <a:lumMod val="80000"/>
                <a:lumOff val="20000"/>
              </a:schemeClr>
            </a:solidFill>
            <a:ln w="9525">
              <a:solidFill>
                <a:schemeClr val="accent5">
                  <a:lumMod val="80000"/>
                  <a:lumOff val="2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7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6">
                <a:lumMod val="80000"/>
                <a:lumOff val="20000"/>
              </a:schemeClr>
            </a:solidFill>
            <a:ln w="9525">
              <a:solidFill>
                <a:schemeClr val="accent6">
                  <a:lumMod val="80000"/>
                  <a:lumOff val="2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8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>
                <a:lumMod val="80000"/>
              </a:schemeClr>
            </a:solidFill>
            <a:ln w="9525">
              <a:solidFill>
                <a:schemeClr val="accent1">
                  <a:lumMod val="8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8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2">
                <a:lumMod val="80000"/>
              </a:schemeClr>
            </a:solidFill>
            <a:ln w="9525">
              <a:solidFill>
                <a:schemeClr val="accent2">
                  <a:lumMod val="8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8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3">
                <a:lumMod val="80000"/>
              </a:schemeClr>
            </a:solidFill>
            <a:ln w="9525">
              <a:solidFill>
                <a:schemeClr val="accent3">
                  <a:lumMod val="8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8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4">
                <a:lumMod val="80000"/>
              </a:schemeClr>
            </a:solidFill>
            <a:ln w="9525">
              <a:solidFill>
                <a:schemeClr val="accent4">
                  <a:lumMod val="8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8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5">
                <a:lumMod val="80000"/>
              </a:schemeClr>
            </a:solidFill>
            <a:ln w="9525">
              <a:solidFill>
                <a:schemeClr val="accent5">
                  <a:lumMod val="8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8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6">
                <a:lumMod val="80000"/>
              </a:schemeClr>
            </a:solidFill>
            <a:ln w="9525">
              <a:solidFill>
                <a:schemeClr val="accent6">
                  <a:lumMod val="8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8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>
                <a:lumMod val="60000"/>
                <a:lumOff val="40000"/>
              </a:schemeClr>
            </a:solidFill>
            <a:ln w="9525">
              <a:solidFill>
                <a:schemeClr val="accent1">
                  <a:lumMod val="60000"/>
                  <a:lumOff val="4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8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2">
                <a:lumMod val="60000"/>
                <a:lumOff val="40000"/>
              </a:schemeClr>
            </a:solidFill>
            <a:ln w="9525">
              <a:solidFill>
                <a:schemeClr val="accent2">
                  <a:lumMod val="60000"/>
                  <a:lumOff val="4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8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3">
                <a:lumMod val="60000"/>
                <a:lumOff val="40000"/>
              </a:schemeClr>
            </a:solidFill>
            <a:ln w="9525">
              <a:solidFill>
                <a:schemeClr val="accent3">
                  <a:lumMod val="60000"/>
                  <a:lumOff val="4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8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4">
                <a:lumMod val="60000"/>
                <a:lumOff val="40000"/>
              </a:schemeClr>
            </a:solidFill>
            <a:ln w="9525">
              <a:solidFill>
                <a:schemeClr val="accent4">
                  <a:lumMod val="60000"/>
                  <a:lumOff val="4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9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5">
                <a:lumMod val="60000"/>
                <a:lumOff val="40000"/>
              </a:schemeClr>
            </a:solidFill>
            <a:ln w="9525">
              <a:solidFill>
                <a:schemeClr val="accent5">
                  <a:lumMod val="60000"/>
                  <a:lumOff val="4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9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9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9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9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9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9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9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9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2">
                <a:lumMod val="60000"/>
              </a:schemeClr>
            </a:solidFill>
            <a:ln w="9525">
              <a:solidFill>
                <a:schemeClr val="accent2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9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3">
                <a:lumMod val="60000"/>
              </a:schemeClr>
            </a:solidFill>
            <a:ln w="9525">
              <a:solidFill>
                <a:schemeClr val="accent3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0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4">
                <a:lumMod val="60000"/>
              </a:schemeClr>
            </a:solidFill>
            <a:ln w="9525">
              <a:solidFill>
                <a:schemeClr val="accent4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0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5">
                <a:lumMod val="60000"/>
              </a:schemeClr>
            </a:solidFill>
            <a:ln w="9525">
              <a:solidFill>
                <a:schemeClr val="accent5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0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6">
                <a:lumMod val="60000"/>
              </a:schemeClr>
            </a:solidFill>
            <a:ln w="9525">
              <a:solidFill>
                <a:schemeClr val="accent6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0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>
                <a:lumMod val="80000"/>
                <a:lumOff val="20000"/>
              </a:schemeClr>
            </a:solidFill>
            <a:ln w="9525">
              <a:solidFill>
                <a:schemeClr val="accent1">
                  <a:lumMod val="80000"/>
                  <a:lumOff val="2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0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2">
                <a:lumMod val="80000"/>
                <a:lumOff val="20000"/>
              </a:schemeClr>
            </a:solidFill>
            <a:ln w="9525">
              <a:solidFill>
                <a:schemeClr val="accent2">
                  <a:lumMod val="80000"/>
                  <a:lumOff val="2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0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3">
                <a:lumMod val="80000"/>
                <a:lumOff val="20000"/>
              </a:schemeClr>
            </a:solidFill>
            <a:ln w="9525">
              <a:solidFill>
                <a:schemeClr val="accent3">
                  <a:lumMod val="80000"/>
                  <a:lumOff val="2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0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4">
                <a:lumMod val="80000"/>
                <a:lumOff val="20000"/>
              </a:schemeClr>
            </a:solidFill>
            <a:ln w="9525">
              <a:solidFill>
                <a:schemeClr val="accent4">
                  <a:lumMod val="80000"/>
                  <a:lumOff val="2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0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5">
                <a:lumMod val="80000"/>
                <a:lumOff val="20000"/>
              </a:schemeClr>
            </a:solidFill>
            <a:ln w="9525">
              <a:solidFill>
                <a:schemeClr val="accent5">
                  <a:lumMod val="80000"/>
                  <a:lumOff val="2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0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6">
                <a:lumMod val="80000"/>
                <a:lumOff val="20000"/>
              </a:schemeClr>
            </a:solidFill>
            <a:ln w="9525">
              <a:solidFill>
                <a:schemeClr val="accent6">
                  <a:lumMod val="80000"/>
                  <a:lumOff val="2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0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>
                <a:lumMod val="80000"/>
              </a:schemeClr>
            </a:solidFill>
            <a:ln w="9525">
              <a:solidFill>
                <a:schemeClr val="accent1">
                  <a:lumMod val="8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2">
                <a:lumMod val="80000"/>
              </a:schemeClr>
            </a:solidFill>
            <a:ln w="9525">
              <a:solidFill>
                <a:schemeClr val="accent2">
                  <a:lumMod val="8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3">
                <a:lumMod val="80000"/>
              </a:schemeClr>
            </a:solidFill>
            <a:ln w="9525">
              <a:solidFill>
                <a:schemeClr val="accent3">
                  <a:lumMod val="8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4">
                <a:lumMod val="80000"/>
              </a:schemeClr>
            </a:solidFill>
            <a:ln w="9525">
              <a:solidFill>
                <a:schemeClr val="accent4">
                  <a:lumMod val="8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5">
                <a:lumMod val="80000"/>
              </a:schemeClr>
            </a:solidFill>
            <a:ln w="9525">
              <a:solidFill>
                <a:schemeClr val="accent5">
                  <a:lumMod val="8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6">
                <a:lumMod val="80000"/>
              </a:schemeClr>
            </a:solidFill>
            <a:ln w="9525">
              <a:solidFill>
                <a:schemeClr val="accent6">
                  <a:lumMod val="8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>
                <a:lumMod val="60000"/>
                <a:lumOff val="40000"/>
              </a:schemeClr>
            </a:solidFill>
            <a:ln w="9525">
              <a:solidFill>
                <a:schemeClr val="accent1">
                  <a:lumMod val="60000"/>
                  <a:lumOff val="4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2">
                <a:lumMod val="60000"/>
                <a:lumOff val="40000"/>
              </a:schemeClr>
            </a:solidFill>
            <a:ln w="9525">
              <a:solidFill>
                <a:schemeClr val="accent2">
                  <a:lumMod val="60000"/>
                  <a:lumOff val="4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3">
                <a:lumMod val="60000"/>
                <a:lumOff val="40000"/>
              </a:schemeClr>
            </a:solidFill>
            <a:ln w="9525">
              <a:solidFill>
                <a:schemeClr val="accent3">
                  <a:lumMod val="60000"/>
                  <a:lumOff val="4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4">
                <a:lumMod val="60000"/>
                <a:lumOff val="40000"/>
              </a:schemeClr>
            </a:solidFill>
            <a:ln w="9525">
              <a:solidFill>
                <a:schemeClr val="accent4">
                  <a:lumMod val="60000"/>
                  <a:lumOff val="4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5">
                <a:lumMod val="60000"/>
                <a:lumOff val="40000"/>
              </a:schemeClr>
            </a:solidFill>
            <a:ln w="9525">
              <a:solidFill>
                <a:schemeClr val="accent5">
                  <a:lumMod val="60000"/>
                  <a:lumOff val="4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6">
                <a:lumMod val="60000"/>
                <a:lumOff val="40000"/>
              </a:schemeClr>
            </a:solidFill>
            <a:ln w="9525">
              <a:solidFill>
                <a:schemeClr val="accent6">
                  <a:lumMod val="60000"/>
                  <a:lumOff val="4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>
                <a:lumMod val="50000"/>
              </a:schemeClr>
            </a:solidFill>
            <a:ln w="9525">
              <a:solidFill>
                <a:schemeClr val="accent1">
                  <a:lumMod val="5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2">
                <a:lumMod val="50000"/>
              </a:schemeClr>
            </a:solidFill>
            <a:ln w="9525">
              <a:solidFill>
                <a:schemeClr val="accent2">
                  <a:lumMod val="5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3">
                <a:lumMod val="50000"/>
              </a:schemeClr>
            </a:solidFill>
            <a:ln w="9525">
              <a:solidFill>
                <a:schemeClr val="accent3">
                  <a:lumMod val="5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4">
                <a:lumMod val="50000"/>
              </a:schemeClr>
            </a:solidFill>
            <a:ln w="9525">
              <a:solidFill>
                <a:schemeClr val="accent4">
                  <a:lumMod val="5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5">
                <a:lumMod val="50000"/>
              </a:schemeClr>
            </a:solidFill>
            <a:ln w="9525">
              <a:solidFill>
                <a:schemeClr val="accent5">
                  <a:lumMod val="5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6">
                <a:lumMod val="50000"/>
              </a:schemeClr>
            </a:solidFill>
            <a:ln w="9525">
              <a:solidFill>
                <a:schemeClr val="accent6">
                  <a:lumMod val="5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>
                <a:lumMod val="70000"/>
                <a:lumOff val="30000"/>
              </a:schemeClr>
            </a:solidFill>
            <a:ln w="9525">
              <a:solidFill>
                <a:schemeClr val="accent1">
                  <a:lumMod val="70000"/>
                  <a:lumOff val="3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2">
                <a:lumMod val="70000"/>
                <a:lumOff val="30000"/>
              </a:schemeClr>
            </a:solidFill>
            <a:ln w="9525">
              <a:solidFill>
                <a:schemeClr val="accent2">
                  <a:lumMod val="70000"/>
                  <a:lumOff val="3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3">
                <a:lumMod val="70000"/>
                <a:lumOff val="30000"/>
              </a:schemeClr>
            </a:solidFill>
            <a:ln w="9525">
              <a:solidFill>
                <a:schemeClr val="accent3">
                  <a:lumMod val="70000"/>
                  <a:lumOff val="3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4">
                <a:lumMod val="70000"/>
                <a:lumOff val="30000"/>
              </a:schemeClr>
            </a:solidFill>
            <a:ln w="9525">
              <a:solidFill>
                <a:schemeClr val="accent4">
                  <a:lumMod val="70000"/>
                  <a:lumOff val="3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5">
                <a:lumMod val="70000"/>
                <a:lumOff val="30000"/>
              </a:schemeClr>
            </a:solidFill>
            <a:ln w="9525">
              <a:solidFill>
                <a:schemeClr val="accent5">
                  <a:lumMod val="70000"/>
                  <a:lumOff val="3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6">
                <a:lumMod val="70000"/>
                <a:lumOff val="30000"/>
              </a:schemeClr>
            </a:solidFill>
            <a:ln w="9525">
              <a:solidFill>
                <a:schemeClr val="accent6">
                  <a:lumMod val="70000"/>
                  <a:lumOff val="3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>
                <a:lumMod val="70000"/>
              </a:schemeClr>
            </a:solidFill>
            <a:ln w="9525">
              <a:solidFill>
                <a:schemeClr val="accent1">
                  <a:lumMod val="7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2">
                <a:lumMod val="70000"/>
              </a:schemeClr>
            </a:solidFill>
            <a:ln w="9525">
              <a:solidFill>
                <a:schemeClr val="accent2">
                  <a:lumMod val="7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3">
                <a:lumMod val="70000"/>
              </a:schemeClr>
            </a:solidFill>
            <a:ln w="9525">
              <a:solidFill>
                <a:schemeClr val="accent3">
                  <a:lumMod val="7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4">
                <a:lumMod val="70000"/>
              </a:schemeClr>
            </a:solidFill>
            <a:ln w="9525">
              <a:solidFill>
                <a:schemeClr val="accent4">
                  <a:lumMod val="7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5">
                <a:lumMod val="70000"/>
              </a:schemeClr>
            </a:solidFill>
            <a:ln w="9525">
              <a:solidFill>
                <a:schemeClr val="accent5">
                  <a:lumMod val="7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6">
                <a:lumMod val="70000"/>
              </a:schemeClr>
            </a:solidFill>
            <a:ln w="9525">
              <a:solidFill>
                <a:schemeClr val="accent6">
                  <a:lumMod val="7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>
                <a:lumMod val="50000"/>
                <a:lumOff val="50000"/>
              </a:schemeClr>
            </a:solidFill>
            <a:ln w="9525">
              <a:solidFill>
                <a:schemeClr val="accent1">
                  <a:lumMod val="50000"/>
                  <a:lumOff val="5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2">
                <a:lumMod val="50000"/>
                <a:lumOff val="50000"/>
              </a:schemeClr>
            </a:solidFill>
            <a:ln w="9525">
              <a:solidFill>
                <a:schemeClr val="accent2">
                  <a:lumMod val="50000"/>
                  <a:lumOff val="5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4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3">
                <a:lumMod val="50000"/>
                <a:lumOff val="50000"/>
              </a:schemeClr>
            </a:solidFill>
            <a:ln w="9525">
              <a:solidFill>
                <a:schemeClr val="accent3">
                  <a:lumMod val="50000"/>
                  <a:lumOff val="5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4">
                <a:lumMod val="50000"/>
                <a:lumOff val="50000"/>
              </a:schemeClr>
            </a:solidFill>
            <a:ln w="9525">
              <a:solidFill>
                <a:schemeClr val="accent4">
                  <a:lumMod val="50000"/>
                  <a:lumOff val="5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5">
                <a:lumMod val="50000"/>
                <a:lumOff val="50000"/>
              </a:schemeClr>
            </a:solidFill>
            <a:ln w="9525">
              <a:solidFill>
                <a:schemeClr val="accent5">
                  <a:lumMod val="50000"/>
                  <a:lumOff val="5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6">
                <a:lumMod val="50000"/>
                <a:lumOff val="50000"/>
              </a:schemeClr>
            </a:solidFill>
            <a:ln w="9525">
              <a:solidFill>
                <a:schemeClr val="accent6">
                  <a:lumMod val="50000"/>
                  <a:lumOff val="5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4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4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4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4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4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5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5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5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2">
                <a:lumMod val="60000"/>
              </a:schemeClr>
            </a:solidFill>
            <a:ln w="9525">
              <a:solidFill>
                <a:schemeClr val="accent2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5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3">
                <a:lumMod val="60000"/>
              </a:schemeClr>
            </a:solidFill>
            <a:ln w="9525">
              <a:solidFill>
                <a:schemeClr val="accent3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5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4">
                <a:lumMod val="60000"/>
              </a:schemeClr>
            </a:solidFill>
            <a:ln w="9525">
              <a:solidFill>
                <a:schemeClr val="accent4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5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5">
                <a:lumMod val="60000"/>
              </a:schemeClr>
            </a:solidFill>
            <a:ln w="9525">
              <a:solidFill>
                <a:schemeClr val="accent5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5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6">
                <a:lumMod val="60000"/>
              </a:schemeClr>
            </a:solidFill>
            <a:ln w="9525">
              <a:solidFill>
                <a:schemeClr val="accent6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5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>
                <a:lumMod val="80000"/>
                <a:lumOff val="20000"/>
              </a:schemeClr>
            </a:solidFill>
            <a:ln w="9525">
              <a:solidFill>
                <a:schemeClr val="accent1">
                  <a:lumMod val="80000"/>
                  <a:lumOff val="2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5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2">
                <a:lumMod val="80000"/>
                <a:lumOff val="20000"/>
              </a:schemeClr>
            </a:solidFill>
            <a:ln w="9525">
              <a:solidFill>
                <a:schemeClr val="accent2">
                  <a:lumMod val="80000"/>
                  <a:lumOff val="2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5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3">
                <a:lumMod val="80000"/>
                <a:lumOff val="20000"/>
              </a:schemeClr>
            </a:solidFill>
            <a:ln w="9525">
              <a:solidFill>
                <a:schemeClr val="accent3">
                  <a:lumMod val="80000"/>
                  <a:lumOff val="2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6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4">
                <a:lumMod val="80000"/>
                <a:lumOff val="20000"/>
              </a:schemeClr>
            </a:solidFill>
            <a:ln w="9525">
              <a:solidFill>
                <a:schemeClr val="accent4">
                  <a:lumMod val="80000"/>
                  <a:lumOff val="2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6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5">
                <a:lumMod val="80000"/>
                <a:lumOff val="20000"/>
              </a:schemeClr>
            </a:solidFill>
            <a:ln w="9525">
              <a:solidFill>
                <a:schemeClr val="accent5">
                  <a:lumMod val="80000"/>
                  <a:lumOff val="2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6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6">
                <a:lumMod val="80000"/>
                <a:lumOff val="20000"/>
              </a:schemeClr>
            </a:solidFill>
            <a:ln w="9525">
              <a:solidFill>
                <a:schemeClr val="accent6">
                  <a:lumMod val="80000"/>
                  <a:lumOff val="2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6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>
                <a:lumMod val="80000"/>
              </a:schemeClr>
            </a:solidFill>
            <a:ln w="9525">
              <a:solidFill>
                <a:schemeClr val="accent1">
                  <a:lumMod val="8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6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2">
                <a:lumMod val="80000"/>
              </a:schemeClr>
            </a:solidFill>
            <a:ln w="9525">
              <a:solidFill>
                <a:schemeClr val="accent2">
                  <a:lumMod val="8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6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3">
                <a:lumMod val="80000"/>
              </a:schemeClr>
            </a:solidFill>
            <a:ln w="9525">
              <a:solidFill>
                <a:schemeClr val="accent3">
                  <a:lumMod val="8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6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4">
                <a:lumMod val="80000"/>
              </a:schemeClr>
            </a:solidFill>
            <a:ln w="9525">
              <a:solidFill>
                <a:schemeClr val="accent4">
                  <a:lumMod val="8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6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5">
                <a:lumMod val="80000"/>
              </a:schemeClr>
            </a:solidFill>
            <a:ln w="9525">
              <a:solidFill>
                <a:schemeClr val="accent5">
                  <a:lumMod val="8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6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6">
                <a:lumMod val="80000"/>
              </a:schemeClr>
            </a:solidFill>
            <a:ln w="9525">
              <a:solidFill>
                <a:schemeClr val="accent6">
                  <a:lumMod val="8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6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>
                <a:lumMod val="60000"/>
                <a:lumOff val="40000"/>
              </a:schemeClr>
            </a:solidFill>
            <a:ln w="9525">
              <a:solidFill>
                <a:schemeClr val="accent1">
                  <a:lumMod val="60000"/>
                  <a:lumOff val="4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7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2">
                <a:lumMod val="60000"/>
                <a:lumOff val="40000"/>
              </a:schemeClr>
            </a:solidFill>
            <a:ln w="9525">
              <a:solidFill>
                <a:schemeClr val="accent2">
                  <a:lumMod val="60000"/>
                  <a:lumOff val="4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7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3">
                <a:lumMod val="60000"/>
                <a:lumOff val="40000"/>
              </a:schemeClr>
            </a:solidFill>
            <a:ln w="9525">
              <a:solidFill>
                <a:schemeClr val="accent3">
                  <a:lumMod val="60000"/>
                  <a:lumOff val="4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7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4">
                <a:lumMod val="60000"/>
                <a:lumOff val="40000"/>
              </a:schemeClr>
            </a:solidFill>
            <a:ln w="9525">
              <a:solidFill>
                <a:schemeClr val="accent4">
                  <a:lumMod val="60000"/>
                  <a:lumOff val="4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7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5">
                <a:lumMod val="60000"/>
                <a:lumOff val="40000"/>
              </a:schemeClr>
            </a:solidFill>
            <a:ln w="9525">
              <a:solidFill>
                <a:schemeClr val="accent5">
                  <a:lumMod val="60000"/>
                  <a:lumOff val="4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7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6">
                <a:lumMod val="60000"/>
                <a:lumOff val="40000"/>
              </a:schemeClr>
            </a:solidFill>
            <a:ln w="9525">
              <a:solidFill>
                <a:schemeClr val="accent6">
                  <a:lumMod val="60000"/>
                  <a:lumOff val="4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7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>
                <a:lumMod val="50000"/>
              </a:schemeClr>
            </a:solidFill>
            <a:ln w="9525">
              <a:solidFill>
                <a:schemeClr val="accent1">
                  <a:lumMod val="5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7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2">
                <a:lumMod val="50000"/>
              </a:schemeClr>
            </a:solidFill>
            <a:ln w="9525">
              <a:solidFill>
                <a:schemeClr val="accent2">
                  <a:lumMod val="5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7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3">
                <a:lumMod val="50000"/>
              </a:schemeClr>
            </a:solidFill>
            <a:ln w="9525">
              <a:solidFill>
                <a:schemeClr val="accent3">
                  <a:lumMod val="5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7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4">
                <a:lumMod val="50000"/>
              </a:schemeClr>
            </a:solidFill>
            <a:ln w="9525">
              <a:solidFill>
                <a:schemeClr val="accent4">
                  <a:lumMod val="5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7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5">
                <a:lumMod val="50000"/>
              </a:schemeClr>
            </a:solidFill>
            <a:ln w="9525">
              <a:solidFill>
                <a:schemeClr val="accent5">
                  <a:lumMod val="5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8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6">
                <a:lumMod val="50000"/>
              </a:schemeClr>
            </a:solidFill>
            <a:ln w="9525">
              <a:solidFill>
                <a:schemeClr val="accent6">
                  <a:lumMod val="5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8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>
                <a:lumMod val="70000"/>
                <a:lumOff val="30000"/>
              </a:schemeClr>
            </a:solidFill>
            <a:ln w="9525">
              <a:solidFill>
                <a:schemeClr val="accent1">
                  <a:lumMod val="70000"/>
                  <a:lumOff val="3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8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2">
                <a:lumMod val="70000"/>
                <a:lumOff val="30000"/>
              </a:schemeClr>
            </a:solidFill>
            <a:ln w="9525">
              <a:solidFill>
                <a:schemeClr val="accent2">
                  <a:lumMod val="70000"/>
                  <a:lumOff val="3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8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3">
                <a:lumMod val="70000"/>
                <a:lumOff val="30000"/>
              </a:schemeClr>
            </a:solidFill>
            <a:ln w="9525">
              <a:solidFill>
                <a:schemeClr val="accent3">
                  <a:lumMod val="70000"/>
                  <a:lumOff val="3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8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4">
                <a:lumMod val="70000"/>
                <a:lumOff val="30000"/>
              </a:schemeClr>
            </a:solidFill>
            <a:ln w="9525">
              <a:solidFill>
                <a:schemeClr val="accent4">
                  <a:lumMod val="70000"/>
                  <a:lumOff val="3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8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5">
                <a:lumMod val="70000"/>
                <a:lumOff val="30000"/>
              </a:schemeClr>
            </a:solidFill>
            <a:ln w="9525">
              <a:solidFill>
                <a:schemeClr val="accent5">
                  <a:lumMod val="70000"/>
                  <a:lumOff val="3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8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6">
                <a:lumMod val="70000"/>
                <a:lumOff val="30000"/>
              </a:schemeClr>
            </a:solidFill>
            <a:ln w="9525">
              <a:solidFill>
                <a:schemeClr val="accent6">
                  <a:lumMod val="70000"/>
                  <a:lumOff val="3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8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>
                <a:lumMod val="70000"/>
              </a:schemeClr>
            </a:solidFill>
            <a:ln w="9525">
              <a:solidFill>
                <a:schemeClr val="accent1">
                  <a:lumMod val="7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8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2">
                <a:lumMod val="70000"/>
              </a:schemeClr>
            </a:solidFill>
            <a:ln w="9525">
              <a:solidFill>
                <a:schemeClr val="accent2">
                  <a:lumMod val="7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8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3">
                <a:lumMod val="70000"/>
              </a:schemeClr>
            </a:solidFill>
            <a:ln w="9525">
              <a:solidFill>
                <a:schemeClr val="accent3">
                  <a:lumMod val="7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9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4">
                <a:lumMod val="70000"/>
              </a:schemeClr>
            </a:solidFill>
            <a:ln w="9525">
              <a:solidFill>
                <a:schemeClr val="accent4">
                  <a:lumMod val="7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9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5">
                <a:lumMod val="70000"/>
              </a:schemeClr>
            </a:solidFill>
            <a:ln w="9525">
              <a:solidFill>
                <a:schemeClr val="accent5">
                  <a:lumMod val="7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9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6">
                <a:lumMod val="70000"/>
              </a:schemeClr>
            </a:solidFill>
            <a:ln w="9525">
              <a:solidFill>
                <a:schemeClr val="accent6">
                  <a:lumMod val="7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9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>
                <a:lumMod val="50000"/>
                <a:lumOff val="50000"/>
              </a:schemeClr>
            </a:solidFill>
            <a:ln w="9525">
              <a:solidFill>
                <a:schemeClr val="accent1">
                  <a:lumMod val="50000"/>
                  <a:lumOff val="5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9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2">
                <a:lumMod val="50000"/>
                <a:lumOff val="50000"/>
              </a:schemeClr>
            </a:solidFill>
            <a:ln w="9525">
              <a:solidFill>
                <a:schemeClr val="accent2">
                  <a:lumMod val="50000"/>
                  <a:lumOff val="5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9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3">
                <a:lumMod val="50000"/>
                <a:lumOff val="50000"/>
              </a:schemeClr>
            </a:solidFill>
            <a:ln w="9525">
              <a:solidFill>
                <a:schemeClr val="accent3">
                  <a:lumMod val="50000"/>
                  <a:lumOff val="5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9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4">
                <a:lumMod val="50000"/>
                <a:lumOff val="50000"/>
              </a:schemeClr>
            </a:solidFill>
            <a:ln w="9525">
              <a:solidFill>
                <a:schemeClr val="accent4">
                  <a:lumMod val="50000"/>
                  <a:lumOff val="5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9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5">
                <a:lumMod val="50000"/>
                <a:lumOff val="50000"/>
              </a:schemeClr>
            </a:solidFill>
            <a:ln w="9525">
              <a:solidFill>
                <a:schemeClr val="accent5">
                  <a:lumMod val="50000"/>
                  <a:lumOff val="5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9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6">
                <a:lumMod val="50000"/>
                <a:lumOff val="50000"/>
              </a:schemeClr>
            </a:solidFill>
            <a:ln w="9525">
              <a:solidFill>
                <a:schemeClr val="accent6">
                  <a:lumMod val="50000"/>
                  <a:lumOff val="5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9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0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0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0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0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0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0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0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2">
                <a:lumMod val="60000"/>
              </a:schemeClr>
            </a:solidFill>
            <a:ln w="9525">
              <a:solidFill>
                <a:schemeClr val="accent2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0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3">
                <a:lumMod val="60000"/>
              </a:schemeClr>
            </a:solidFill>
            <a:ln w="9525">
              <a:solidFill>
                <a:schemeClr val="accent3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0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4">
                <a:lumMod val="60000"/>
              </a:schemeClr>
            </a:solidFill>
            <a:ln w="9525">
              <a:solidFill>
                <a:schemeClr val="accent4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0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5">
                <a:lumMod val="60000"/>
              </a:schemeClr>
            </a:solidFill>
            <a:ln w="9525">
              <a:solidFill>
                <a:schemeClr val="accent5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6">
                <a:lumMod val="60000"/>
              </a:schemeClr>
            </a:solidFill>
            <a:ln w="9525">
              <a:solidFill>
                <a:schemeClr val="accent6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>
                <a:lumMod val="80000"/>
                <a:lumOff val="20000"/>
              </a:schemeClr>
            </a:solidFill>
            <a:ln w="9525">
              <a:solidFill>
                <a:schemeClr val="accent1">
                  <a:lumMod val="80000"/>
                  <a:lumOff val="2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2">
                <a:lumMod val="80000"/>
                <a:lumOff val="20000"/>
              </a:schemeClr>
            </a:solidFill>
            <a:ln w="9525">
              <a:solidFill>
                <a:schemeClr val="accent2">
                  <a:lumMod val="80000"/>
                  <a:lumOff val="2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3">
                <a:lumMod val="80000"/>
                <a:lumOff val="20000"/>
              </a:schemeClr>
            </a:solidFill>
            <a:ln w="9525">
              <a:solidFill>
                <a:schemeClr val="accent3">
                  <a:lumMod val="80000"/>
                  <a:lumOff val="2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4">
                <a:lumMod val="80000"/>
                <a:lumOff val="20000"/>
              </a:schemeClr>
            </a:solidFill>
            <a:ln w="9525">
              <a:solidFill>
                <a:schemeClr val="accent4">
                  <a:lumMod val="80000"/>
                  <a:lumOff val="2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5">
                <a:lumMod val="80000"/>
                <a:lumOff val="20000"/>
              </a:schemeClr>
            </a:solidFill>
            <a:ln w="9525">
              <a:solidFill>
                <a:schemeClr val="accent5">
                  <a:lumMod val="80000"/>
                  <a:lumOff val="2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6">
                <a:lumMod val="80000"/>
                <a:lumOff val="20000"/>
              </a:schemeClr>
            </a:solidFill>
            <a:ln w="9525">
              <a:solidFill>
                <a:schemeClr val="accent6">
                  <a:lumMod val="80000"/>
                  <a:lumOff val="2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>
                <a:lumMod val="80000"/>
              </a:schemeClr>
            </a:solidFill>
            <a:ln w="9525">
              <a:solidFill>
                <a:schemeClr val="accent1">
                  <a:lumMod val="8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2">
                <a:lumMod val="80000"/>
              </a:schemeClr>
            </a:solidFill>
            <a:ln w="9525">
              <a:solidFill>
                <a:schemeClr val="accent2">
                  <a:lumMod val="8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3">
                <a:lumMod val="80000"/>
              </a:schemeClr>
            </a:solidFill>
            <a:ln w="9525">
              <a:solidFill>
                <a:schemeClr val="accent3">
                  <a:lumMod val="8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4">
                <a:lumMod val="80000"/>
              </a:schemeClr>
            </a:solidFill>
            <a:ln w="9525">
              <a:solidFill>
                <a:schemeClr val="accent4">
                  <a:lumMod val="8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5">
                <a:lumMod val="80000"/>
              </a:schemeClr>
            </a:solidFill>
            <a:ln w="9525">
              <a:solidFill>
                <a:schemeClr val="accent5">
                  <a:lumMod val="8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6">
                <a:lumMod val="80000"/>
              </a:schemeClr>
            </a:solidFill>
            <a:ln w="9525">
              <a:solidFill>
                <a:schemeClr val="accent6">
                  <a:lumMod val="8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>
                <a:lumMod val="60000"/>
                <a:lumOff val="40000"/>
              </a:schemeClr>
            </a:solidFill>
            <a:ln w="9525">
              <a:solidFill>
                <a:schemeClr val="accent1">
                  <a:lumMod val="60000"/>
                  <a:lumOff val="4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2">
                <a:lumMod val="60000"/>
                <a:lumOff val="40000"/>
              </a:schemeClr>
            </a:solidFill>
            <a:ln w="9525">
              <a:solidFill>
                <a:schemeClr val="accent2">
                  <a:lumMod val="60000"/>
                  <a:lumOff val="4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3">
                <a:lumMod val="60000"/>
                <a:lumOff val="40000"/>
              </a:schemeClr>
            </a:solidFill>
            <a:ln w="9525">
              <a:solidFill>
                <a:schemeClr val="accent3">
                  <a:lumMod val="60000"/>
                  <a:lumOff val="4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4">
                <a:lumMod val="60000"/>
                <a:lumOff val="40000"/>
              </a:schemeClr>
            </a:solidFill>
            <a:ln w="9525">
              <a:solidFill>
                <a:schemeClr val="accent4">
                  <a:lumMod val="60000"/>
                  <a:lumOff val="4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5">
                <a:lumMod val="60000"/>
                <a:lumOff val="40000"/>
              </a:schemeClr>
            </a:solidFill>
            <a:ln w="9525">
              <a:solidFill>
                <a:schemeClr val="accent5">
                  <a:lumMod val="60000"/>
                  <a:lumOff val="4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6">
                <a:lumMod val="60000"/>
                <a:lumOff val="40000"/>
              </a:schemeClr>
            </a:solidFill>
            <a:ln w="9525">
              <a:solidFill>
                <a:schemeClr val="accent6">
                  <a:lumMod val="60000"/>
                  <a:lumOff val="4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>
                <a:lumMod val="50000"/>
              </a:schemeClr>
            </a:solidFill>
            <a:ln w="9525">
              <a:solidFill>
                <a:schemeClr val="accent1">
                  <a:lumMod val="5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2">
                <a:lumMod val="50000"/>
              </a:schemeClr>
            </a:solidFill>
            <a:ln w="9525">
              <a:solidFill>
                <a:schemeClr val="accent2">
                  <a:lumMod val="5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3">
                <a:lumMod val="50000"/>
              </a:schemeClr>
            </a:solidFill>
            <a:ln w="9525">
              <a:solidFill>
                <a:schemeClr val="accent3">
                  <a:lumMod val="5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4">
                <a:lumMod val="50000"/>
              </a:schemeClr>
            </a:solidFill>
            <a:ln w="9525">
              <a:solidFill>
                <a:schemeClr val="accent4">
                  <a:lumMod val="5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5">
                <a:lumMod val="50000"/>
              </a:schemeClr>
            </a:solidFill>
            <a:ln w="9525">
              <a:solidFill>
                <a:schemeClr val="accent5">
                  <a:lumMod val="5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6">
                <a:lumMod val="50000"/>
              </a:schemeClr>
            </a:solidFill>
            <a:ln w="9525">
              <a:solidFill>
                <a:schemeClr val="accent6">
                  <a:lumMod val="5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>
                <a:lumMod val="70000"/>
                <a:lumOff val="30000"/>
              </a:schemeClr>
            </a:solidFill>
            <a:ln w="9525">
              <a:solidFill>
                <a:schemeClr val="accent1">
                  <a:lumMod val="70000"/>
                  <a:lumOff val="3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2">
                <a:lumMod val="70000"/>
                <a:lumOff val="30000"/>
              </a:schemeClr>
            </a:solidFill>
            <a:ln w="9525">
              <a:solidFill>
                <a:schemeClr val="accent2">
                  <a:lumMod val="70000"/>
                  <a:lumOff val="3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3">
                <a:lumMod val="70000"/>
                <a:lumOff val="30000"/>
              </a:schemeClr>
            </a:solidFill>
            <a:ln w="9525">
              <a:solidFill>
                <a:schemeClr val="accent3">
                  <a:lumMod val="70000"/>
                  <a:lumOff val="3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4">
                <a:lumMod val="70000"/>
                <a:lumOff val="30000"/>
              </a:schemeClr>
            </a:solidFill>
            <a:ln w="9525">
              <a:solidFill>
                <a:schemeClr val="accent4">
                  <a:lumMod val="70000"/>
                  <a:lumOff val="3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5">
                <a:lumMod val="70000"/>
                <a:lumOff val="30000"/>
              </a:schemeClr>
            </a:solidFill>
            <a:ln w="9525">
              <a:solidFill>
                <a:schemeClr val="accent5">
                  <a:lumMod val="70000"/>
                  <a:lumOff val="3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6">
                <a:lumMod val="70000"/>
                <a:lumOff val="30000"/>
              </a:schemeClr>
            </a:solidFill>
            <a:ln w="9525">
              <a:solidFill>
                <a:schemeClr val="accent6">
                  <a:lumMod val="70000"/>
                  <a:lumOff val="3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4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>
                <a:lumMod val="70000"/>
              </a:schemeClr>
            </a:solidFill>
            <a:ln w="9525">
              <a:solidFill>
                <a:schemeClr val="accent1">
                  <a:lumMod val="7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2">
                <a:lumMod val="70000"/>
              </a:schemeClr>
            </a:solidFill>
            <a:ln w="9525">
              <a:solidFill>
                <a:schemeClr val="accent2">
                  <a:lumMod val="7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3">
                <a:lumMod val="70000"/>
              </a:schemeClr>
            </a:solidFill>
            <a:ln w="9525">
              <a:solidFill>
                <a:schemeClr val="accent3">
                  <a:lumMod val="7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4">
                <a:lumMod val="70000"/>
              </a:schemeClr>
            </a:solidFill>
            <a:ln w="9525">
              <a:solidFill>
                <a:schemeClr val="accent4">
                  <a:lumMod val="7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4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5">
                <a:lumMod val="70000"/>
              </a:schemeClr>
            </a:solidFill>
            <a:ln w="9525">
              <a:solidFill>
                <a:schemeClr val="accent5">
                  <a:lumMod val="7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4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6">
                <a:lumMod val="70000"/>
              </a:schemeClr>
            </a:solidFill>
            <a:ln w="9525">
              <a:solidFill>
                <a:schemeClr val="accent6">
                  <a:lumMod val="7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4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>
                <a:lumMod val="50000"/>
                <a:lumOff val="50000"/>
              </a:schemeClr>
            </a:solidFill>
            <a:ln w="9525">
              <a:solidFill>
                <a:schemeClr val="accent1">
                  <a:lumMod val="50000"/>
                  <a:lumOff val="5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4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2">
                <a:lumMod val="50000"/>
                <a:lumOff val="50000"/>
              </a:schemeClr>
            </a:solidFill>
            <a:ln w="9525">
              <a:solidFill>
                <a:schemeClr val="accent2">
                  <a:lumMod val="50000"/>
                  <a:lumOff val="5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4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3">
                <a:lumMod val="50000"/>
                <a:lumOff val="50000"/>
              </a:schemeClr>
            </a:solidFill>
            <a:ln w="9525">
              <a:solidFill>
                <a:schemeClr val="accent3">
                  <a:lumMod val="50000"/>
                  <a:lumOff val="5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5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4">
                <a:lumMod val="50000"/>
                <a:lumOff val="50000"/>
              </a:schemeClr>
            </a:solidFill>
            <a:ln w="9525">
              <a:solidFill>
                <a:schemeClr val="accent4">
                  <a:lumMod val="50000"/>
                  <a:lumOff val="5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5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5">
                <a:lumMod val="50000"/>
                <a:lumOff val="50000"/>
              </a:schemeClr>
            </a:solidFill>
            <a:ln w="9525">
              <a:solidFill>
                <a:schemeClr val="accent5">
                  <a:lumMod val="50000"/>
                  <a:lumOff val="5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5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6">
                <a:lumMod val="50000"/>
                <a:lumOff val="50000"/>
              </a:schemeClr>
            </a:solidFill>
            <a:ln w="9525">
              <a:solidFill>
                <a:schemeClr val="accent6">
                  <a:lumMod val="50000"/>
                  <a:lumOff val="5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5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5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5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5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5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5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5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6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2">
                <a:lumMod val="60000"/>
              </a:schemeClr>
            </a:solidFill>
            <a:ln w="9525">
              <a:solidFill>
                <a:schemeClr val="accent2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6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3">
                <a:lumMod val="60000"/>
              </a:schemeClr>
            </a:solidFill>
            <a:ln w="9525">
              <a:solidFill>
                <a:schemeClr val="accent3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6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4">
                <a:lumMod val="60000"/>
              </a:schemeClr>
            </a:solidFill>
            <a:ln w="9525">
              <a:solidFill>
                <a:schemeClr val="accent4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6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5">
                <a:lumMod val="60000"/>
              </a:schemeClr>
            </a:solidFill>
            <a:ln w="9525">
              <a:solidFill>
                <a:schemeClr val="accent5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6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6">
                <a:lumMod val="60000"/>
              </a:schemeClr>
            </a:solidFill>
            <a:ln w="9525">
              <a:solidFill>
                <a:schemeClr val="accent6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6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>
                <a:lumMod val="80000"/>
                <a:lumOff val="20000"/>
              </a:schemeClr>
            </a:solidFill>
            <a:ln w="9525">
              <a:solidFill>
                <a:schemeClr val="accent1">
                  <a:lumMod val="80000"/>
                  <a:lumOff val="2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6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2">
                <a:lumMod val="80000"/>
                <a:lumOff val="20000"/>
              </a:schemeClr>
            </a:solidFill>
            <a:ln w="9525">
              <a:solidFill>
                <a:schemeClr val="accent2">
                  <a:lumMod val="80000"/>
                  <a:lumOff val="2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6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3">
                <a:lumMod val="80000"/>
                <a:lumOff val="20000"/>
              </a:schemeClr>
            </a:solidFill>
            <a:ln w="9525">
              <a:solidFill>
                <a:schemeClr val="accent3">
                  <a:lumMod val="80000"/>
                  <a:lumOff val="2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6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4">
                <a:lumMod val="80000"/>
                <a:lumOff val="20000"/>
              </a:schemeClr>
            </a:solidFill>
            <a:ln w="9525">
              <a:solidFill>
                <a:schemeClr val="accent4">
                  <a:lumMod val="80000"/>
                  <a:lumOff val="2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6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5">
                <a:lumMod val="80000"/>
                <a:lumOff val="20000"/>
              </a:schemeClr>
            </a:solidFill>
            <a:ln w="9525">
              <a:solidFill>
                <a:schemeClr val="accent5">
                  <a:lumMod val="80000"/>
                  <a:lumOff val="2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7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6">
                <a:lumMod val="80000"/>
                <a:lumOff val="20000"/>
              </a:schemeClr>
            </a:solidFill>
            <a:ln w="9525">
              <a:solidFill>
                <a:schemeClr val="accent6">
                  <a:lumMod val="80000"/>
                  <a:lumOff val="2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7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>
                <a:lumMod val="80000"/>
              </a:schemeClr>
            </a:solidFill>
            <a:ln w="9525">
              <a:solidFill>
                <a:schemeClr val="accent1">
                  <a:lumMod val="8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7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2">
                <a:lumMod val="80000"/>
              </a:schemeClr>
            </a:solidFill>
            <a:ln w="9525">
              <a:solidFill>
                <a:schemeClr val="accent2">
                  <a:lumMod val="8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7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3">
                <a:lumMod val="80000"/>
              </a:schemeClr>
            </a:solidFill>
            <a:ln w="9525">
              <a:solidFill>
                <a:schemeClr val="accent3">
                  <a:lumMod val="8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7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4">
                <a:lumMod val="80000"/>
              </a:schemeClr>
            </a:solidFill>
            <a:ln w="9525">
              <a:solidFill>
                <a:schemeClr val="accent4">
                  <a:lumMod val="8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7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5">
                <a:lumMod val="80000"/>
              </a:schemeClr>
            </a:solidFill>
            <a:ln w="9525">
              <a:solidFill>
                <a:schemeClr val="accent5">
                  <a:lumMod val="8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7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6">
                <a:lumMod val="80000"/>
              </a:schemeClr>
            </a:solidFill>
            <a:ln w="9525">
              <a:solidFill>
                <a:schemeClr val="accent6">
                  <a:lumMod val="8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7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>
                <a:lumMod val="60000"/>
                <a:lumOff val="40000"/>
              </a:schemeClr>
            </a:solidFill>
            <a:ln w="9525">
              <a:solidFill>
                <a:schemeClr val="accent1">
                  <a:lumMod val="60000"/>
                  <a:lumOff val="4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7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2">
                <a:lumMod val="60000"/>
                <a:lumOff val="40000"/>
              </a:schemeClr>
            </a:solidFill>
            <a:ln w="9525">
              <a:solidFill>
                <a:schemeClr val="accent2">
                  <a:lumMod val="60000"/>
                  <a:lumOff val="4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7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3">
                <a:lumMod val="60000"/>
                <a:lumOff val="40000"/>
              </a:schemeClr>
            </a:solidFill>
            <a:ln w="9525">
              <a:solidFill>
                <a:schemeClr val="accent3">
                  <a:lumMod val="60000"/>
                  <a:lumOff val="4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8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4">
                <a:lumMod val="60000"/>
                <a:lumOff val="40000"/>
              </a:schemeClr>
            </a:solidFill>
            <a:ln w="9525">
              <a:solidFill>
                <a:schemeClr val="accent4">
                  <a:lumMod val="60000"/>
                  <a:lumOff val="4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8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5">
                <a:lumMod val="60000"/>
                <a:lumOff val="40000"/>
              </a:schemeClr>
            </a:solidFill>
            <a:ln w="9525">
              <a:solidFill>
                <a:schemeClr val="accent5">
                  <a:lumMod val="60000"/>
                  <a:lumOff val="4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8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8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8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8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8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8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8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8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9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9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9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9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9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9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9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9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9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9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0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0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0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0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0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0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0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0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0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0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4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4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4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4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4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4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5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5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5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5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5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5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5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5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5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5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6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6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6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6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6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6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6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6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6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6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7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7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7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7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7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7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7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7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7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7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8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8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8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8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8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8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8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8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8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8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9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9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9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9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9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9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9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9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9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9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0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0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0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0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0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0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0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0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0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0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4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4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4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4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4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4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5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5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5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5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5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5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5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5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5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5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6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6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6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6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6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6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6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6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6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6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7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7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7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7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'Sentiment Trends Over Time (201'!$B$3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'Sentiment Trends Over Time (201'!$A$4:$A$16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'Sentiment Trends Over Time (201'!$B$4:$B$16</c:f>
              <c:numCache>
                <c:formatCode>General</c:formatCode>
                <c:ptCount val="12"/>
                <c:pt idx="0">
                  <c:v>82</c:v>
                </c:pt>
                <c:pt idx="1">
                  <c:v>85</c:v>
                </c:pt>
                <c:pt idx="2">
                  <c:v>44</c:v>
                </c:pt>
                <c:pt idx="3">
                  <c:v>51</c:v>
                </c:pt>
                <c:pt idx="4">
                  <c:v>46</c:v>
                </c:pt>
                <c:pt idx="5">
                  <c:v>71</c:v>
                </c:pt>
                <c:pt idx="6">
                  <c:v>62</c:v>
                </c:pt>
                <c:pt idx="7">
                  <c:v>78</c:v>
                </c:pt>
                <c:pt idx="8">
                  <c:v>77</c:v>
                </c:pt>
                <c:pt idx="9">
                  <c:v>48</c:v>
                </c:pt>
                <c:pt idx="10">
                  <c:v>49</c:v>
                </c:pt>
                <c:pt idx="11">
                  <c:v>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F-4255-4595-960B-6A103A368B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9865424"/>
        <c:axId val="619618824"/>
      </c:lineChart>
      <c:catAx>
        <c:axId val="519865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9618824"/>
        <c:crosses val="autoZero"/>
        <c:auto val="1"/>
        <c:lblAlgn val="ctr"/>
        <c:lblOffset val="100"/>
        <c:noMultiLvlLbl val="0"/>
      </c:catAx>
      <c:valAx>
        <c:axId val="6196188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9865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[3) Sentiment dataset - Codeveda Project Emmanuel Ayodele.xlsx]Platform Performance Metrics!PivotTable2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ysClr val="windowText" lastClr="000000"/>
                </a:solidFill>
              </a:rPr>
              <a:t>Total Likes vs. Retweets by Social Channel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'Platform Performance Metrics'!$B$3</c:f>
              <c:strCache>
                <c:ptCount val="1"/>
                <c:pt idx="0">
                  <c:v>Sum of Likes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'Platform Performance Metrics'!$A$4:$A$8</c:f>
              <c:strCache>
                <c:ptCount val="4"/>
                <c:pt idx="0">
                  <c:v> Facebook </c:v>
                </c:pt>
                <c:pt idx="1">
                  <c:v> Instagram </c:v>
                </c:pt>
                <c:pt idx="2">
                  <c:v> Twitter </c:v>
                </c:pt>
                <c:pt idx="3">
                  <c:v> Twitter  </c:v>
                </c:pt>
              </c:strCache>
            </c:strRef>
          </c:cat>
          <c:val>
            <c:numRef>
              <c:f>'Platform Performance Metrics'!$B$4:$B$8</c:f>
              <c:numCache>
                <c:formatCode>General</c:formatCode>
                <c:ptCount val="4"/>
                <c:pt idx="0">
                  <c:v>9672</c:v>
                </c:pt>
                <c:pt idx="1">
                  <c:v>11633</c:v>
                </c:pt>
                <c:pt idx="2">
                  <c:v>5809</c:v>
                </c:pt>
                <c:pt idx="3">
                  <c:v>4290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7C-43F5-ADF9-DBBF1BE1B50E}"/>
            </c:ext>
          </c:extLst>
        </c:ser>
        <c:ser>
          <c:idx val="1"/>
          <c:order val="1"/>
          <c:tx>
            <c:strRef>
              <c:f>'Platform Performance Metrics'!$C$3</c:f>
              <c:strCache>
                <c:ptCount val="1"/>
                <c:pt idx="0">
                  <c:v>Sum of Retweets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'Platform Performance Metrics'!$A$4:$A$8</c:f>
              <c:strCache>
                <c:ptCount val="4"/>
                <c:pt idx="0">
                  <c:v> Facebook </c:v>
                </c:pt>
                <c:pt idx="1">
                  <c:v> Instagram </c:v>
                </c:pt>
                <c:pt idx="2">
                  <c:v> Twitter </c:v>
                </c:pt>
                <c:pt idx="3">
                  <c:v> Twitter  </c:v>
                </c:pt>
              </c:strCache>
            </c:strRef>
          </c:cat>
          <c:val>
            <c:numRef>
              <c:f>'Platform Performance Metrics'!$C$4:$C$8</c:f>
              <c:numCache>
                <c:formatCode>General</c:formatCode>
                <c:ptCount val="4"/>
                <c:pt idx="0">
                  <c:v>4844</c:v>
                </c:pt>
                <c:pt idx="1">
                  <c:v>5831</c:v>
                </c:pt>
                <c:pt idx="2">
                  <c:v>2918</c:v>
                </c:pt>
                <c:pt idx="3">
                  <c:v>2151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B7C-43F5-ADF9-DBBF1BE1B5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7773008"/>
        <c:axId val="387771928"/>
      </c:barChart>
      <c:catAx>
        <c:axId val="387773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771928"/>
        <c:crosses val="autoZero"/>
        <c:auto val="1"/>
        <c:lblAlgn val="ctr"/>
        <c:lblOffset val="100"/>
        <c:noMultiLvlLbl val="0"/>
      </c:catAx>
      <c:valAx>
        <c:axId val="3877719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773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[3) Sentiment dataset - Codeveda Project Emmanuel Ayodele.xlsx]Emotional Distribution by Ctry!PivotTable2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solidFill>
                  <a:sysClr val="windowText" lastClr="000000"/>
                </a:solidFill>
              </a:rPr>
              <a:t>A Day-by-Day Emotional Distribution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'Emotional Distribution by Ctry'!$B$3:$B$4</c:f>
              <c:strCache>
                <c:ptCount val="1"/>
                <c:pt idx="0">
                  <c:v>Acceptance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Ctry'!$B$5:$B$10</c:f>
              <c:numCache>
                <c:formatCode>General</c:formatCode>
                <c:ptCount val="5"/>
                <c:pt idx="0">
                  <c:v>4</c:v>
                </c:pt>
                <c:pt idx="1">
                  <c:v>3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00-46B1-8440-05E62C7A0445}"/>
            </c:ext>
          </c:extLst>
        </c:ser>
        <c:ser>
          <c:idx val="1"/>
          <c:order val="1"/>
          <c:tx>
            <c:strRef>
              <c:f>'Emotional Distribution by Ctry'!$C$3:$C$4</c:f>
              <c:strCache>
                <c:ptCount val="1"/>
                <c:pt idx="0">
                  <c:v>Accomplishment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Ctry'!$C$5:$C$10</c:f>
              <c:numCache>
                <c:formatCode>General</c:formatCode>
                <c:ptCount val="5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00-46B1-8440-05E62C7A0445}"/>
            </c:ext>
          </c:extLst>
        </c:ser>
        <c:ser>
          <c:idx val="2"/>
          <c:order val="2"/>
          <c:tx>
            <c:strRef>
              <c:f>'Emotional Distribution by Ctry'!$D$3:$D$4</c:f>
              <c:strCache>
                <c:ptCount val="1"/>
                <c:pt idx="0">
                  <c:v>Admiration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Ctry'!$D$5:$D$10</c:f>
              <c:numCache>
                <c:formatCode>General</c:formatCode>
                <c:ptCount val="5"/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200-46B1-8440-05E62C7A0445}"/>
            </c:ext>
          </c:extLst>
        </c:ser>
        <c:ser>
          <c:idx val="3"/>
          <c:order val="3"/>
          <c:tx>
            <c:strRef>
              <c:f>'Emotional Distribution by Ctry'!$E$3:$E$4</c:f>
              <c:strCache>
                <c:ptCount val="1"/>
                <c:pt idx="0">
                  <c:v>Adoration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Ctry'!$E$5:$E$10</c:f>
              <c:numCache>
                <c:formatCode>General</c:formatCode>
                <c:ptCount val="5"/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200-46B1-8440-05E62C7A0445}"/>
            </c:ext>
          </c:extLst>
        </c:ser>
        <c:ser>
          <c:idx val="4"/>
          <c:order val="4"/>
          <c:tx>
            <c:strRef>
              <c:f>'Emotional Distribution by Ctry'!$F$3:$F$4</c:f>
              <c:strCache>
                <c:ptCount val="1"/>
                <c:pt idx="0">
                  <c:v>Adrenaline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Ctry'!$F$5:$F$10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4-F200-46B1-8440-05E62C7A0445}"/>
            </c:ext>
          </c:extLst>
        </c:ser>
        <c:ser>
          <c:idx val="5"/>
          <c:order val="5"/>
          <c:tx>
            <c:strRef>
              <c:f>'Emotional Distribution by Ctry'!$G$3:$G$4</c:f>
              <c:strCache>
                <c:ptCount val="1"/>
                <c:pt idx="0">
                  <c:v>Adventure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Ctry'!$G$5:$G$10</c:f>
              <c:numCache>
                <c:formatCode>General</c:formatCode>
                <c:ptCount val="5"/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200-46B1-8440-05E62C7A0445}"/>
            </c:ext>
          </c:extLst>
        </c:ser>
        <c:ser>
          <c:idx val="6"/>
          <c:order val="6"/>
          <c:tx>
            <c:strRef>
              <c:f>'Emotional Distribution by Ctry'!$H$3:$H$4</c:f>
              <c:strCache>
                <c:ptCount val="1"/>
                <c:pt idx="0">
                  <c:v>Affection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Ctry'!$H$5:$H$10</c:f>
              <c:numCache>
                <c:formatCode>General</c:formatCode>
                <c:ptCount val="5"/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200-46B1-8440-05E62C7A0445}"/>
            </c:ext>
          </c:extLst>
        </c:ser>
        <c:ser>
          <c:idx val="7"/>
          <c:order val="7"/>
          <c:tx>
            <c:strRef>
              <c:f>'Emotional Distribution by Ctry'!$I$3:$I$4</c:f>
              <c:strCache>
                <c:ptCount val="1"/>
                <c:pt idx="0">
                  <c:v>Amazement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Ctry'!$I$5:$I$10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7-F200-46B1-8440-05E62C7A0445}"/>
            </c:ext>
          </c:extLst>
        </c:ser>
        <c:ser>
          <c:idx val="8"/>
          <c:order val="8"/>
          <c:tx>
            <c:strRef>
              <c:f>'Emotional Distribution by Ctry'!$J$3:$J$4</c:f>
              <c:strCache>
                <c:ptCount val="1"/>
                <c:pt idx="0">
                  <c:v>Ambivalence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Ctry'!$J$5:$J$10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200-46B1-8440-05E62C7A0445}"/>
            </c:ext>
          </c:extLst>
        </c:ser>
        <c:ser>
          <c:idx val="9"/>
          <c:order val="9"/>
          <c:tx>
            <c:strRef>
              <c:f>'Emotional Distribution by Ctry'!$K$3:$K$4</c:f>
              <c:strCache>
                <c:ptCount val="1"/>
                <c:pt idx="0">
                  <c:v>Amusement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Ctry'!$K$5:$K$10</c:f>
              <c:numCache>
                <c:formatCode>General</c:formatCode>
                <c:ptCount val="5"/>
                <c:pt idx="1">
                  <c:v>1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F200-46B1-8440-05E62C7A0445}"/>
            </c:ext>
          </c:extLst>
        </c:ser>
        <c:ser>
          <c:idx val="10"/>
          <c:order val="10"/>
          <c:tx>
            <c:strRef>
              <c:f>'Emotional Distribution by Ctry'!$L$3:$L$4</c:f>
              <c:strCache>
                <c:ptCount val="1"/>
                <c:pt idx="0">
                  <c:v>Anger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Ctry'!$L$5:$L$10</c:f>
              <c:numCache>
                <c:formatCode>General</c:formatCode>
                <c:ptCount val="5"/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200-46B1-8440-05E62C7A0445}"/>
            </c:ext>
          </c:extLst>
        </c:ser>
        <c:ser>
          <c:idx val="11"/>
          <c:order val="11"/>
          <c:tx>
            <c:strRef>
              <c:f>'Emotional Distribution by Ctry'!$M$3:$M$4</c:f>
              <c:strCache>
                <c:ptCount val="1"/>
                <c:pt idx="0">
                  <c:v>Anticipation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Ctry'!$M$5:$M$10</c:f>
              <c:numCache>
                <c:formatCode>General</c:formatCode>
                <c:ptCount val="5"/>
                <c:pt idx="0">
                  <c:v>1</c:v>
                </c:pt>
                <c:pt idx="2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F200-46B1-8440-05E62C7A0445}"/>
            </c:ext>
          </c:extLst>
        </c:ser>
        <c:ser>
          <c:idx val="12"/>
          <c:order val="12"/>
          <c:tx>
            <c:strRef>
              <c:f>'Emotional Distribution by Ctry'!$N$3:$N$4</c:f>
              <c:strCache>
                <c:ptCount val="1"/>
                <c:pt idx="0">
                  <c:v>Anxiety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Ctry'!$N$5:$N$10</c:f>
              <c:numCache>
                <c:formatCode>General</c:formatCode>
                <c:ptCount val="5"/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F200-46B1-8440-05E62C7A0445}"/>
            </c:ext>
          </c:extLst>
        </c:ser>
        <c:ser>
          <c:idx val="13"/>
          <c:order val="13"/>
          <c:tx>
            <c:strRef>
              <c:f>'Emotional Distribution by Ctry'!$O$3:$O$4</c:f>
              <c:strCache>
                <c:ptCount val="1"/>
                <c:pt idx="0">
                  <c:v>Appreciation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Ctry'!$O$5:$O$10</c:f>
              <c:numCache>
                <c:formatCode>General</c:formatCode>
                <c:ptCount val="5"/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F200-46B1-8440-05E62C7A0445}"/>
            </c:ext>
          </c:extLst>
        </c:ser>
        <c:ser>
          <c:idx val="14"/>
          <c:order val="14"/>
          <c:tx>
            <c:strRef>
              <c:f>'Emotional Distribution by Ctry'!$P$3:$P$4</c:f>
              <c:strCache>
                <c:ptCount val="1"/>
                <c:pt idx="0">
                  <c:v>Apprehensive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Ctry'!$P$5:$P$10</c:f>
              <c:numCache>
                <c:formatCode>General</c:formatCode>
                <c:ptCount val="5"/>
                <c:pt idx="1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F200-46B1-8440-05E62C7A0445}"/>
            </c:ext>
          </c:extLst>
        </c:ser>
        <c:ser>
          <c:idx val="15"/>
          <c:order val="15"/>
          <c:tx>
            <c:strRef>
              <c:f>'Emotional Distribution by Ctry'!$Q$3:$Q$4</c:f>
              <c:strCache>
                <c:ptCount val="1"/>
                <c:pt idx="0">
                  <c:v>Arousal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Ctry'!$Q$5:$Q$10</c:f>
              <c:numCache>
                <c:formatCode>General</c:formatCode>
                <c:ptCount val="5"/>
                <c:pt idx="0">
                  <c:v>2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F200-46B1-8440-05E62C7A0445}"/>
            </c:ext>
          </c:extLst>
        </c:ser>
        <c:ser>
          <c:idx val="16"/>
          <c:order val="16"/>
          <c:tx>
            <c:strRef>
              <c:f>'Emotional Distribution by Ctry'!$R$3:$R$4</c:f>
              <c:strCache>
                <c:ptCount val="1"/>
                <c:pt idx="0">
                  <c:v>ArtisticBurst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Ctry'!$R$5:$R$10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10-F200-46B1-8440-05E62C7A0445}"/>
            </c:ext>
          </c:extLst>
        </c:ser>
        <c:ser>
          <c:idx val="17"/>
          <c:order val="17"/>
          <c:tx>
            <c:strRef>
              <c:f>'Emotional Distribution by Ctry'!$S$3:$S$4</c:f>
              <c:strCache>
                <c:ptCount val="1"/>
                <c:pt idx="0">
                  <c:v>Awe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Ctry'!$S$5:$S$10</c:f>
              <c:numCache>
                <c:formatCode>General</c:formatCode>
                <c:ptCount val="5"/>
                <c:pt idx="0">
                  <c:v>2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F200-46B1-8440-05E62C7A0445}"/>
            </c:ext>
          </c:extLst>
        </c:ser>
        <c:ser>
          <c:idx val="18"/>
          <c:order val="18"/>
          <c:tx>
            <c:strRef>
              <c:f>'Emotional Distribution by Ctry'!$T$3:$T$4</c:f>
              <c:strCache>
                <c:ptCount val="1"/>
                <c:pt idx="0">
                  <c:v>Bad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Ctry'!$T$5:$T$10</c:f>
              <c:numCache>
                <c:formatCode>General</c:formatCode>
                <c:ptCount val="5"/>
                <c:pt idx="1">
                  <c:v>2</c:v>
                </c:pt>
                <c:pt idx="3">
                  <c:v>2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F200-46B1-8440-05E62C7A0445}"/>
            </c:ext>
          </c:extLst>
        </c:ser>
        <c:ser>
          <c:idx val="19"/>
          <c:order val="19"/>
          <c:tx>
            <c:strRef>
              <c:f>'Emotional Distribution by Ctry'!$U$3:$U$4</c:f>
              <c:strCache>
                <c:ptCount val="1"/>
                <c:pt idx="0">
                  <c:v>Betrayal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Ctry'!$U$5:$U$10</c:f>
              <c:numCache>
                <c:formatCode>General</c:formatCode>
                <c:ptCount val="5"/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F200-46B1-8440-05E62C7A0445}"/>
            </c:ext>
          </c:extLst>
        </c:ser>
        <c:ser>
          <c:idx val="20"/>
          <c:order val="20"/>
          <c:tx>
            <c:strRef>
              <c:f>'Emotional Distribution by Ctry'!$V$3:$V$4</c:f>
              <c:strCache>
                <c:ptCount val="1"/>
                <c:pt idx="0">
                  <c:v>Bitter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Ctry'!$V$5:$V$10</c:f>
              <c:numCache>
                <c:formatCode>General</c:formatCode>
                <c:ptCount val="5"/>
                <c:pt idx="1">
                  <c:v>1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F200-46B1-8440-05E62C7A0445}"/>
            </c:ext>
          </c:extLst>
        </c:ser>
        <c:ser>
          <c:idx val="21"/>
          <c:order val="21"/>
          <c:tx>
            <c:strRef>
              <c:f>'Emotional Distribution by Ctry'!$W$3:$W$4</c:f>
              <c:strCache>
                <c:ptCount val="1"/>
                <c:pt idx="0">
                  <c:v>Bitterness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Ctry'!$W$5:$W$10</c:f>
              <c:numCache>
                <c:formatCode>General</c:formatCode>
                <c:ptCount val="5"/>
                <c:pt idx="0">
                  <c:v>1</c:v>
                </c:pt>
                <c:pt idx="2">
                  <c:v>1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F200-46B1-8440-05E62C7A0445}"/>
            </c:ext>
          </c:extLst>
        </c:ser>
        <c:ser>
          <c:idx val="22"/>
          <c:order val="22"/>
          <c:tx>
            <c:strRef>
              <c:f>'Emotional Distribution by Ctry'!$X$3:$X$4</c:f>
              <c:strCache>
                <c:ptCount val="1"/>
                <c:pt idx="0">
                  <c:v>Bittersweet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Ctry'!$X$5:$X$10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16-F200-46B1-8440-05E62C7A0445}"/>
            </c:ext>
          </c:extLst>
        </c:ser>
        <c:ser>
          <c:idx val="23"/>
          <c:order val="23"/>
          <c:tx>
            <c:strRef>
              <c:f>'Emotional Distribution by Ctry'!$Y$3:$Y$4</c:f>
              <c:strCache>
                <c:ptCount val="1"/>
                <c:pt idx="0">
                  <c:v>Blessed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Ctry'!$Y$5:$Y$10</c:f>
              <c:numCache>
                <c:formatCode>General</c:formatCode>
                <c:ptCount val="5"/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F200-46B1-8440-05E62C7A0445}"/>
            </c:ext>
          </c:extLst>
        </c:ser>
        <c:ser>
          <c:idx val="24"/>
          <c:order val="24"/>
          <c:tx>
            <c:strRef>
              <c:f>'Emotional Distribution by Ctry'!$Z$3:$Z$4</c:f>
              <c:strCache>
                <c:ptCount val="1"/>
                <c:pt idx="0">
                  <c:v>Boredom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Ctry'!$Z$5:$Z$10</c:f>
              <c:numCache>
                <c:formatCode>General</c:formatCode>
                <c:ptCount val="5"/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200-46B1-8440-05E62C7A0445}"/>
            </c:ext>
          </c:extLst>
        </c:ser>
        <c:ser>
          <c:idx val="25"/>
          <c:order val="25"/>
          <c:tx>
            <c:strRef>
              <c:f>'Emotional Distribution by Ctry'!$AA$3:$AA$4</c:f>
              <c:strCache>
                <c:ptCount val="1"/>
                <c:pt idx="0">
                  <c:v>Breakthrough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Ctry'!$AA$5:$AA$10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19-F200-46B1-8440-05E62C7A0445}"/>
            </c:ext>
          </c:extLst>
        </c:ser>
        <c:ser>
          <c:idx val="26"/>
          <c:order val="26"/>
          <c:tx>
            <c:strRef>
              <c:f>'Emotional Distribution by Ctry'!$AB$3:$AB$4</c:f>
              <c:strCache>
                <c:ptCount val="1"/>
                <c:pt idx="0">
                  <c:v>Calmness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Ctry'!$AB$5:$AB$10</c:f>
              <c:numCache>
                <c:formatCode>General</c:formatCode>
                <c:ptCount val="5"/>
                <c:pt idx="0">
                  <c:v>1</c:v>
                </c:pt>
                <c:pt idx="2">
                  <c:v>2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F200-46B1-8440-05E62C7A0445}"/>
            </c:ext>
          </c:extLst>
        </c:ser>
        <c:ser>
          <c:idx val="27"/>
          <c:order val="27"/>
          <c:tx>
            <c:strRef>
              <c:f>'Emotional Distribution by Ctry'!$AC$3:$AC$4</c:f>
              <c:strCache>
                <c:ptCount val="1"/>
                <c:pt idx="0">
                  <c:v>Captivation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Ctry'!$AC$5:$AC$10</c:f>
              <c:numCache>
                <c:formatCode>General</c:formatCode>
                <c:ptCount val="5"/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F200-46B1-8440-05E62C7A0445}"/>
            </c:ext>
          </c:extLst>
        </c:ser>
        <c:ser>
          <c:idx val="28"/>
          <c:order val="28"/>
          <c:tx>
            <c:strRef>
              <c:f>'Emotional Distribution by Ctry'!$AD$3:$AD$4</c:f>
              <c:strCache>
                <c:ptCount val="1"/>
                <c:pt idx="0">
                  <c:v>Celebration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Ctry'!$AD$5:$AD$10</c:f>
              <c:numCache>
                <c:formatCode>General</c:formatCode>
                <c:ptCount val="5"/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F200-46B1-8440-05E62C7A0445}"/>
            </c:ext>
          </c:extLst>
        </c:ser>
        <c:ser>
          <c:idx val="29"/>
          <c:order val="29"/>
          <c:tx>
            <c:strRef>
              <c:f>'Emotional Distribution by Ctry'!$AE$3:$AE$4</c:f>
              <c:strCache>
                <c:ptCount val="1"/>
                <c:pt idx="0">
                  <c:v>Celestial Wonder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Ctry'!$AE$5:$AE$10</c:f>
              <c:numCache>
                <c:formatCode>General</c:formatCode>
                <c:ptCount val="5"/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F200-46B1-8440-05E62C7A0445}"/>
            </c:ext>
          </c:extLst>
        </c:ser>
        <c:ser>
          <c:idx val="30"/>
          <c:order val="30"/>
          <c:tx>
            <c:strRef>
              <c:f>'Emotional Distribution by Ctry'!$AF$3:$AF$4</c:f>
              <c:strCache>
                <c:ptCount val="1"/>
                <c:pt idx="0">
                  <c:v>Challenge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Ctry'!$AF$5:$AF$10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1E-F200-46B1-8440-05E62C7A0445}"/>
            </c:ext>
          </c:extLst>
        </c:ser>
        <c:ser>
          <c:idx val="31"/>
          <c:order val="31"/>
          <c:tx>
            <c:strRef>
              <c:f>'Emotional Distribution by Ctry'!$AG$3:$AG$4</c:f>
              <c:strCache>
                <c:ptCount val="1"/>
                <c:pt idx="0">
                  <c:v>Charm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Ctry'!$AG$5:$AG$10</c:f>
              <c:numCache>
                <c:formatCode>General</c:formatCode>
                <c:ptCount val="5"/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F200-46B1-8440-05E62C7A0445}"/>
            </c:ext>
          </c:extLst>
        </c:ser>
        <c:ser>
          <c:idx val="32"/>
          <c:order val="32"/>
          <c:tx>
            <c:strRef>
              <c:f>'Emotional Distribution by Ctry'!$AH$3:$AH$4</c:f>
              <c:strCache>
                <c:ptCount val="1"/>
                <c:pt idx="0">
                  <c:v>Colorful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Ctry'!$AH$5:$AH$10</c:f>
              <c:numCache>
                <c:formatCode>General</c:formatCode>
                <c:ptCount val="5"/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F200-46B1-8440-05E62C7A0445}"/>
            </c:ext>
          </c:extLst>
        </c:ser>
        <c:ser>
          <c:idx val="33"/>
          <c:order val="33"/>
          <c:tx>
            <c:strRef>
              <c:f>'Emotional Distribution by Ctry'!$AI$3:$AI$4</c:f>
              <c:strCache>
                <c:ptCount val="1"/>
                <c:pt idx="0">
                  <c:v>Compassion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Ctry'!$AI$5:$AI$10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F200-46B1-8440-05E62C7A0445}"/>
            </c:ext>
          </c:extLst>
        </c:ser>
        <c:ser>
          <c:idx val="34"/>
          <c:order val="34"/>
          <c:tx>
            <c:strRef>
              <c:f>'Emotional Distribution by Ctry'!$AJ$3:$AJ$4</c:f>
              <c:strCache>
                <c:ptCount val="1"/>
                <c:pt idx="0">
                  <c:v>Compassionate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Ctry'!$AJ$5:$AJ$10</c:f>
              <c:numCache>
                <c:formatCode>General</c:formatCode>
                <c:ptCount val="5"/>
                <c:pt idx="0">
                  <c:v>1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F200-46B1-8440-05E62C7A0445}"/>
            </c:ext>
          </c:extLst>
        </c:ser>
        <c:ser>
          <c:idx val="35"/>
          <c:order val="35"/>
          <c:tx>
            <c:strRef>
              <c:f>'Emotional Distribution by Ctry'!$AK$3:$AK$4</c:f>
              <c:strCache>
                <c:ptCount val="1"/>
                <c:pt idx="0">
                  <c:v>Confidence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Ctry'!$AK$5:$AK$10</c:f>
              <c:numCache>
                <c:formatCode>General</c:formatCode>
                <c:ptCount val="5"/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F200-46B1-8440-05E62C7A0445}"/>
            </c:ext>
          </c:extLst>
        </c:ser>
        <c:ser>
          <c:idx val="36"/>
          <c:order val="36"/>
          <c:tx>
            <c:strRef>
              <c:f>'Emotional Distribution by Ctry'!$AL$3:$AL$4</c:f>
              <c:strCache>
                <c:ptCount val="1"/>
                <c:pt idx="0">
                  <c:v>Confident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Ctry'!$AL$5:$AL$10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F200-46B1-8440-05E62C7A0445}"/>
            </c:ext>
          </c:extLst>
        </c:ser>
        <c:ser>
          <c:idx val="37"/>
          <c:order val="37"/>
          <c:tx>
            <c:strRef>
              <c:f>'Emotional Distribution by Ctry'!$AM$3:$AM$4</c:f>
              <c:strCache>
                <c:ptCount val="1"/>
                <c:pt idx="0">
                  <c:v>Confusion</c:v>
                </c:pt>
              </c:strCache>
            </c:strRef>
          </c:tx>
          <c:spPr>
            <a:solidFill>
              <a:schemeClr val="accent2">
                <a:lumMod val="70000"/>
                <a:lumOff val="3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Ctry'!$AM$5:$AM$10</c:f>
              <c:numCache>
                <c:formatCode>General</c:formatCode>
                <c:ptCount val="5"/>
                <c:pt idx="0">
                  <c:v>3</c:v>
                </c:pt>
                <c:pt idx="3">
                  <c:v>4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F200-46B1-8440-05E62C7A0445}"/>
            </c:ext>
          </c:extLst>
        </c:ser>
        <c:ser>
          <c:idx val="38"/>
          <c:order val="38"/>
          <c:tx>
            <c:strRef>
              <c:f>'Emotional Distribution by Ctry'!$AN$3:$AN$4</c:f>
              <c:strCache>
                <c:ptCount val="1"/>
                <c:pt idx="0">
                  <c:v>Connection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Ctry'!$AN$5:$AN$10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26-F200-46B1-8440-05E62C7A0445}"/>
            </c:ext>
          </c:extLst>
        </c:ser>
        <c:ser>
          <c:idx val="39"/>
          <c:order val="39"/>
          <c:tx>
            <c:strRef>
              <c:f>'Emotional Distribution by Ctry'!$AO$3:$AO$4</c:f>
              <c:strCache>
                <c:ptCount val="1"/>
                <c:pt idx="0">
                  <c:v>Contemplation</c:v>
                </c:pt>
              </c:strCache>
            </c:strRef>
          </c:tx>
          <c:spPr>
            <a:solidFill>
              <a:schemeClr val="accent4">
                <a:lumMod val="70000"/>
                <a:lumOff val="3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Ctry'!$AO$5:$AO$10</c:f>
              <c:numCache>
                <c:formatCode>General</c:formatCode>
                <c:ptCount val="5"/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F200-46B1-8440-05E62C7A0445}"/>
            </c:ext>
          </c:extLst>
        </c:ser>
        <c:ser>
          <c:idx val="40"/>
          <c:order val="40"/>
          <c:tx>
            <c:strRef>
              <c:f>'Emotional Distribution by Ctry'!$AP$3:$AP$4</c:f>
              <c:strCache>
                <c:ptCount val="1"/>
                <c:pt idx="0">
                  <c:v>Contentment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Ctry'!$AP$5:$AP$10</c:f>
              <c:numCache>
                <c:formatCode>General</c:formatCode>
                <c:ptCount val="5"/>
                <c:pt idx="0">
                  <c:v>2</c:v>
                </c:pt>
                <c:pt idx="1">
                  <c:v>4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F200-46B1-8440-05E62C7A0445}"/>
            </c:ext>
          </c:extLst>
        </c:ser>
        <c:ser>
          <c:idx val="41"/>
          <c:order val="41"/>
          <c:tx>
            <c:strRef>
              <c:f>'Emotional Distribution by Ctry'!$AQ$3:$AQ$4</c:f>
              <c:strCache>
                <c:ptCount val="1"/>
                <c:pt idx="0">
                  <c:v>Coziness</c:v>
                </c:pt>
              </c:strCache>
            </c:strRef>
          </c:tx>
          <c:spPr>
            <a:solidFill>
              <a:schemeClr val="accent6">
                <a:lumMod val="70000"/>
                <a:lumOff val="3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Ctry'!$AQ$5:$AQ$10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29-F200-46B1-8440-05E62C7A0445}"/>
            </c:ext>
          </c:extLst>
        </c:ser>
        <c:ser>
          <c:idx val="42"/>
          <c:order val="42"/>
          <c:tx>
            <c:strRef>
              <c:f>'Emotional Distribution by Ctry'!$AR$3:$AR$4</c:f>
              <c:strCache>
                <c:ptCount val="1"/>
                <c:pt idx="0">
                  <c:v>Creative Inspiration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Ctry'!$AR$5:$AR$10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2A-F200-46B1-8440-05E62C7A0445}"/>
            </c:ext>
          </c:extLst>
        </c:ser>
        <c:ser>
          <c:idx val="43"/>
          <c:order val="43"/>
          <c:tx>
            <c:strRef>
              <c:f>'Emotional Distribution by Ctry'!$AS$3:$AS$4</c:f>
              <c:strCache>
                <c:ptCount val="1"/>
                <c:pt idx="0">
                  <c:v>Creativity</c:v>
                </c:pt>
              </c:strCache>
            </c:strRef>
          </c:tx>
          <c:spPr>
            <a:solidFill>
              <a:schemeClr val="accent2">
                <a:lumMod val="7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Ctry'!$AS$5:$AS$10</c:f>
              <c:numCache>
                <c:formatCode>General</c:formatCode>
                <c:ptCount val="5"/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F200-46B1-8440-05E62C7A0445}"/>
            </c:ext>
          </c:extLst>
        </c:ser>
        <c:ser>
          <c:idx val="44"/>
          <c:order val="44"/>
          <c:tx>
            <c:strRef>
              <c:f>'Emotional Distribution by Ctry'!$AT$3:$AT$4</c:f>
              <c:strCache>
                <c:ptCount val="1"/>
                <c:pt idx="0">
                  <c:v>Culinary Adventure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Ctry'!$AT$5:$AT$10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2C-F200-46B1-8440-05E62C7A0445}"/>
            </c:ext>
          </c:extLst>
        </c:ser>
        <c:ser>
          <c:idx val="45"/>
          <c:order val="45"/>
          <c:tx>
            <c:strRef>
              <c:f>'Emotional Distribution by Ctry'!$AU$3:$AU$4</c:f>
              <c:strCache>
                <c:ptCount val="1"/>
                <c:pt idx="0">
                  <c:v>CulinaryOdyssey</c:v>
                </c:pt>
              </c:strCache>
            </c:strRef>
          </c:tx>
          <c:spPr>
            <a:solidFill>
              <a:schemeClr val="accent4">
                <a:lumMod val="7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Ctry'!$AU$5:$AU$10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2D-F200-46B1-8440-05E62C7A0445}"/>
            </c:ext>
          </c:extLst>
        </c:ser>
        <c:ser>
          <c:idx val="46"/>
          <c:order val="46"/>
          <c:tx>
            <c:strRef>
              <c:f>'Emotional Distribution by Ctry'!$AV$3:$AV$4</c:f>
              <c:strCache>
                <c:ptCount val="1"/>
                <c:pt idx="0">
                  <c:v>Curiosity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Ctry'!$AV$5:$AV$10</c:f>
              <c:numCache>
                <c:formatCode>General</c:formatCode>
                <c:ptCount val="5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F200-46B1-8440-05E62C7A0445}"/>
            </c:ext>
          </c:extLst>
        </c:ser>
        <c:ser>
          <c:idx val="47"/>
          <c:order val="47"/>
          <c:tx>
            <c:strRef>
              <c:f>'Emotional Distribution by Ctry'!$AW$3:$AW$4</c:f>
              <c:strCache>
                <c:ptCount val="1"/>
                <c:pt idx="0">
                  <c:v>Darkness</c:v>
                </c:pt>
              </c:strCache>
            </c:strRef>
          </c:tx>
          <c:spPr>
            <a:solidFill>
              <a:schemeClr val="accent6">
                <a:lumMod val="7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Ctry'!$AW$5:$AW$10</c:f>
              <c:numCache>
                <c:formatCode>General</c:formatCode>
                <c:ptCount val="5"/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F200-46B1-8440-05E62C7A0445}"/>
            </c:ext>
          </c:extLst>
        </c:ser>
        <c:ser>
          <c:idx val="48"/>
          <c:order val="48"/>
          <c:tx>
            <c:strRef>
              <c:f>'Emotional Distribution by Ctry'!$AX$3:$AX$4</c:f>
              <c:strCache>
                <c:ptCount val="1"/>
                <c:pt idx="0">
                  <c:v>Dazzle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Ctry'!$AX$5:$AX$10</c:f>
              <c:numCache>
                <c:formatCode>General</c:formatCode>
                <c:ptCount val="5"/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0-F200-46B1-8440-05E62C7A0445}"/>
            </c:ext>
          </c:extLst>
        </c:ser>
        <c:ser>
          <c:idx val="49"/>
          <c:order val="49"/>
          <c:tx>
            <c:strRef>
              <c:f>'Emotional Distribution by Ctry'!$AY$3:$AY$4</c:f>
              <c:strCache>
                <c:ptCount val="1"/>
                <c:pt idx="0">
                  <c:v>Desolation</c:v>
                </c:pt>
              </c:strCache>
            </c:strRef>
          </c:tx>
          <c:spPr>
            <a:solidFill>
              <a:schemeClr val="accent2">
                <a:lumMod val="50000"/>
                <a:lumOff val="5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Ctry'!$AY$5:$AY$10</c:f>
              <c:numCache>
                <c:formatCode>General</c:formatCode>
                <c:ptCount val="5"/>
                <c:pt idx="0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1-F200-46B1-8440-05E62C7A0445}"/>
            </c:ext>
          </c:extLst>
        </c:ser>
        <c:ser>
          <c:idx val="50"/>
          <c:order val="50"/>
          <c:tx>
            <c:strRef>
              <c:f>'Emotional Distribution by Ctry'!$AZ$3:$AZ$4</c:f>
              <c:strCache>
                <c:ptCount val="1"/>
                <c:pt idx="0">
                  <c:v>Despair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Ctry'!$AZ$5:$AZ$10</c:f>
              <c:numCache>
                <c:formatCode>General</c:formatCode>
                <c:ptCount val="5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2-F200-46B1-8440-05E62C7A0445}"/>
            </c:ext>
          </c:extLst>
        </c:ser>
        <c:ser>
          <c:idx val="51"/>
          <c:order val="51"/>
          <c:tx>
            <c:strRef>
              <c:f>'Emotional Distribution by Ctry'!$BA$3:$BA$4</c:f>
              <c:strCache>
                <c:ptCount val="1"/>
                <c:pt idx="0">
                  <c:v>Desperation</c:v>
                </c:pt>
              </c:strCache>
            </c:strRef>
          </c:tx>
          <c:spPr>
            <a:solidFill>
              <a:schemeClr val="accent4">
                <a:lumMod val="50000"/>
                <a:lumOff val="5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Ctry'!$BA$5:$BA$10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33-F200-46B1-8440-05E62C7A0445}"/>
            </c:ext>
          </c:extLst>
        </c:ser>
        <c:ser>
          <c:idx val="52"/>
          <c:order val="52"/>
          <c:tx>
            <c:strRef>
              <c:f>'Emotional Distribution by Ctry'!$BB$3:$BB$4</c:f>
              <c:strCache>
                <c:ptCount val="1"/>
                <c:pt idx="0">
                  <c:v>Determination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Ctry'!$BB$5:$BB$10</c:f>
              <c:numCache>
                <c:formatCode>General</c:formatCode>
                <c:ptCount val="5"/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4-F200-46B1-8440-05E62C7A0445}"/>
            </c:ext>
          </c:extLst>
        </c:ser>
        <c:ser>
          <c:idx val="53"/>
          <c:order val="53"/>
          <c:tx>
            <c:strRef>
              <c:f>'Emotional Distribution by Ctry'!$BC$3:$BC$4</c:f>
              <c:strCache>
                <c:ptCount val="1"/>
                <c:pt idx="0">
                  <c:v>Devastated</c:v>
                </c:pt>
              </c:strCache>
            </c:strRef>
          </c:tx>
          <c:spPr>
            <a:solidFill>
              <a:schemeClr val="accent6">
                <a:lumMod val="50000"/>
                <a:lumOff val="5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Ctry'!$BC$5:$BC$10</c:f>
              <c:numCache>
                <c:formatCode>General</c:formatCode>
                <c:ptCount val="5"/>
                <c:pt idx="0">
                  <c:v>2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5-F200-46B1-8440-05E62C7A0445}"/>
            </c:ext>
          </c:extLst>
        </c:ser>
        <c:ser>
          <c:idx val="54"/>
          <c:order val="54"/>
          <c:tx>
            <c:strRef>
              <c:f>'Emotional Distribution by Ctry'!$BD$3:$BD$4</c:f>
              <c:strCache>
                <c:ptCount val="1"/>
                <c:pt idx="0">
                  <c:v>Disappointed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Ctry'!$BD$5:$BD$10</c:f>
              <c:numCache>
                <c:formatCode>General</c:formatCode>
                <c:ptCount val="5"/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6-F200-46B1-8440-05E62C7A0445}"/>
            </c:ext>
          </c:extLst>
        </c:ser>
        <c:ser>
          <c:idx val="55"/>
          <c:order val="55"/>
          <c:tx>
            <c:strRef>
              <c:f>'Emotional Distribution by Ctry'!$BE$3:$BE$4</c:f>
              <c:strCache>
                <c:ptCount val="1"/>
                <c:pt idx="0">
                  <c:v>Disappointment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Ctry'!$BE$5:$BE$10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37-F200-46B1-8440-05E62C7A0445}"/>
            </c:ext>
          </c:extLst>
        </c:ser>
        <c:ser>
          <c:idx val="56"/>
          <c:order val="56"/>
          <c:tx>
            <c:strRef>
              <c:f>'Emotional Distribution by Ctry'!$BF$3:$BF$4</c:f>
              <c:strCache>
                <c:ptCount val="1"/>
                <c:pt idx="0">
                  <c:v>Disgust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Ctry'!$BF$5:$BF$10</c:f>
              <c:numCache>
                <c:formatCode>General</c:formatCode>
                <c:ptCount val="5"/>
                <c:pt idx="1">
                  <c:v>1</c:v>
                </c:pt>
                <c:pt idx="2">
                  <c:v>1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8-F200-46B1-8440-05E62C7A0445}"/>
            </c:ext>
          </c:extLst>
        </c:ser>
        <c:ser>
          <c:idx val="57"/>
          <c:order val="57"/>
          <c:tx>
            <c:strRef>
              <c:f>'Emotional Distribution by Ctry'!$BG$3:$BG$4</c:f>
              <c:strCache>
                <c:ptCount val="1"/>
                <c:pt idx="0">
                  <c:v>Dismissive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Ctry'!$BG$5:$BG$10</c:f>
              <c:numCache>
                <c:formatCode>General</c:formatCode>
                <c:ptCount val="5"/>
                <c:pt idx="0">
                  <c:v>2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9-F200-46B1-8440-05E62C7A0445}"/>
            </c:ext>
          </c:extLst>
        </c:ser>
        <c:ser>
          <c:idx val="58"/>
          <c:order val="58"/>
          <c:tx>
            <c:strRef>
              <c:f>'Emotional Distribution by Ctry'!$BH$3:$BH$4</c:f>
              <c:strCache>
                <c:ptCount val="1"/>
                <c:pt idx="0">
                  <c:v>DreamChaser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Ctry'!$BH$5:$BH$10</c:f>
              <c:numCache>
                <c:formatCode>General</c:formatCode>
                <c:ptCount val="5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A-F200-46B1-8440-05E62C7A0445}"/>
            </c:ext>
          </c:extLst>
        </c:ser>
        <c:ser>
          <c:idx val="59"/>
          <c:order val="59"/>
          <c:tx>
            <c:strRef>
              <c:f>'Emotional Distribution by Ctry'!$BI$3:$BI$4</c:f>
              <c:strCache>
                <c:ptCount val="1"/>
                <c:pt idx="0">
                  <c:v>Ecstasy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Ctry'!$BI$5:$BI$10</c:f>
              <c:numCache>
                <c:formatCode>General</c:formatCode>
                <c:ptCount val="5"/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B-F200-46B1-8440-05E62C7A0445}"/>
            </c:ext>
          </c:extLst>
        </c:ser>
        <c:ser>
          <c:idx val="60"/>
          <c:order val="60"/>
          <c:tx>
            <c:strRef>
              <c:f>'Emotional Distribution by Ctry'!$BJ$3:$BJ$4</c:f>
              <c:strCache>
                <c:ptCount val="1"/>
                <c:pt idx="0">
                  <c:v>Elation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Ctry'!$BJ$5:$BJ$10</c:f>
              <c:numCache>
                <c:formatCode>General</c:formatCode>
                <c:ptCount val="5"/>
                <c:pt idx="1">
                  <c:v>3</c:v>
                </c:pt>
                <c:pt idx="3">
                  <c:v>1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C-F200-46B1-8440-05E62C7A0445}"/>
            </c:ext>
          </c:extLst>
        </c:ser>
        <c:ser>
          <c:idx val="61"/>
          <c:order val="61"/>
          <c:tx>
            <c:strRef>
              <c:f>'Emotional Distribution by Ctry'!$BK$3:$BK$4</c:f>
              <c:strCache>
                <c:ptCount val="1"/>
                <c:pt idx="0">
                  <c:v>Elegance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Ctry'!$BK$5:$BK$10</c:f>
              <c:numCache>
                <c:formatCode>General</c:formatCode>
                <c:ptCount val="5"/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D-F200-46B1-8440-05E62C7A0445}"/>
            </c:ext>
          </c:extLst>
        </c:ser>
        <c:ser>
          <c:idx val="62"/>
          <c:order val="62"/>
          <c:tx>
            <c:strRef>
              <c:f>'Emotional Distribution by Ctry'!$BL$3:$BL$4</c:f>
              <c:strCache>
                <c:ptCount val="1"/>
                <c:pt idx="0">
                  <c:v>Embarrassed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Ctry'!$BL$5:$BL$10</c:f>
              <c:numCache>
                <c:formatCode>General</c:formatCode>
                <c:ptCount val="5"/>
                <c:pt idx="1">
                  <c:v>1</c:v>
                </c:pt>
                <c:pt idx="3">
                  <c:v>3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E-F200-46B1-8440-05E62C7A0445}"/>
            </c:ext>
          </c:extLst>
        </c:ser>
        <c:ser>
          <c:idx val="63"/>
          <c:order val="63"/>
          <c:tx>
            <c:strRef>
              <c:f>'Emotional Distribution by Ctry'!$BM$3:$BM$4</c:f>
              <c:strCache>
                <c:ptCount val="1"/>
                <c:pt idx="0">
                  <c:v>Emotion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Ctry'!$BM$5:$BM$10</c:f>
              <c:numCache>
                <c:formatCode>General</c:formatCode>
                <c:ptCount val="5"/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F-F200-46B1-8440-05E62C7A0445}"/>
            </c:ext>
          </c:extLst>
        </c:ser>
        <c:ser>
          <c:idx val="64"/>
          <c:order val="64"/>
          <c:tx>
            <c:strRef>
              <c:f>'Emotional Distribution by Ctry'!$BN$3:$BN$4</c:f>
              <c:strCache>
                <c:ptCount val="1"/>
                <c:pt idx="0">
                  <c:v>EmotionalStorm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Ctry'!$BN$5:$BN$10</c:f>
              <c:numCache>
                <c:formatCode>General</c:formatCode>
                <c:ptCount val="5"/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0-F200-46B1-8440-05E62C7A0445}"/>
            </c:ext>
          </c:extLst>
        </c:ser>
        <c:ser>
          <c:idx val="65"/>
          <c:order val="65"/>
          <c:tx>
            <c:strRef>
              <c:f>'Emotional Distribution by Ctry'!$BO$3:$BO$4</c:f>
              <c:strCache>
                <c:ptCount val="1"/>
                <c:pt idx="0">
                  <c:v>Empathetic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Ctry'!$BO$5:$BO$10</c:f>
              <c:numCache>
                <c:formatCode>General</c:formatCode>
                <c:ptCount val="5"/>
                <c:pt idx="3">
                  <c:v>1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1-F200-46B1-8440-05E62C7A0445}"/>
            </c:ext>
          </c:extLst>
        </c:ser>
        <c:ser>
          <c:idx val="66"/>
          <c:order val="66"/>
          <c:tx>
            <c:strRef>
              <c:f>'Emotional Distribution by Ctry'!$BP$3:$BP$4</c:f>
              <c:strCache>
                <c:ptCount val="1"/>
                <c:pt idx="0">
                  <c:v>Empowerment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Ctry'!$BP$5:$BP$10</c:f>
              <c:numCache>
                <c:formatCode>General</c:formatCode>
                <c:ptCount val="5"/>
                <c:pt idx="2">
                  <c:v>1</c:v>
                </c:pt>
                <c:pt idx="3">
                  <c:v>2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2-F200-46B1-8440-05E62C7A0445}"/>
            </c:ext>
          </c:extLst>
        </c:ser>
        <c:ser>
          <c:idx val="67"/>
          <c:order val="67"/>
          <c:tx>
            <c:strRef>
              <c:f>'Emotional Distribution by Ctry'!$BQ$3:$BQ$4</c:f>
              <c:strCache>
                <c:ptCount val="1"/>
                <c:pt idx="0">
                  <c:v>Enchantment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Ctry'!$BQ$5:$BQ$10</c:f>
              <c:numCache>
                <c:formatCode>General</c:formatCode>
                <c:ptCount val="5"/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3-F200-46B1-8440-05E62C7A0445}"/>
            </c:ext>
          </c:extLst>
        </c:ser>
        <c:ser>
          <c:idx val="68"/>
          <c:order val="68"/>
          <c:tx>
            <c:strRef>
              <c:f>'Emotional Distribution by Ctry'!$BR$3:$BR$4</c:f>
              <c:strCache>
                <c:ptCount val="1"/>
                <c:pt idx="0">
                  <c:v>Energy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Ctry'!$BR$5:$BR$10</c:f>
              <c:numCache>
                <c:formatCode>General</c:formatCode>
                <c:ptCount val="5"/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4-F200-46B1-8440-05E62C7A0445}"/>
            </c:ext>
          </c:extLst>
        </c:ser>
        <c:ser>
          <c:idx val="69"/>
          <c:order val="69"/>
          <c:tx>
            <c:strRef>
              <c:f>'Emotional Distribution by Ctry'!$BS$3:$BS$4</c:f>
              <c:strCache>
                <c:ptCount val="1"/>
                <c:pt idx="0">
                  <c:v>Engagement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Ctry'!$BS$5:$BS$10</c:f>
              <c:numCache>
                <c:formatCode>General</c:formatCode>
                <c:ptCount val="5"/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5-F200-46B1-8440-05E62C7A0445}"/>
            </c:ext>
          </c:extLst>
        </c:ser>
        <c:ser>
          <c:idx val="70"/>
          <c:order val="70"/>
          <c:tx>
            <c:strRef>
              <c:f>'Emotional Distribution by Ctry'!$BT$3:$BT$4</c:f>
              <c:strCache>
                <c:ptCount val="1"/>
                <c:pt idx="0">
                  <c:v>Enjoyment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Ctry'!$BT$5:$BT$10</c:f>
              <c:numCache>
                <c:formatCode>General</c:formatCode>
                <c:ptCount val="5"/>
                <c:pt idx="1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6-F200-46B1-8440-05E62C7A0445}"/>
            </c:ext>
          </c:extLst>
        </c:ser>
        <c:ser>
          <c:idx val="71"/>
          <c:order val="71"/>
          <c:tx>
            <c:strRef>
              <c:f>'Emotional Distribution by Ctry'!$BU$3:$BU$4</c:f>
              <c:strCache>
                <c:ptCount val="1"/>
                <c:pt idx="0">
                  <c:v>Enthusiasm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Ctry'!$BU$5:$BU$10</c:f>
              <c:numCache>
                <c:formatCode>General</c:formatCode>
                <c:ptCount val="5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7-F200-46B1-8440-05E62C7A0445}"/>
            </c:ext>
          </c:extLst>
        </c:ser>
        <c:ser>
          <c:idx val="72"/>
          <c:order val="72"/>
          <c:tx>
            <c:strRef>
              <c:f>'Emotional Distribution by Ctry'!$BV$3:$BV$4</c:f>
              <c:strCache>
                <c:ptCount val="1"/>
                <c:pt idx="0">
                  <c:v>Envious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Ctry'!$BV$5:$BV$10</c:f>
              <c:numCache>
                <c:formatCode>General</c:formatCode>
                <c:ptCount val="5"/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8-F200-46B1-8440-05E62C7A0445}"/>
            </c:ext>
          </c:extLst>
        </c:ser>
        <c:ser>
          <c:idx val="73"/>
          <c:order val="73"/>
          <c:tx>
            <c:strRef>
              <c:f>'Emotional Distribution by Ctry'!$BW$3:$BW$4</c:f>
              <c:strCache>
                <c:ptCount val="1"/>
                <c:pt idx="0">
                  <c:v>Envisioning History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Ctry'!$BW$5:$BW$10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49-F200-46B1-8440-05E62C7A0445}"/>
            </c:ext>
          </c:extLst>
        </c:ser>
        <c:ser>
          <c:idx val="74"/>
          <c:order val="74"/>
          <c:tx>
            <c:strRef>
              <c:f>'Emotional Distribution by Ctry'!$BX$3:$BX$4</c:f>
              <c:strCache>
                <c:ptCount val="1"/>
                <c:pt idx="0">
                  <c:v>Envy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Ctry'!$BX$5:$BX$10</c:f>
              <c:numCache>
                <c:formatCode>General</c:formatCode>
                <c:ptCount val="5"/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A-F200-46B1-8440-05E62C7A0445}"/>
            </c:ext>
          </c:extLst>
        </c:ser>
        <c:ser>
          <c:idx val="75"/>
          <c:order val="75"/>
          <c:tx>
            <c:strRef>
              <c:f>'Emotional Distribution by Ctry'!$BY$3:$BY$4</c:f>
              <c:strCache>
                <c:ptCount val="1"/>
                <c:pt idx="0">
                  <c:v>Euphoria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Ctry'!$BY$5:$BY$10</c:f>
              <c:numCache>
                <c:formatCode>General</c:formatCode>
                <c:ptCount val="5"/>
                <c:pt idx="3">
                  <c:v>1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B-F200-46B1-8440-05E62C7A0445}"/>
            </c:ext>
          </c:extLst>
        </c:ser>
        <c:ser>
          <c:idx val="76"/>
          <c:order val="76"/>
          <c:tx>
            <c:strRef>
              <c:f>'Emotional Distribution by Ctry'!$BZ$3:$BZ$4</c:f>
              <c:strCache>
                <c:ptCount val="1"/>
                <c:pt idx="0">
                  <c:v>Excitement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Ctry'!$BZ$5:$BZ$10</c:f>
              <c:numCache>
                <c:formatCode>General</c:formatCode>
                <c:ptCount val="5"/>
                <c:pt idx="0">
                  <c:v>1</c:v>
                </c:pt>
                <c:pt idx="1">
                  <c:v>11</c:v>
                </c:pt>
                <c:pt idx="2">
                  <c:v>2</c:v>
                </c:pt>
                <c:pt idx="3">
                  <c:v>11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C-F200-46B1-8440-05E62C7A0445}"/>
            </c:ext>
          </c:extLst>
        </c:ser>
        <c:ser>
          <c:idx val="77"/>
          <c:order val="77"/>
          <c:tx>
            <c:strRef>
              <c:f>'Emotional Distribution by Ctry'!$CA$3:$CA$4</c:f>
              <c:strCache>
                <c:ptCount val="1"/>
                <c:pt idx="0">
                  <c:v>Exhaustion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Ctry'!$CA$5:$CA$10</c:f>
              <c:numCache>
                <c:formatCode>General</c:formatCode>
                <c:ptCount val="5"/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D-F200-46B1-8440-05E62C7A0445}"/>
            </c:ext>
          </c:extLst>
        </c:ser>
        <c:ser>
          <c:idx val="78"/>
          <c:order val="78"/>
          <c:tx>
            <c:strRef>
              <c:f>'Emotional Distribution by Ctry'!$CB$3:$CB$4</c:f>
              <c:strCache>
                <c:ptCount val="1"/>
                <c:pt idx="0">
                  <c:v>Exploration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Ctry'!$CB$5:$CB$10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4E-F200-46B1-8440-05E62C7A0445}"/>
            </c:ext>
          </c:extLst>
        </c:ser>
        <c:ser>
          <c:idx val="79"/>
          <c:order val="79"/>
          <c:tx>
            <c:strRef>
              <c:f>'Emotional Distribution by Ctry'!$CC$3:$CC$4</c:f>
              <c:strCache>
                <c:ptCount val="1"/>
                <c:pt idx="0">
                  <c:v>Fear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Ctry'!$CC$5:$CC$10</c:f>
              <c:numCache>
                <c:formatCode>General</c:formatCode>
                <c:ptCount val="5"/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F-F200-46B1-8440-05E62C7A0445}"/>
            </c:ext>
          </c:extLst>
        </c:ser>
        <c:ser>
          <c:idx val="80"/>
          <c:order val="80"/>
          <c:tx>
            <c:strRef>
              <c:f>'Emotional Distribution by Ctry'!$CD$3:$CD$4</c:f>
              <c:strCache>
                <c:ptCount val="1"/>
                <c:pt idx="0">
                  <c:v>Fearful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Ctry'!$CD$5:$CD$10</c:f>
              <c:numCache>
                <c:formatCode>General</c:formatCode>
                <c:ptCount val="5"/>
                <c:pt idx="2">
                  <c:v>2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0-F200-46B1-8440-05E62C7A0445}"/>
            </c:ext>
          </c:extLst>
        </c:ser>
        <c:ser>
          <c:idx val="81"/>
          <c:order val="81"/>
          <c:tx>
            <c:strRef>
              <c:f>'Emotional Distribution by Ctry'!$CE$3:$CE$4</c:f>
              <c:strCache>
                <c:ptCount val="1"/>
                <c:pt idx="0">
                  <c:v>FestiveJoy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Ctry'!$CE$5:$CE$10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51-F200-46B1-8440-05E62C7A0445}"/>
            </c:ext>
          </c:extLst>
        </c:ser>
        <c:ser>
          <c:idx val="82"/>
          <c:order val="82"/>
          <c:tx>
            <c:strRef>
              <c:f>'Emotional Distribution by Ctry'!$CF$3:$CF$4</c:f>
              <c:strCache>
                <c:ptCount val="1"/>
                <c:pt idx="0">
                  <c:v>Freedom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Ctry'!$CF$5:$CF$10</c:f>
              <c:numCache>
                <c:formatCode>General</c:formatCode>
                <c:ptCount val="5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2-F200-46B1-8440-05E62C7A0445}"/>
            </c:ext>
          </c:extLst>
        </c:ser>
        <c:ser>
          <c:idx val="83"/>
          <c:order val="83"/>
          <c:tx>
            <c:strRef>
              <c:f>'Emotional Distribution by Ctry'!$CG$3:$CG$4</c:f>
              <c:strCache>
                <c:ptCount val="1"/>
                <c:pt idx="0">
                  <c:v>Free-spirited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Ctry'!$CG$5:$CG$10</c:f>
              <c:numCache>
                <c:formatCode>General</c:formatCode>
                <c:ptCount val="5"/>
                <c:pt idx="2">
                  <c:v>1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3-F200-46B1-8440-05E62C7A0445}"/>
            </c:ext>
          </c:extLst>
        </c:ser>
        <c:ser>
          <c:idx val="84"/>
          <c:order val="84"/>
          <c:tx>
            <c:strRef>
              <c:f>'Emotional Distribution by Ctry'!$CH$3:$CH$4</c:f>
              <c:strCache>
                <c:ptCount val="1"/>
                <c:pt idx="0">
                  <c:v>Friendship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Ctry'!$CH$5:$CH$10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54-F200-46B1-8440-05E62C7A0445}"/>
            </c:ext>
          </c:extLst>
        </c:ser>
        <c:ser>
          <c:idx val="85"/>
          <c:order val="85"/>
          <c:tx>
            <c:strRef>
              <c:f>'Emotional Distribution by Ctry'!$CI$3:$CI$4</c:f>
              <c:strCache>
                <c:ptCount val="1"/>
                <c:pt idx="0">
                  <c:v>Frustrated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Ctry'!$CI$5:$CI$10</c:f>
              <c:numCache>
                <c:formatCode>General</c:formatCode>
                <c:ptCount val="5"/>
                <c:pt idx="1">
                  <c:v>2</c:v>
                </c:pt>
                <c:pt idx="2">
                  <c:v>2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5-F200-46B1-8440-05E62C7A0445}"/>
            </c:ext>
          </c:extLst>
        </c:ser>
        <c:ser>
          <c:idx val="86"/>
          <c:order val="86"/>
          <c:tx>
            <c:strRef>
              <c:f>'Emotional Distribution by Ctry'!$CJ$3:$CJ$4</c:f>
              <c:strCache>
                <c:ptCount val="1"/>
                <c:pt idx="0">
                  <c:v>Frustration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Ctry'!$CJ$5:$CJ$10</c:f>
              <c:numCache>
                <c:formatCode>General</c:formatCode>
                <c:ptCount val="5"/>
                <c:pt idx="3">
                  <c:v>2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6-F200-46B1-8440-05E62C7A0445}"/>
            </c:ext>
          </c:extLst>
        </c:ser>
        <c:ser>
          <c:idx val="87"/>
          <c:order val="87"/>
          <c:tx>
            <c:strRef>
              <c:f>'Emotional Distribution by Ctry'!$CK$3:$CK$4</c:f>
              <c:strCache>
                <c:ptCount val="1"/>
                <c:pt idx="0">
                  <c:v>Fulfillment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Ctry'!$CK$5:$CK$10</c:f>
              <c:numCache>
                <c:formatCode>General</c:formatCode>
                <c:ptCount val="5"/>
                <c:pt idx="1">
                  <c:v>1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7-F200-46B1-8440-05E62C7A0445}"/>
            </c:ext>
          </c:extLst>
        </c:ser>
        <c:ser>
          <c:idx val="88"/>
          <c:order val="88"/>
          <c:tx>
            <c:strRef>
              <c:f>'Emotional Distribution by Ctry'!$CL$3:$CL$4</c:f>
              <c:strCache>
                <c:ptCount val="1"/>
                <c:pt idx="0">
                  <c:v>Grandeur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Ctry'!$CL$5:$CL$10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58-F200-46B1-8440-05E62C7A0445}"/>
            </c:ext>
          </c:extLst>
        </c:ser>
        <c:ser>
          <c:idx val="89"/>
          <c:order val="89"/>
          <c:tx>
            <c:strRef>
              <c:f>'Emotional Distribution by Ctry'!$CM$3:$CM$4</c:f>
              <c:strCache>
                <c:ptCount val="1"/>
                <c:pt idx="0">
                  <c:v>Grateful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Ctry'!$CM$5:$CM$10</c:f>
              <c:numCache>
                <c:formatCode>General</c:formatCode>
                <c:ptCount val="5"/>
                <c:pt idx="0">
                  <c:v>3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9-F200-46B1-8440-05E62C7A0445}"/>
            </c:ext>
          </c:extLst>
        </c:ser>
        <c:ser>
          <c:idx val="90"/>
          <c:order val="90"/>
          <c:tx>
            <c:strRef>
              <c:f>'Emotional Distribution by Ctry'!$CN$3:$CN$4</c:f>
              <c:strCache>
                <c:ptCount val="1"/>
                <c:pt idx="0">
                  <c:v>Gratitude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Ctry'!$CN$5:$CN$10</c:f>
              <c:numCache>
                <c:formatCode>General</c:formatCode>
                <c:ptCount val="5"/>
                <c:pt idx="0">
                  <c:v>2</c:v>
                </c:pt>
                <c:pt idx="1">
                  <c:v>1</c:v>
                </c:pt>
                <c:pt idx="2">
                  <c:v>3</c:v>
                </c:pt>
                <c:pt idx="3">
                  <c:v>3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A-F200-46B1-8440-05E62C7A0445}"/>
            </c:ext>
          </c:extLst>
        </c:ser>
        <c:ser>
          <c:idx val="91"/>
          <c:order val="91"/>
          <c:tx>
            <c:strRef>
              <c:f>'Emotional Distribution by Ctry'!$CO$3:$CO$4</c:f>
              <c:strCache>
                <c:ptCount val="1"/>
                <c:pt idx="0">
                  <c:v>Grief</c:v>
                </c:pt>
              </c:strCache>
            </c:strRef>
          </c:tx>
          <c:spPr>
            <a:solidFill>
              <a:schemeClr val="accent2">
                <a:lumMod val="70000"/>
                <a:lumOff val="3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Ctry'!$CO$5:$CO$10</c:f>
              <c:numCache>
                <c:formatCode>General</c:formatCode>
                <c:ptCount val="5"/>
                <c:pt idx="1">
                  <c:v>3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B-F200-46B1-8440-05E62C7A0445}"/>
            </c:ext>
          </c:extLst>
        </c:ser>
        <c:ser>
          <c:idx val="92"/>
          <c:order val="92"/>
          <c:tx>
            <c:strRef>
              <c:f>'Emotional Distribution by Ctry'!$CP$3:$CP$4</c:f>
              <c:strCache>
                <c:ptCount val="1"/>
                <c:pt idx="0">
                  <c:v>Happiness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Ctry'!$CP$5:$CP$10</c:f>
              <c:numCache>
                <c:formatCode>General</c:formatCode>
                <c:ptCount val="5"/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C-F200-46B1-8440-05E62C7A0445}"/>
            </c:ext>
          </c:extLst>
        </c:ser>
        <c:ser>
          <c:idx val="93"/>
          <c:order val="93"/>
          <c:tx>
            <c:strRef>
              <c:f>'Emotional Distribution by Ctry'!$CQ$3:$CQ$4</c:f>
              <c:strCache>
                <c:ptCount val="1"/>
                <c:pt idx="0">
                  <c:v>Happy</c:v>
                </c:pt>
              </c:strCache>
            </c:strRef>
          </c:tx>
          <c:spPr>
            <a:solidFill>
              <a:schemeClr val="accent4">
                <a:lumMod val="70000"/>
                <a:lumOff val="3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Ctry'!$CQ$5:$CQ$10</c:f>
              <c:numCache>
                <c:formatCode>General</c:formatCode>
                <c:ptCount val="5"/>
                <c:pt idx="1">
                  <c:v>4</c:v>
                </c:pt>
                <c:pt idx="3">
                  <c:v>5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D-F200-46B1-8440-05E62C7A0445}"/>
            </c:ext>
          </c:extLst>
        </c:ser>
        <c:ser>
          <c:idx val="94"/>
          <c:order val="94"/>
          <c:tx>
            <c:strRef>
              <c:f>'Emotional Distribution by Ctry'!$CR$3:$CR$4</c:f>
              <c:strCache>
                <c:ptCount val="1"/>
                <c:pt idx="0">
                  <c:v>Harmony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Ctry'!$CR$5:$CR$10</c:f>
              <c:numCache>
                <c:formatCode>General</c:formatCode>
                <c:ptCount val="5"/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E-F200-46B1-8440-05E62C7A0445}"/>
            </c:ext>
          </c:extLst>
        </c:ser>
        <c:ser>
          <c:idx val="95"/>
          <c:order val="95"/>
          <c:tx>
            <c:strRef>
              <c:f>'Emotional Distribution by Ctry'!$CS$3:$CS$4</c:f>
              <c:strCache>
                <c:ptCount val="1"/>
                <c:pt idx="0">
                  <c:v>Hate</c:v>
                </c:pt>
              </c:strCache>
            </c:strRef>
          </c:tx>
          <c:spPr>
            <a:solidFill>
              <a:schemeClr val="accent6">
                <a:lumMod val="70000"/>
                <a:lumOff val="3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Ctry'!$CS$5:$CS$10</c:f>
              <c:numCache>
                <c:formatCode>General</c:formatCode>
                <c:ptCount val="5"/>
                <c:pt idx="1">
                  <c:v>2</c:v>
                </c:pt>
                <c:pt idx="3">
                  <c:v>2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5F-F200-46B1-8440-05E62C7A0445}"/>
            </c:ext>
          </c:extLst>
        </c:ser>
        <c:ser>
          <c:idx val="96"/>
          <c:order val="96"/>
          <c:tx>
            <c:strRef>
              <c:f>'Emotional Distribution by Ctry'!$CT$3:$CT$4</c:f>
              <c:strCache>
                <c:ptCount val="1"/>
                <c:pt idx="0">
                  <c:v>Heartache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Ctry'!$CT$5:$CT$10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60-F200-46B1-8440-05E62C7A0445}"/>
            </c:ext>
          </c:extLst>
        </c:ser>
        <c:ser>
          <c:idx val="97"/>
          <c:order val="97"/>
          <c:tx>
            <c:strRef>
              <c:f>'Emotional Distribution by Ctry'!$CU$3:$CU$4</c:f>
              <c:strCache>
                <c:ptCount val="1"/>
                <c:pt idx="0">
                  <c:v>Heartbreak</c:v>
                </c:pt>
              </c:strCache>
            </c:strRef>
          </c:tx>
          <c:spPr>
            <a:solidFill>
              <a:schemeClr val="accent2">
                <a:lumMod val="7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Ctry'!$CU$5:$CU$10</c:f>
              <c:numCache>
                <c:formatCode>General</c:formatCode>
                <c:ptCount val="5"/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1-F200-46B1-8440-05E62C7A0445}"/>
            </c:ext>
          </c:extLst>
        </c:ser>
        <c:ser>
          <c:idx val="98"/>
          <c:order val="98"/>
          <c:tx>
            <c:strRef>
              <c:f>'Emotional Distribution by Ctry'!$CV$3:$CV$4</c:f>
              <c:strCache>
                <c:ptCount val="1"/>
                <c:pt idx="0">
                  <c:v>Heartwarming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Ctry'!$CV$5:$CV$10</c:f>
              <c:numCache>
                <c:formatCode>General</c:formatCode>
                <c:ptCount val="5"/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2-F200-46B1-8440-05E62C7A0445}"/>
            </c:ext>
          </c:extLst>
        </c:ser>
        <c:ser>
          <c:idx val="99"/>
          <c:order val="99"/>
          <c:tx>
            <c:strRef>
              <c:f>'Emotional Distribution by Ctry'!$CW$3:$CW$4</c:f>
              <c:strCache>
                <c:ptCount val="1"/>
                <c:pt idx="0">
                  <c:v>Helplessness</c:v>
                </c:pt>
              </c:strCache>
            </c:strRef>
          </c:tx>
          <c:spPr>
            <a:solidFill>
              <a:schemeClr val="accent4">
                <a:lumMod val="7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Ctry'!$CW$5:$CW$10</c:f>
              <c:numCache>
                <c:formatCode>General</c:formatCode>
                <c:ptCount val="5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3-F200-46B1-8440-05E62C7A0445}"/>
            </c:ext>
          </c:extLst>
        </c:ser>
        <c:ser>
          <c:idx val="100"/>
          <c:order val="100"/>
          <c:tx>
            <c:strRef>
              <c:f>'Emotional Distribution by Ctry'!$CX$3:$CX$4</c:f>
              <c:strCache>
                <c:ptCount val="1"/>
                <c:pt idx="0">
                  <c:v>Hope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Ctry'!$CX$5:$CX$10</c:f>
              <c:numCache>
                <c:formatCode>General</c:formatCode>
                <c:ptCount val="5"/>
                <c:pt idx="1">
                  <c:v>2</c:v>
                </c:pt>
                <c:pt idx="3">
                  <c:v>2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4-F200-46B1-8440-05E62C7A0445}"/>
            </c:ext>
          </c:extLst>
        </c:ser>
        <c:ser>
          <c:idx val="101"/>
          <c:order val="101"/>
          <c:tx>
            <c:strRef>
              <c:f>'Emotional Distribution by Ctry'!$CY$3:$CY$4</c:f>
              <c:strCache>
                <c:ptCount val="1"/>
                <c:pt idx="0">
                  <c:v>Hopeful</c:v>
                </c:pt>
              </c:strCache>
            </c:strRef>
          </c:tx>
          <c:spPr>
            <a:solidFill>
              <a:schemeClr val="accent6">
                <a:lumMod val="7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Ctry'!$CY$5:$CY$10</c:f>
              <c:numCache>
                <c:formatCode>General</c:formatCode>
                <c:ptCount val="5"/>
                <c:pt idx="0">
                  <c:v>2</c:v>
                </c:pt>
                <c:pt idx="2">
                  <c:v>4</c:v>
                </c:pt>
                <c:pt idx="3">
                  <c:v>2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5-F200-46B1-8440-05E62C7A0445}"/>
            </c:ext>
          </c:extLst>
        </c:ser>
        <c:ser>
          <c:idx val="102"/>
          <c:order val="102"/>
          <c:tx>
            <c:strRef>
              <c:f>'Emotional Distribution by Ctry'!$CZ$3:$CZ$4</c:f>
              <c:strCache>
                <c:ptCount val="1"/>
                <c:pt idx="0">
                  <c:v>Hypnotic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Ctry'!$CZ$5:$CZ$10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66-F200-46B1-8440-05E62C7A0445}"/>
            </c:ext>
          </c:extLst>
        </c:ser>
        <c:ser>
          <c:idx val="103"/>
          <c:order val="103"/>
          <c:tx>
            <c:strRef>
              <c:f>'Emotional Distribution by Ctry'!$DA$3:$DA$4</c:f>
              <c:strCache>
                <c:ptCount val="1"/>
                <c:pt idx="0">
                  <c:v>Iconic</c:v>
                </c:pt>
              </c:strCache>
            </c:strRef>
          </c:tx>
          <c:spPr>
            <a:solidFill>
              <a:schemeClr val="accent2">
                <a:lumMod val="50000"/>
                <a:lumOff val="5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Ctry'!$DA$5:$DA$10</c:f>
              <c:numCache>
                <c:formatCode>General</c:formatCode>
                <c:ptCount val="5"/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7-F200-46B1-8440-05E62C7A0445}"/>
            </c:ext>
          </c:extLst>
        </c:ser>
        <c:ser>
          <c:idx val="104"/>
          <c:order val="104"/>
          <c:tx>
            <c:strRef>
              <c:f>'Emotional Distribution by Ctry'!$DB$3:$DB$4</c:f>
              <c:strCache>
                <c:ptCount val="1"/>
                <c:pt idx="0">
                  <c:v>Imagination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Ctry'!$DB$5:$DB$10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68-F200-46B1-8440-05E62C7A0445}"/>
            </c:ext>
          </c:extLst>
        </c:ser>
        <c:ser>
          <c:idx val="105"/>
          <c:order val="105"/>
          <c:tx>
            <c:strRef>
              <c:f>'Emotional Distribution by Ctry'!$DC$3:$DC$4</c:f>
              <c:strCache>
                <c:ptCount val="1"/>
                <c:pt idx="0">
                  <c:v>Immersion</c:v>
                </c:pt>
              </c:strCache>
            </c:strRef>
          </c:tx>
          <c:spPr>
            <a:solidFill>
              <a:schemeClr val="accent4">
                <a:lumMod val="50000"/>
                <a:lumOff val="5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Ctry'!$DC$5:$DC$10</c:f>
              <c:numCache>
                <c:formatCode>General</c:formatCode>
                <c:ptCount val="5"/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9-F200-46B1-8440-05E62C7A0445}"/>
            </c:ext>
          </c:extLst>
        </c:ser>
        <c:ser>
          <c:idx val="106"/>
          <c:order val="106"/>
          <c:tx>
            <c:strRef>
              <c:f>'Emotional Distribution by Ctry'!$DD$3:$DD$4</c:f>
              <c:strCache>
                <c:ptCount val="1"/>
                <c:pt idx="0">
                  <c:v>Indifference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Ctry'!$DD$5:$DD$10</c:f>
              <c:numCache>
                <c:formatCode>General</c:formatCode>
                <c:ptCount val="5"/>
                <c:pt idx="1">
                  <c:v>2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A-F200-46B1-8440-05E62C7A0445}"/>
            </c:ext>
          </c:extLst>
        </c:ser>
        <c:ser>
          <c:idx val="107"/>
          <c:order val="107"/>
          <c:tx>
            <c:strRef>
              <c:f>'Emotional Distribution by Ctry'!$DE$3:$DE$4</c:f>
              <c:strCache>
                <c:ptCount val="1"/>
                <c:pt idx="0">
                  <c:v>InnerJourney</c:v>
                </c:pt>
              </c:strCache>
            </c:strRef>
          </c:tx>
          <c:spPr>
            <a:solidFill>
              <a:schemeClr val="accent6">
                <a:lumMod val="50000"/>
                <a:lumOff val="5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Ctry'!$DE$5:$DE$10</c:f>
              <c:numCache>
                <c:formatCode>General</c:formatCode>
                <c:ptCount val="5"/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B-F200-46B1-8440-05E62C7A0445}"/>
            </c:ext>
          </c:extLst>
        </c:ser>
        <c:ser>
          <c:idx val="108"/>
          <c:order val="108"/>
          <c:tx>
            <c:strRef>
              <c:f>'Emotional Distribution by Ctry'!$DF$3:$DF$4</c:f>
              <c:strCache>
                <c:ptCount val="1"/>
                <c:pt idx="0">
                  <c:v>Inspiration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Ctry'!$DF$5:$DF$10</c:f>
              <c:numCache>
                <c:formatCode>General</c:formatCode>
                <c:ptCount val="5"/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C-F200-46B1-8440-05E62C7A0445}"/>
            </c:ext>
          </c:extLst>
        </c:ser>
        <c:ser>
          <c:idx val="109"/>
          <c:order val="109"/>
          <c:tx>
            <c:strRef>
              <c:f>'Emotional Distribution by Ctry'!$DG$3:$DG$4</c:f>
              <c:strCache>
                <c:ptCount val="1"/>
                <c:pt idx="0">
                  <c:v>Inspired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Ctry'!$DG$5:$DG$10</c:f>
              <c:numCache>
                <c:formatCode>General</c:formatCode>
                <c:ptCount val="5"/>
                <c:pt idx="2">
                  <c:v>2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D-F200-46B1-8440-05E62C7A0445}"/>
            </c:ext>
          </c:extLst>
        </c:ser>
        <c:ser>
          <c:idx val="110"/>
          <c:order val="110"/>
          <c:tx>
            <c:strRef>
              <c:f>'Emotional Distribution by Ctry'!$DH$3:$DH$4</c:f>
              <c:strCache>
                <c:ptCount val="1"/>
                <c:pt idx="0">
                  <c:v>Intimidation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Ctry'!$DH$5:$DH$10</c:f>
              <c:numCache>
                <c:formatCode>General</c:formatCode>
                <c:ptCount val="5"/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6E-F200-46B1-8440-05E62C7A0445}"/>
            </c:ext>
          </c:extLst>
        </c:ser>
        <c:ser>
          <c:idx val="111"/>
          <c:order val="111"/>
          <c:tx>
            <c:strRef>
              <c:f>'Emotional Distribution by Ctry'!$DI$3:$DI$4</c:f>
              <c:strCache>
                <c:ptCount val="1"/>
                <c:pt idx="0">
                  <c:v>Intrigue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Ctry'!$DI$5:$DI$10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6F-F200-46B1-8440-05E62C7A0445}"/>
            </c:ext>
          </c:extLst>
        </c:ser>
        <c:ser>
          <c:idx val="112"/>
          <c:order val="112"/>
          <c:tx>
            <c:strRef>
              <c:f>'Emotional Distribution by Ctry'!$DJ$3:$DJ$4</c:f>
              <c:strCache>
                <c:ptCount val="1"/>
                <c:pt idx="0">
                  <c:v>Isolation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Ctry'!$DJ$5:$DJ$10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70-F200-46B1-8440-05E62C7A0445}"/>
            </c:ext>
          </c:extLst>
        </c:ser>
        <c:ser>
          <c:idx val="113"/>
          <c:order val="113"/>
          <c:tx>
            <c:strRef>
              <c:f>'Emotional Distribution by Ctry'!$DK$3:$DK$4</c:f>
              <c:strCache>
                <c:ptCount val="1"/>
                <c:pt idx="0">
                  <c:v>Jealous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Ctry'!$DK$5:$DK$10</c:f>
              <c:numCache>
                <c:formatCode>General</c:formatCode>
                <c:ptCount val="5"/>
                <c:pt idx="0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1-F200-46B1-8440-05E62C7A0445}"/>
            </c:ext>
          </c:extLst>
        </c:ser>
        <c:ser>
          <c:idx val="114"/>
          <c:order val="114"/>
          <c:tx>
            <c:strRef>
              <c:f>'Emotional Distribution by Ctry'!$DL$3:$DL$4</c:f>
              <c:strCache>
                <c:ptCount val="1"/>
                <c:pt idx="0">
                  <c:v>Jealousy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Ctry'!$DL$5:$DL$10</c:f>
              <c:numCache>
                <c:formatCode>General</c:formatCode>
                <c:ptCount val="5"/>
                <c:pt idx="2">
                  <c:v>2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2-F200-46B1-8440-05E62C7A0445}"/>
            </c:ext>
          </c:extLst>
        </c:ser>
        <c:ser>
          <c:idx val="115"/>
          <c:order val="115"/>
          <c:tx>
            <c:strRef>
              <c:f>'Emotional Distribution by Ctry'!$DM$3:$DM$4</c:f>
              <c:strCache>
                <c:ptCount val="1"/>
                <c:pt idx="0">
                  <c:v>Journey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Ctry'!$DM$5:$DM$10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73-F200-46B1-8440-05E62C7A0445}"/>
            </c:ext>
          </c:extLst>
        </c:ser>
        <c:ser>
          <c:idx val="116"/>
          <c:order val="116"/>
          <c:tx>
            <c:strRef>
              <c:f>'Emotional Distribution by Ctry'!$DN$3:$DN$4</c:f>
              <c:strCache>
                <c:ptCount val="1"/>
                <c:pt idx="0">
                  <c:v>Joy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Ctry'!$DN$5:$DN$10</c:f>
              <c:numCache>
                <c:formatCode>General</c:formatCode>
                <c:ptCount val="5"/>
                <c:pt idx="1">
                  <c:v>15</c:v>
                </c:pt>
                <c:pt idx="3">
                  <c:v>9</c:v>
                </c:pt>
                <c:pt idx="4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4-F200-46B1-8440-05E62C7A0445}"/>
            </c:ext>
          </c:extLst>
        </c:ser>
        <c:ser>
          <c:idx val="117"/>
          <c:order val="117"/>
          <c:tx>
            <c:strRef>
              <c:f>'Emotional Distribution by Ctry'!$DO$3:$DO$4</c:f>
              <c:strCache>
                <c:ptCount val="1"/>
                <c:pt idx="0">
                  <c:v>Joy in Baking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Ctry'!$DO$5:$DO$10</c:f>
              <c:numCache>
                <c:formatCode>General</c:formatCode>
                <c:ptCount val="5"/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5-F200-46B1-8440-05E62C7A0445}"/>
            </c:ext>
          </c:extLst>
        </c:ser>
        <c:ser>
          <c:idx val="118"/>
          <c:order val="118"/>
          <c:tx>
            <c:strRef>
              <c:f>'Emotional Distribution by Ctry'!$DP$3:$DP$4</c:f>
              <c:strCache>
                <c:ptCount val="1"/>
                <c:pt idx="0">
                  <c:v>JoyfulReunion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Ctry'!$DP$5:$DP$10</c:f>
              <c:numCache>
                <c:formatCode>General</c:formatCode>
                <c:ptCount val="5"/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6-F200-46B1-8440-05E62C7A0445}"/>
            </c:ext>
          </c:extLst>
        </c:ser>
        <c:ser>
          <c:idx val="119"/>
          <c:order val="119"/>
          <c:tx>
            <c:strRef>
              <c:f>'Emotional Distribution by Ctry'!$DQ$3:$DQ$4</c:f>
              <c:strCache>
                <c:ptCount val="1"/>
                <c:pt idx="0">
                  <c:v>Kind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Ctry'!$DQ$5:$DQ$10</c:f>
              <c:numCache>
                <c:formatCode>General</c:formatCode>
                <c:ptCount val="5"/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7-F200-46B1-8440-05E62C7A0445}"/>
            </c:ext>
          </c:extLst>
        </c:ser>
        <c:ser>
          <c:idx val="120"/>
          <c:order val="120"/>
          <c:tx>
            <c:strRef>
              <c:f>'Emotional Distribution by Ctry'!$DR$3:$DR$4</c:f>
              <c:strCache>
                <c:ptCount val="1"/>
                <c:pt idx="0">
                  <c:v>Kindness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Ctry'!$DR$5:$DR$10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78-F200-46B1-8440-05E62C7A0445}"/>
            </c:ext>
          </c:extLst>
        </c:ser>
        <c:ser>
          <c:idx val="121"/>
          <c:order val="121"/>
          <c:tx>
            <c:strRef>
              <c:f>'Emotional Distribution by Ctry'!$DS$3:$DS$4</c:f>
              <c:strCache>
                <c:ptCount val="1"/>
                <c:pt idx="0">
                  <c:v>Loneliness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Ctry'!$DS$5:$DS$10</c:f>
              <c:numCache>
                <c:formatCode>General</c:formatCode>
                <c:ptCount val="5"/>
                <c:pt idx="0">
                  <c:v>3</c:v>
                </c:pt>
                <c:pt idx="1">
                  <c:v>1</c:v>
                </c:pt>
                <c:pt idx="3">
                  <c:v>3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9-F200-46B1-8440-05E62C7A0445}"/>
            </c:ext>
          </c:extLst>
        </c:ser>
        <c:ser>
          <c:idx val="122"/>
          <c:order val="122"/>
          <c:tx>
            <c:strRef>
              <c:f>'Emotional Distribution by Ctry'!$DT$3:$DT$4</c:f>
              <c:strCache>
                <c:ptCount val="1"/>
                <c:pt idx="0">
                  <c:v>Loss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Ctry'!$DT$5:$DT$10</c:f>
              <c:numCache>
                <c:formatCode>General</c:formatCode>
                <c:ptCount val="5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A-F200-46B1-8440-05E62C7A0445}"/>
            </c:ext>
          </c:extLst>
        </c:ser>
        <c:ser>
          <c:idx val="123"/>
          <c:order val="123"/>
          <c:tx>
            <c:strRef>
              <c:f>'Emotional Distribution by Ctry'!$DU$3:$DU$4</c:f>
              <c:strCache>
                <c:ptCount val="1"/>
                <c:pt idx="0">
                  <c:v>LostLove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Ctry'!$DU$5:$DU$10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7B-F200-46B1-8440-05E62C7A0445}"/>
            </c:ext>
          </c:extLst>
        </c:ser>
        <c:ser>
          <c:idx val="124"/>
          <c:order val="124"/>
          <c:tx>
            <c:strRef>
              <c:f>'Emotional Distribution by Ctry'!$DV$3:$DV$4</c:f>
              <c:strCache>
                <c:ptCount val="1"/>
                <c:pt idx="0">
                  <c:v>Love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Ctry'!$DV$5:$DV$10</c:f>
              <c:numCache>
                <c:formatCode>General</c:formatCode>
                <c:ptCount val="5"/>
                <c:pt idx="0">
                  <c:v>2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C-F200-46B1-8440-05E62C7A0445}"/>
            </c:ext>
          </c:extLst>
        </c:ser>
        <c:ser>
          <c:idx val="125"/>
          <c:order val="125"/>
          <c:tx>
            <c:strRef>
              <c:f>'Emotional Distribution by Ctry'!$DW$3:$DW$4</c:f>
              <c:strCache>
                <c:ptCount val="1"/>
                <c:pt idx="0">
                  <c:v>Marvel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Ctry'!$DW$5:$DW$10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7D-F200-46B1-8440-05E62C7A0445}"/>
            </c:ext>
          </c:extLst>
        </c:ser>
        <c:ser>
          <c:idx val="126"/>
          <c:order val="126"/>
          <c:tx>
            <c:strRef>
              <c:f>'Emotional Distribution by Ctry'!$DX$3:$DX$4</c:f>
              <c:strCache>
                <c:ptCount val="1"/>
                <c:pt idx="0">
                  <c:v>Melancholy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Ctry'!$DX$5:$DX$10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7E-F200-46B1-8440-05E62C7A0445}"/>
            </c:ext>
          </c:extLst>
        </c:ser>
        <c:ser>
          <c:idx val="127"/>
          <c:order val="127"/>
          <c:tx>
            <c:strRef>
              <c:f>'Emotional Distribution by Ctry'!$DY$3:$DY$4</c:f>
              <c:strCache>
                <c:ptCount val="1"/>
                <c:pt idx="0">
                  <c:v>Melodic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Ctry'!$DY$5:$DY$10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7F-F200-46B1-8440-05E62C7A0445}"/>
            </c:ext>
          </c:extLst>
        </c:ser>
        <c:ser>
          <c:idx val="128"/>
          <c:order val="128"/>
          <c:tx>
            <c:strRef>
              <c:f>'Emotional Distribution by Ctry'!$DZ$3:$DZ$4</c:f>
              <c:strCache>
                <c:ptCount val="1"/>
                <c:pt idx="0">
                  <c:v>Mesmerizing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Ctry'!$DZ$5:$DZ$10</c:f>
              <c:numCache>
                <c:formatCode>General</c:formatCode>
                <c:ptCount val="5"/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0-F200-46B1-8440-05E62C7A0445}"/>
            </c:ext>
          </c:extLst>
        </c:ser>
        <c:ser>
          <c:idx val="129"/>
          <c:order val="129"/>
          <c:tx>
            <c:strRef>
              <c:f>'Emotional Distribution by Ctry'!$EA$3:$EA$4</c:f>
              <c:strCache>
                <c:ptCount val="1"/>
                <c:pt idx="0">
                  <c:v>Mindfulness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Ctry'!$EA$5:$EA$10</c:f>
              <c:numCache>
                <c:formatCode>General</c:formatCode>
                <c:ptCount val="5"/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1-F200-46B1-8440-05E62C7A0445}"/>
            </c:ext>
          </c:extLst>
        </c:ser>
        <c:ser>
          <c:idx val="130"/>
          <c:order val="130"/>
          <c:tx>
            <c:strRef>
              <c:f>'Emotional Distribution by Ctry'!$EB$3:$EB$4</c:f>
              <c:strCache>
                <c:ptCount val="1"/>
                <c:pt idx="0">
                  <c:v>Miscalculation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Ctry'!$EB$5:$EB$10</c:f>
              <c:numCache>
                <c:formatCode>General</c:formatCode>
                <c:ptCount val="5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2-F200-46B1-8440-05E62C7A0445}"/>
            </c:ext>
          </c:extLst>
        </c:ser>
        <c:ser>
          <c:idx val="131"/>
          <c:order val="131"/>
          <c:tx>
            <c:strRef>
              <c:f>'Emotional Distribution by Ctry'!$EC$3:$EC$4</c:f>
              <c:strCache>
                <c:ptCount val="1"/>
                <c:pt idx="0">
                  <c:v>Mischievous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Ctry'!$EC$5:$EC$10</c:f>
              <c:numCache>
                <c:formatCode>General</c:formatCode>
                <c:ptCount val="5"/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3-F200-46B1-8440-05E62C7A0445}"/>
            </c:ext>
          </c:extLst>
        </c:ser>
        <c:ser>
          <c:idx val="132"/>
          <c:order val="132"/>
          <c:tx>
            <c:strRef>
              <c:f>'Emotional Distribution by Ctry'!$ED$3:$ED$4</c:f>
              <c:strCache>
                <c:ptCount val="1"/>
                <c:pt idx="0">
                  <c:v>Motivation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Ctry'!$ED$5:$ED$10</c:f>
              <c:numCache>
                <c:formatCode>General</c:formatCode>
                <c:ptCount val="5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4-F200-46B1-8440-05E62C7A0445}"/>
            </c:ext>
          </c:extLst>
        </c:ser>
        <c:ser>
          <c:idx val="133"/>
          <c:order val="133"/>
          <c:tx>
            <c:strRef>
              <c:f>'Emotional Distribution by Ctry'!$EE$3:$EE$4</c:f>
              <c:strCache>
                <c:ptCount val="1"/>
                <c:pt idx="0">
                  <c:v>Nature's Beauty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Ctry'!$EE$5:$EE$10</c:f>
              <c:numCache>
                <c:formatCode>General</c:formatCode>
                <c:ptCount val="5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5-F200-46B1-8440-05E62C7A0445}"/>
            </c:ext>
          </c:extLst>
        </c:ser>
        <c:ser>
          <c:idx val="134"/>
          <c:order val="134"/>
          <c:tx>
            <c:strRef>
              <c:f>'Emotional Distribution by Ctry'!$EF$3:$EF$4</c:f>
              <c:strCache>
                <c:ptCount val="1"/>
                <c:pt idx="0">
                  <c:v>Negative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Ctry'!$EF$5:$EF$10</c:f>
              <c:numCache>
                <c:formatCode>General</c:formatCode>
                <c:ptCount val="5"/>
                <c:pt idx="1">
                  <c:v>2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6-F200-46B1-8440-05E62C7A0445}"/>
            </c:ext>
          </c:extLst>
        </c:ser>
        <c:ser>
          <c:idx val="135"/>
          <c:order val="135"/>
          <c:tx>
            <c:strRef>
              <c:f>'Emotional Distribution by Ctry'!$EG$3:$EG$4</c:f>
              <c:strCache>
                <c:ptCount val="1"/>
                <c:pt idx="0">
                  <c:v>Neutral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Ctry'!$EG$5:$EG$10</c:f>
              <c:numCache>
                <c:formatCode>General</c:formatCode>
                <c:ptCount val="5"/>
                <c:pt idx="0">
                  <c:v>2</c:v>
                </c:pt>
                <c:pt idx="1">
                  <c:v>5</c:v>
                </c:pt>
                <c:pt idx="2">
                  <c:v>1</c:v>
                </c:pt>
                <c:pt idx="3">
                  <c:v>4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7-F200-46B1-8440-05E62C7A0445}"/>
            </c:ext>
          </c:extLst>
        </c:ser>
        <c:ser>
          <c:idx val="136"/>
          <c:order val="136"/>
          <c:tx>
            <c:strRef>
              <c:f>'Emotional Distribution by Ctry'!$EH$3:$EH$4</c:f>
              <c:strCache>
                <c:ptCount val="1"/>
                <c:pt idx="0">
                  <c:v>Nostalgia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Ctry'!$EH$5:$EH$10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8-F200-46B1-8440-05E62C7A0445}"/>
            </c:ext>
          </c:extLst>
        </c:ser>
        <c:ser>
          <c:idx val="137"/>
          <c:order val="137"/>
          <c:tx>
            <c:strRef>
              <c:f>'Emotional Distribution by Ctry'!$EI$3:$EI$4</c:f>
              <c:strCache>
                <c:ptCount val="1"/>
                <c:pt idx="0">
                  <c:v>Numbness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Ctry'!$EI$5:$EI$10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9-F200-46B1-8440-05E62C7A0445}"/>
            </c:ext>
          </c:extLst>
        </c:ser>
        <c:ser>
          <c:idx val="138"/>
          <c:order val="138"/>
          <c:tx>
            <c:strRef>
              <c:f>'Emotional Distribution by Ctry'!$EJ$3:$EJ$4</c:f>
              <c:strCache>
                <c:ptCount val="1"/>
                <c:pt idx="0">
                  <c:v>Obstacle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Ctry'!$EJ$5:$EJ$10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8A-F200-46B1-8440-05E62C7A0445}"/>
            </c:ext>
          </c:extLst>
        </c:ser>
        <c:ser>
          <c:idx val="139"/>
          <c:order val="139"/>
          <c:tx>
            <c:strRef>
              <c:f>'Emotional Distribution by Ctry'!$EK$3:$EK$4</c:f>
              <c:strCache>
                <c:ptCount val="1"/>
                <c:pt idx="0">
                  <c:v>Ocean's Freedom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Ctry'!$EK$5:$EK$10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8B-F200-46B1-8440-05E62C7A0445}"/>
            </c:ext>
          </c:extLst>
        </c:ser>
        <c:ser>
          <c:idx val="140"/>
          <c:order val="140"/>
          <c:tx>
            <c:strRef>
              <c:f>'Emotional Distribution by Ctry'!$EL$3:$EL$4</c:f>
              <c:strCache>
                <c:ptCount val="1"/>
                <c:pt idx="0">
                  <c:v>Optimism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Ctry'!$EL$5:$EL$10</c:f>
              <c:numCache>
                <c:formatCode>General</c:formatCode>
                <c:ptCount val="5"/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C-F200-46B1-8440-05E62C7A0445}"/>
            </c:ext>
          </c:extLst>
        </c:ser>
        <c:ser>
          <c:idx val="141"/>
          <c:order val="141"/>
          <c:tx>
            <c:strRef>
              <c:f>'Emotional Distribution by Ctry'!$EM$3:$EM$4</c:f>
              <c:strCache>
                <c:ptCount val="1"/>
                <c:pt idx="0">
                  <c:v>Overjoyed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Ctry'!$EM$5:$EM$10</c:f>
              <c:numCache>
                <c:formatCode>General</c:formatCode>
                <c:ptCount val="5"/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D-F200-46B1-8440-05E62C7A0445}"/>
            </c:ext>
          </c:extLst>
        </c:ser>
        <c:ser>
          <c:idx val="142"/>
          <c:order val="142"/>
          <c:tx>
            <c:strRef>
              <c:f>'Emotional Distribution by Ctry'!$EN$3:$EN$4</c:f>
              <c:strCache>
                <c:ptCount val="1"/>
                <c:pt idx="0">
                  <c:v>Overwhelmed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Ctry'!$EN$5:$EN$10</c:f>
              <c:numCache>
                <c:formatCode>General</c:formatCode>
                <c:ptCount val="5"/>
                <c:pt idx="1">
                  <c:v>1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8E-F200-46B1-8440-05E62C7A0445}"/>
            </c:ext>
          </c:extLst>
        </c:ser>
        <c:ser>
          <c:idx val="143"/>
          <c:order val="143"/>
          <c:tx>
            <c:strRef>
              <c:f>'Emotional Distribution by Ctry'!$EO$3:$EO$4</c:f>
              <c:strCache>
                <c:ptCount val="1"/>
                <c:pt idx="0">
                  <c:v>Pensive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Ctry'!$EO$5:$EO$10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8F-F200-46B1-8440-05E62C7A0445}"/>
            </c:ext>
          </c:extLst>
        </c:ser>
        <c:ser>
          <c:idx val="144"/>
          <c:order val="144"/>
          <c:tx>
            <c:strRef>
              <c:f>'Emotional Distribution by Ctry'!$EP$3:$EP$4</c:f>
              <c:strCache>
                <c:ptCount val="1"/>
                <c:pt idx="0">
                  <c:v>Playful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Ctry'!$EP$5:$EP$10</c:f>
              <c:numCache>
                <c:formatCode>General</c:formatCode>
                <c:ptCount val="5"/>
                <c:pt idx="0">
                  <c:v>3</c:v>
                </c:pt>
                <c:pt idx="1">
                  <c:v>1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0-F200-46B1-8440-05E62C7A0445}"/>
            </c:ext>
          </c:extLst>
        </c:ser>
        <c:ser>
          <c:idx val="145"/>
          <c:order val="145"/>
          <c:tx>
            <c:strRef>
              <c:f>'Emotional Distribution by Ctry'!$EQ$3:$EQ$4</c:f>
              <c:strCache>
                <c:ptCount val="1"/>
                <c:pt idx="0">
                  <c:v>PlayfulJoy</c:v>
                </c:pt>
              </c:strCache>
            </c:strRef>
          </c:tx>
          <c:spPr>
            <a:solidFill>
              <a:schemeClr val="accent2">
                <a:lumMod val="70000"/>
                <a:lumOff val="3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Ctry'!$EQ$5:$EQ$10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91-F200-46B1-8440-05E62C7A0445}"/>
            </c:ext>
          </c:extLst>
        </c:ser>
        <c:ser>
          <c:idx val="146"/>
          <c:order val="146"/>
          <c:tx>
            <c:strRef>
              <c:f>'Emotional Distribution by Ctry'!$ER$3:$ER$4</c:f>
              <c:strCache>
                <c:ptCount val="1"/>
                <c:pt idx="0">
                  <c:v>Positive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Ctry'!$ER$5:$ER$10</c:f>
              <c:numCache>
                <c:formatCode>General</c:formatCode>
                <c:ptCount val="5"/>
                <c:pt idx="0">
                  <c:v>2</c:v>
                </c:pt>
                <c:pt idx="1">
                  <c:v>8</c:v>
                </c:pt>
                <c:pt idx="2">
                  <c:v>7</c:v>
                </c:pt>
                <c:pt idx="3">
                  <c:v>10</c:v>
                </c:pt>
                <c:pt idx="4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2-F200-46B1-8440-05E62C7A0445}"/>
            </c:ext>
          </c:extLst>
        </c:ser>
        <c:ser>
          <c:idx val="147"/>
          <c:order val="147"/>
          <c:tx>
            <c:strRef>
              <c:f>'Emotional Distribution by Ctry'!$ES$3:$ES$4</c:f>
              <c:strCache>
                <c:ptCount val="1"/>
                <c:pt idx="0">
                  <c:v>Positivity</c:v>
                </c:pt>
              </c:strCache>
            </c:strRef>
          </c:tx>
          <c:spPr>
            <a:solidFill>
              <a:schemeClr val="accent4">
                <a:lumMod val="70000"/>
                <a:lumOff val="3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Ctry'!$ES$5:$ES$10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93-F200-46B1-8440-05E62C7A0445}"/>
            </c:ext>
          </c:extLst>
        </c:ser>
        <c:ser>
          <c:idx val="148"/>
          <c:order val="148"/>
          <c:tx>
            <c:strRef>
              <c:f>'Emotional Distribution by Ctry'!$ET$3:$ET$4</c:f>
              <c:strCache>
                <c:ptCount val="1"/>
                <c:pt idx="0">
                  <c:v>Pressure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Ctry'!$ET$5:$ET$10</c:f>
              <c:numCache>
                <c:formatCode>General</c:formatCode>
                <c:ptCount val="5"/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4-F200-46B1-8440-05E62C7A0445}"/>
            </c:ext>
          </c:extLst>
        </c:ser>
        <c:ser>
          <c:idx val="149"/>
          <c:order val="149"/>
          <c:tx>
            <c:strRef>
              <c:f>'Emotional Distribution by Ctry'!$EU$3:$EU$4</c:f>
              <c:strCache>
                <c:ptCount val="1"/>
                <c:pt idx="0">
                  <c:v>Pride</c:v>
                </c:pt>
              </c:strCache>
            </c:strRef>
          </c:tx>
          <c:spPr>
            <a:solidFill>
              <a:schemeClr val="accent6">
                <a:lumMod val="70000"/>
                <a:lumOff val="3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Ctry'!$EU$5:$EU$10</c:f>
              <c:numCache>
                <c:formatCode>General</c:formatCode>
                <c:ptCount val="5"/>
                <c:pt idx="0">
                  <c:v>2</c:v>
                </c:pt>
                <c:pt idx="1">
                  <c:v>1</c:v>
                </c:pt>
                <c:pt idx="3">
                  <c:v>2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5-F200-46B1-8440-05E62C7A0445}"/>
            </c:ext>
          </c:extLst>
        </c:ser>
        <c:ser>
          <c:idx val="150"/>
          <c:order val="150"/>
          <c:tx>
            <c:strRef>
              <c:f>'Emotional Distribution by Ctry'!$EV$3:$EV$4</c:f>
              <c:strCache>
                <c:ptCount val="1"/>
                <c:pt idx="0">
                  <c:v>Proud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Ctry'!$EV$5:$EV$10</c:f>
              <c:numCache>
                <c:formatCode>General</c:formatCode>
                <c:ptCount val="5"/>
                <c:pt idx="1">
                  <c:v>1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6-F200-46B1-8440-05E62C7A0445}"/>
            </c:ext>
          </c:extLst>
        </c:ser>
        <c:ser>
          <c:idx val="151"/>
          <c:order val="151"/>
          <c:tx>
            <c:strRef>
              <c:f>'Emotional Distribution by Ctry'!$EW$3:$EW$4</c:f>
              <c:strCache>
                <c:ptCount val="1"/>
                <c:pt idx="0">
                  <c:v>Radiance</c:v>
                </c:pt>
              </c:strCache>
            </c:strRef>
          </c:tx>
          <c:spPr>
            <a:solidFill>
              <a:schemeClr val="accent2">
                <a:lumMod val="7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Ctry'!$EW$5:$EW$10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97-F200-46B1-8440-05E62C7A0445}"/>
            </c:ext>
          </c:extLst>
        </c:ser>
        <c:ser>
          <c:idx val="152"/>
          <c:order val="152"/>
          <c:tx>
            <c:strRef>
              <c:f>'Emotional Distribution by Ctry'!$EX$3:$EX$4</c:f>
              <c:strCache>
                <c:ptCount val="1"/>
                <c:pt idx="0">
                  <c:v>Reflection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Ctry'!$EX$5:$EX$10</c:f>
              <c:numCache>
                <c:formatCode>General</c:formatCode>
                <c:ptCount val="5"/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8-F200-46B1-8440-05E62C7A0445}"/>
            </c:ext>
          </c:extLst>
        </c:ser>
        <c:ser>
          <c:idx val="153"/>
          <c:order val="153"/>
          <c:tx>
            <c:strRef>
              <c:f>'Emotional Distribution by Ctry'!$EY$3:$EY$4</c:f>
              <c:strCache>
                <c:ptCount val="1"/>
                <c:pt idx="0">
                  <c:v>Regret</c:v>
                </c:pt>
              </c:strCache>
            </c:strRef>
          </c:tx>
          <c:spPr>
            <a:solidFill>
              <a:schemeClr val="accent4">
                <a:lumMod val="7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Ctry'!$EY$5:$EY$10</c:f>
              <c:numCache>
                <c:formatCode>General</c:formatCode>
                <c:ptCount val="5"/>
                <c:pt idx="1">
                  <c:v>1</c:v>
                </c:pt>
                <c:pt idx="3">
                  <c:v>2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9-F200-46B1-8440-05E62C7A0445}"/>
            </c:ext>
          </c:extLst>
        </c:ser>
        <c:ser>
          <c:idx val="154"/>
          <c:order val="154"/>
          <c:tx>
            <c:strRef>
              <c:f>'Emotional Distribution by Ctry'!$EZ$3:$EZ$4</c:f>
              <c:strCache>
                <c:ptCount val="1"/>
                <c:pt idx="0">
                  <c:v>Rejuvenation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Ctry'!$EZ$5:$EZ$10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9A-F200-46B1-8440-05E62C7A0445}"/>
            </c:ext>
          </c:extLst>
        </c:ser>
        <c:ser>
          <c:idx val="155"/>
          <c:order val="155"/>
          <c:tx>
            <c:strRef>
              <c:f>'Emotional Distribution by Ctry'!$FA$3:$FA$4</c:f>
              <c:strCache>
                <c:ptCount val="1"/>
                <c:pt idx="0">
                  <c:v>Relief</c:v>
                </c:pt>
              </c:strCache>
            </c:strRef>
          </c:tx>
          <c:spPr>
            <a:solidFill>
              <a:schemeClr val="accent6">
                <a:lumMod val="7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Ctry'!$FA$5:$FA$10</c:f>
              <c:numCache>
                <c:formatCode>General</c:formatCode>
                <c:ptCount val="5"/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B-F200-46B1-8440-05E62C7A0445}"/>
            </c:ext>
          </c:extLst>
        </c:ser>
        <c:ser>
          <c:idx val="156"/>
          <c:order val="156"/>
          <c:tx>
            <c:strRef>
              <c:f>'Emotional Distribution by Ctry'!$FB$3:$FB$4</c:f>
              <c:strCache>
                <c:ptCount val="1"/>
                <c:pt idx="0">
                  <c:v>Renewed Effort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Ctry'!$FB$5:$FB$10</c:f>
              <c:numCache>
                <c:formatCode>General</c:formatCode>
                <c:ptCount val="5"/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C-F200-46B1-8440-05E62C7A0445}"/>
            </c:ext>
          </c:extLst>
        </c:ser>
        <c:ser>
          <c:idx val="157"/>
          <c:order val="157"/>
          <c:tx>
            <c:strRef>
              <c:f>'Emotional Distribution by Ctry'!$FC$3:$FC$4</c:f>
              <c:strCache>
                <c:ptCount val="1"/>
                <c:pt idx="0">
                  <c:v>Resentment</c:v>
                </c:pt>
              </c:strCache>
            </c:strRef>
          </c:tx>
          <c:spPr>
            <a:solidFill>
              <a:schemeClr val="accent2">
                <a:lumMod val="50000"/>
                <a:lumOff val="5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Ctry'!$FC$5:$FC$10</c:f>
              <c:numCache>
                <c:formatCode>General</c:formatCode>
                <c:ptCount val="5"/>
                <c:pt idx="0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D-F200-46B1-8440-05E62C7A0445}"/>
            </c:ext>
          </c:extLst>
        </c:ser>
        <c:ser>
          <c:idx val="158"/>
          <c:order val="158"/>
          <c:tx>
            <c:strRef>
              <c:f>'Emotional Distribution by Ctry'!$FD$3:$FD$4</c:f>
              <c:strCache>
                <c:ptCount val="1"/>
                <c:pt idx="0">
                  <c:v>Resilience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Ctry'!$FD$5:$FD$10</c:f>
              <c:numCache>
                <c:formatCode>General</c:formatCode>
                <c:ptCount val="5"/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E-F200-46B1-8440-05E62C7A0445}"/>
            </c:ext>
          </c:extLst>
        </c:ser>
        <c:ser>
          <c:idx val="159"/>
          <c:order val="159"/>
          <c:tx>
            <c:strRef>
              <c:f>'Emotional Distribution by Ctry'!$FE$3:$FE$4</c:f>
              <c:strCache>
                <c:ptCount val="1"/>
                <c:pt idx="0">
                  <c:v>Reverence</c:v>
                </c:pt>
              </c:strCache>
            </c:strRef>
          </c:tx>
          <c:spPr>
            <a:solidFill>
              <a:schemeClr val="accent4">
                <a:lumMod val="50000"/>
                <a:lumOff val="5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Ctry'!$FE$5:$FE$10</c:f>
              <c:numCache>
                <c:formatCode>General</c:formatCode>
                <c:ptCount val="5"/>
                <c:pt idx="0">
                  <c:v>1</c:v>
                </c:pt>
                <c:pt idx="3">
                  <c:v>2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9F-F200-46B1-8440-05E62C7A0445}"/>
            </c:ext>
          </c:extLst>
        </c:ser>
        <c:ser>
          <c:idx val="160"/>
          <c:order val="160"/>
          <c:tx>
            <c:strRef>
              <c:f>'Emotional Distribution by Ctry'!$FF$3:$FF$4</c:f>
              <c:strCache>
                <c:ptCount val="1"/>
                <c:pt idx="0">
                  <c:v>Romance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Ctry'!$FF$5:$FF$10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A0-F200-46B1-8440-05E62C7A0445}"/>
            </c:ext>
          </c:extLst>
        </c:ser>
        <c:ser>
          <c:idx val="161"/>
          <c:order val="161"/>
          <c:tx>
            <c:strRef>
              <c:f>'Emotional Distribution by Ctry'!$FG$3:$FG$4</c:f>
              <c:strCache>
                <c:ptCount val="1"/>
                <c:pt idx="0">
                  <c:v>Ruins</c:v>
                </c:pt>
              </c:strCache>
            </c:strRef>
          </c:tx>
          <c:spPr>
            <a:solidFill>
              <a:schemeClr val="accent6">
                <a:lumMod val="50000"/>
                <a:lumOff val="5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Ctry'!$FG$5:$FG$10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A1-F200-46B1-8440-05E62C7A0445}"/>
            </c:ext>
          </c:extLst>
        </c:ser>
        <c:ser>
          <c:idx val="162"/>
          <c:order val="162"/>
          <c:tx>
            <c:strRef>
              <c:f>'Emotional Distribution by Ctry'!$FH$3:$FH$4</c:f>
              <c:strCache>
                <c:ptCount val="1"/>
                <c:pt idx="0">
                  <c:v>Runway Creativity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Ctry'!$FH$5:$FH$10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A2-F200-46B1-8440-05E62C7A0445}"/>
            </c:ext>
          </c:extLst>
        </c:ser>
        <c:ser>
          <c:idx val="163"/>
          <c:order val="163"/>
          <c:tx>
            <c:strRef>
              <c:f>'Emotional Distribution by Ctry'!$FI$3:$FI$4</c:f>
              <c:strCache>
                <c:ptCount val="1"/>
                <c:pt idx="0">
                  <c:v>Sad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Ctry'!$FI$5:$FI$10</c:f>
              <c:numCache>
                <c:formatCode>General</c:formatCode>
                <c:ptCount val="5"/>
                <c:pt idx="1">
                  <c:v>3</c:v>
                </c:pt>
                <c:pt idx="3">
                  <c:v>3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3-F200-46B1-8440-05E62C7A0445}"/>
            </c:ext>
          </c:extLst>
        </c:ser>
        <c:ser>
          <c:idx val="164"/>
          <c:order val="164"/>
          <c:tx>
            <c:strRef>
              <c:f>'Emotional Distribution by Ctry'!$FJ$3:$FJ$4</c:f>
              <c:strCache>
                <c:ptCount val="1"/>
                <c:pt idx="0">
                  <c:v>Sadness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Ctry'!$FJ$5:$FJ$10</c:f>
              <c:numCache>
                <c:formatCode>General</c:formatCode>
                <c:ptCount val="5"/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4-F200-46B1-8440-05E62C7A0445}"/>
            </c:ext>
          </c:extLst>
        </c:ser>
        <c:ser>
          <c:idx val="165"/>
          <c:order val="165"/>
          <c:tx>
            <c:strRef>
              <c:f>'Emotional Distribution by Ctry'!$FK$3:$FK$4</c:f>
              <c:strCache>
                <c:ptCount val="1"/>
                <c:pt idx="0">
                  <c:v>Satisfaction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Ctry'!$FK$5:$FK$10</c:f>
              <c:numCache>
                <c:formatCode>General</c:formatCode>
                <c:ptCount val="5"/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5-F200-46B1-8440-05E62C7A0445}"/>
            </c:ext>
          </c:extLst>
        </c:ser>
        <c:ser>
          <c:idx val="166"/>
          <c:order val="166"/>
          <c:tx>
            <c:strRef>
              <c:f>'Emotional Distribution by Ctry'!$FL$3:$FL$4</c:f>
              <c:strCache>
                <c:ptCount val="1"/>
                <c:pt idx="0">
                  <c:v>Serenity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Ctry'!$FL$5:$FL$10</c:f>
              <c:numCache>
                <c:formatCode>General</c:formatCode>
                <c:ptCount val="5"/>
                <c:pt idx="0">
                  <c:v>1</c:v>
                </c:pt>
                <c:pt idx="1">
                  <c:v>6</c:v>
                </c:pt>
                <c:pt idx="3">
                  <c:v>3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6-F200-46B1-8440-05E62C7A0445}"/>
            </c:ext>
          </c:extLst>
        </c:ser>
        <c:ser>
          <c:idx val="167"/>
          <c:order val="167"/>
          <c:tx>
            <c:strRef>
              <c:f>'Emotional Distribution by Ctry'!$FM$3:$FM$4</c:f>
              <c:strCache>
                <c:ptCount val="1"/>
                <c:pt idx="0">
                  <c:v>Shame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Ctry'!$FM$5:$FM$10</c:f>
              <c:numCache>
                <c:formatCode>General</c:formatCode>
                <c:ptCount val="5"/>
                <c:pt idx="2">
                  <c:v>2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7-F200-46B1-8440-05E62C7A0445}"/>
            </c:ext>
          </c:extLst>
        </c:ser>
        <c:ser>
          <c:idx val="168"/>
          <c:order val="168"/>
          <c:tx>
            <c:strRef>
              <c:f>'Emotional Distribution by Ctry'!$FN$3:$FN$4</c:f>
              <c:strCache>
                <c:ptCount val="1"/>
                <c:pt idx="0">
                  <c:v>Solace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Ctry'!$FN$5:$FN$10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A8-F200-46B1-8440-05E62C7A0445}"/>
            </c:ext>
          </c:extLst>
        </c:ser>
        <c:ser>
          <c:idx val="169"/>
          <c:order val="169"/>
          <c:tx>
            <c:strRef>
              <c:f>'Emotional Distribution by Ctry'!$FO$3:$FO$4</c:f>
              <c:strCache>
                <c:ptCount val="1"/>
                <c:pt idx="0">
                  <c:v>Solitude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Ctry'!$FO$5:$FO$10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A9-F200-46B1-8440-05E62C7A0445}"/>
            </c:ext>
          </c:extLst>
        </c:ser>
        <c:ser>
          <c:idx val="170"/>
          <c:order val="170"/>
          <c:tx>
            <c:strRef>
              <c:f>'Emotional Distribution by Ctry'!$FP$3:$FP$4</c:f>
              <c:strCache>
                <c:ptCount val="1"/>
                <c:pt idx="0">
                  <c:v>Sorrow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Ctry'!$FP$5:$FP$10</c:f>
              <c:numCache>
                <c:formatCode>General</c:formatCode>
                <c:ptCount val="5"/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A-F200-46B1-8440-05E62C7A0445}"/>
            </c:ext>
          </c:extLst>
        </c:ser>
        <c:ser>
          <c:idx val="171"/>
          <c:order val="171"/>
          <c:tx>
            <c:strRef>
              <c:f>'Emotional Distribution by Ctry'!$FQ$3:$FQ$4</c:f>
              <c:strCache>
                <c:ptCount val="1"/>
                <c:pt idx="0">
                  <c:v>Spark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Ctry'!$FQ$5:$FQ$10</c:f>
              <c:numCache>
                <c:formatCode>General</c:formatCode>
                <c:ptCount val="5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B-F200-46B1-8440-05E62C7A0445}"/>
            </c:ext>
          </c:extLst>
        </c:ser>
        <c:ser>
          <c:idx val="172"/>
          <c:order val="172"/>
          <c:tx>
            <c:strRef>
              <c:f>'Emotional Distribution by Ctry'!$FR$3:$FR$4</c:f>
              <c:strCache>
                <c:ptCount val="1"/>
                <c:pt idx="0">
                  <c:v>Success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Ctry'!$FR$5:$FR$10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AC-F200-46B1-8440-05E62C7A0445}"/>
            </c:ext>
          </c:extLst>
        </c:ser>
        <c:ser>
          <c:idx val="173"/>
          <c:order val="173"/>
          <c:tx>
            <c:strRef>
              <c:f>'Emotional Distribution by Ctry'!$FS$3:$FS$4</c:f>
              <c:strCache>
                <c:ptCount val="1"/>
                <c:pt idx="0">
                  <c:v>Suffering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Ctry'!$FS$5:$FS$10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AD-F200-46B1-8440-05E62C7A0445}"/>
            </c:ext>
          </c:extLst>
        </c:ser>
        <c:ser>
          <c:idx val="174"/>
          <c:order val="174"/>
          <c:tx>
            <c:strRef>
              <c:f>'Emotional Distribution by Ctry'!$FT$3:$FT$4</c:f>
              <c:strCache>
                <c:ptCount val="1"/>
                <c:pt idx="0">
                  <c:v>Surprise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Ctry'!$FT$5:$FT$10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3">
                  <c:v>1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AE-F200-46B1-8440-05E62C7A0445}"/>
            </c:ext>
          </c:extLst>
        </c:ser>
        <c:ser>
          <c:idx val="175"/>
          <c:order val="175"/>
          <c:tx>
            <c:strRef>
              <c:f>'Emotional Distribution by Ctry'!$FU$3:$FU$4</c:f>
              <c:strCache>
                <c:ptCount val="1"/>
                <c:pt idx="0">
                  <c:v>Suspense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Ctry'!$FU$5:$FU$10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AF-F200-46B1-8440-05E62C7A0445}"/>
            </c:ext>
          </c:extLst>
        </c:ser>
        <c:ser>
          <c:idx val="176"/>
          <c:order val="176"/>
          <c:tx>
            <c:strRef>
              <c:f>'Emotional Distribution by Ctry'!$FV$3:$FV$4</c:f>
              <c:strCache>
                <c:ptCount val="1"/>
                <c:pt idx="0">
                  <c:v>Sympathy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Ctry'!$FV$5:$FV$10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B0-F200-46B1-8440-05E62C7A0445}"/>
            </c:ext>
          </c:extLst>
        </c:ser>
        <c:ser>
          <c:idx val="177"/>
          <c:order val="177"/>
          <c:tx>
            <c:strRef>
              <c:f>'Emotional Distribution by Ctry'!$FW$3:$FW$4</c:f>
              <c:strCache>
                <c:ptCount val="1"/>
                <c:pt idx="0">
                  <c:v>Tenderness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Ctry'!$FW$5:$FW$10</c:f>
              <c:numCache>
                <c:formatCode>General</c:formatCode>
                <c:ptCount val="5"/>
                <c:pt idx="1">
                  <c:v>1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B1-F200-46B1-8440-05E62C7A0445}"/>
            </c:ext>
          </c:extLst>
        </c:ser>
        <c:ser>
          <c:idx val="178"/>
          <c:order val="178"/>
          <c:tx>
            <c:strRef>
              <c:f>'Emotional Distribution by Ctry'!$FX$3:$FX$4</c:f>
              <c:strCache>
                <c:ptCount val="1"/>
                <c:pt idx="0">
                  <c:v>Thrill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Ctry'!$FX$5:$FX$10</c:f>
              <c:numCache>
                <c:formatCode>General</c:formatCode>
                <c:ptCount val="5"/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B2-F200-46B1-8440-05E62C7A0445}"/>
            </c:ext>
          </c:extLst>
        </c:ser>
        <c:ser>
          <c:idx val="179"/>
          <c:order val="179"/>
          <c:tx>
            <c:strRef>
              <c:f>'Emotional Distribution by Ctry'!$FY$3:$FY$4</c:f>
              <c:strCache>
                <c:ptCount val="1"/>
                <c:pt idx="0">
                  <c:v>Thrilling Journey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Ctry'!$FY$5:$FY$10</c:f>
              <c:numCache>
                <c:formatCode>General</c:formatCode>
                <c:ptCount val="5"/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B3-F200-46B1-8440-05E62C7A0445}"/>
            </c:ext>
          </c:extLst>
        </c:ser>
        <c:ser>
          <c:idx val="180"/>
          <c:order val="180"/>
          <c:tx>
            <c:strRef>
              <c:f>'Emotional Distribution by Ctry'!$FZ$3:$FZ$4</c:f>
              <c:strCache>
                <c:ptCount val="1"/>
                <c:pt idx="0">
                  <c:v>Touched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Ctry'!$FZ$5:$FZ$10</c:f>
              <c:numCache>
                <c:formatCode>General</c:formatCode>
                <c:ptCount val="5"/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B4-F200-46B1-8440-05E62C7A0445}"/>
            </c:ext>
          </c:extLst>
        </c:ser>
        <c:ser>
          <c:idx val="181"/>
          <c:order val="181"/>
          <c:tx>
            <c:strRef>
              <c:f>'Emotional Distribution by Ctry'!$GA$3:$GA$4</c:f>
              <c:strCache>
                <c:ptCount val="1"/>
                <c:pt idx="0">
                  <c:v>Tranquility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Ctry'!$GA$5:$GA$10</c:f>
              <c:numCache>
                <c:formatCode>General</c:formatCode>
                <c:ptCount val="5"/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B5-F200-46B1-8440-05E62C7A0445}"/>
            </c:ext>
          </c:extLst>
        </c:ser>
        <c:ser>
          <c:idx val="182"/>
          <c:order val="182"/>
          <c:tx>
            <c:strRef>
              <c:f>'Emotional Distribution by Ctry'!$GB$3:$GB$4</c:f>
              <c:strCache>
                <c:ptCount val="1"/>
                <c:pt idx="0">
                  <c:v>Triumph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Ctry'!$GB$5:$GB$10</c:f>
              <c:numCache>
                <c:formatCode>General</c:formatCode>
                <c:ptCount val="5"/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B6-F200-46B1-8440-05E62C7A0445}"/>
            </c:ext>
          </c:extLst>
        </c:ser>
        <c:ser>
          <c:idx val="183"/>
          <c:order val="183"/>
          <c:tx>
            <c:strRef>
              <c:f>'Emotional Distribution by Ctry'!$GC$3:$GC$4</c:f>
              <c:strCache>
                <c:ptCount val="1"/>
                <c:pt idx="0">
                  <c:v>Vibrancy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Ctry'!$GC$5:$GC$10</c:f>
              <c:numCache>
                <c:formatCode>General</c:formatCode>
                <c:ptCount val="5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B7-F200-46B1-8440-05E62C7A0445}"/>
            </c:ext>
          </c:extLst>
        </c:ser>
        <c:ser>
          <c:idx val="184"/>
          <c:order val="184"/>
          <c:tx>
            <c:strRef>
              <c:f>'Emotional Distribution by Ctry'!$GD$3:$GD$4</c:f>
              <c:strCache>
                <c:ptCount val="1"/>
                <c:pt idx="0">
                  <c:v>Whimsy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Ctry'!$GD$5:$GD$10</c:f>
              <c:numCache>
                <c:formatCode>General</c:formatCode>
                <c:ptCount val="5"/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B8-F200-46B1-8440-05E62C7A0445}"/>
            </c:ext>
          </c:extLst>
        </c:ser>
        <c:ser>
          <c:idx val="185"/>
          <c:order val="185"/>
          <c:tx>
            <c:strRef>
              <c:f>'Emotional Distribution by Ctry'!$GE$3:$GE$4</c:f>
              <c:strCache>
                <c:ptCount val="1"/>
                <c:pt idx="0">
                  <c:v>Whispers of the Past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Ctry'!$GE$5:$GE$10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B9-F200-46B1-8440-05E62C7A0445}"/>
            </c:ext>
          </c:extLst>
        </c:ser>
        <c:ser>
          <c:idx val="186"/>
          <c:order val="186"/>
          <c:tx>
            <c:strRef>
              <c:f>'Emotional Distribution by Ctry'!$GF$3:$GF$4</c:f>
              <c:strCache>
                <c:ptCount val="1"/>
                <c:pt idx="0">
                  <c:v>Winter Magic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Ctry'!$GF$5:$GF$10</c:f>
              <c:numCache>
                <c:formatCode>General</c:formatCode>
                <c:ptCount val="5"/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BA-F200-46B1-8440-05E62C7A0445}"/>
            </c:ext>
          </c:extLst>
        </c:ser>
        <c:ser>
          <c:idx val="187"/>
          <c:order val="187"/>
          <c:tx>
            <c:strRef>
              <c:f>'Emotional Distribution by Ctry'!$GG$3:$GG$4</c:f>
              <c:strCache>
                <c:ptCount val="1"/>
                <c:pt idx="0">
                  <c:v>Wonder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Ctry'!$GG$5:$GG$10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BB-F200-46B1-8440-05E62C7A0445}"/>
            </c:ext>
          </c:extLst>
        </c:ser>
        <c:ser>
          <c:idx val="188"/>
          <c:order val="188"/>
          <c:tx>
            <c:strRef>
              <c:f>'Emotional Distribution by Ctry'!$GH$3:$GH$4</c:f>
              <c:strCache>
                <c:ptCount val="1"/>
                <c:pt idx="0">
                  <c:v>Wonderment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Ctry'!$GH$5:$GH$10</c:f>
              <c:numCache>
                <c:formatCode>General</c:formatCode>
                <c:ptCount val="5"/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BC-F200-46B1-8440-05E62C7A0445}"/>
            </c:ext>
          </c:extLst>
        </c:ser>
        <c:ser>
          <c:idx val="189"/>
          <c:order val="189"/>
          <c:tx>
            <c:strRef>
              <c:f>'Emotional Distribution by Ctry'!$GI$3:$GI$4</c:f>
              <c:strCache>
                <c:ptCount val="1"/>
                <c:pt idx="0">
                  <c:v>Yearning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Ctry'!$GI$5:$GI$10</c:f>
              <c:numCache>
                <c:formatCode>General</c:formatCode>
                <c:ptCount val="5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BD-F200-46B1-8440-05E62C7A0445}"/>
            </c:ext>
          </c:extLst>
        </c:ser>
        <c:ser>
          <c:idx val="190"/>
          <c:order val="190"/>
          <c:tx>
            <c:strRef>
              <c:f>'Emotional Distribution by Ctry'!$GJ$3:$GJ$4</c:f>
              <c:strCache>
                <c:ptCount val="1"/>
                <c:pt idx="0">
                  <c:v>Zest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strRef>
              <c:f>'Emotional Distribution by Ctry'!$A$5:$A$10</c:f>
              <c:strCache>
                <c:ptCount val="5"/>
                <c:pt idx="0">
                  <c:v>Australia</c:v>
                </c:pt>
                <c:pt idx="1">
                  <c:v>Canada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'Emotional Distribution by Ctry'!$GJ$5:$GJ$10</c:f>
              <c:numCache>
                <c:formatCode>General</c:formatCode>
                <c:ptCount val="5"/>
                <c:pt idx="2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BE-F200-46B1-8440-05E62C7A04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6270072"/>
        <c:axId val="596266472"/>
      </c:areaChart>
      <c:catAx>
        <c:axId val="596270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266472"/>
        <c:crosses val="autoZero"/>
        <c:auto val="1"/>
        <c:lblAlgn val="ctr"/>
        <c:lblOffset val="100"/>
        <c:noMultiLvlLbl val="0"/>
      </c:catAx>
      <c:valAx>
        <c:axId val="5962664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2700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76200</xdr:colOff>
      <xdr:row>6</xdr:row>
      <xdr:rowOff>185737</xdr:rowOff>
    </xdr:from>
    <xdr:to>
      <xdr:col>11</xdr:col>
      <xdr:colOff>381000</xdr:colOff>
      <xdr:row>21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4598BA-FD85-4CAA-9F07-78F4C53232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514349</xdr:colOff>
      <xdr:row>6</xdr:row>
      <xdr:rowOff>185737</xdr:rowOff>
    </xdr:from>
    <xdr:to>
      <xdr:col>9</xdr:col>
      <xdr:colOff>409574</xdr:colOff>
      <xdr:row>23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D0787D-1A92-66EE-7388-9B53CC9D79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685800</xdr:colOff>
      <xdr:row>6</xdr:row>
      <xdr:rowOff>185737</xdr:rowOff>
    </xdr:from>
    <xdr:to>
      <xdr:col>10</xdr:col>
      <xdr:colOff>9525</xdr:colOff>
      <xdr:row>21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8297222-2B06-11E9-B109-79959F533C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8</xdr:row>
      <xdr:rowOff>80962</xdr:rowOff>
    </xdr:from>
    <xdr:to>
      <xdr:col>7</xdr:col>
      <xdr:colOff>85725</xdr:colOff>
      <xdr:row>26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5839032-92FD-A3FB-D3EA-33EA52DE23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20</xdr:col>
      <xdr:colOff>178594</xdr:colOff>
      <xdr:row>30</xdr:row>
      <xdr:rowOff>119062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CB15DDB4-7E98-49CC-2591-AA1D2C6743A9}"/>
            </a:ext>
          </a:extLst>
        </xdr:cNvPr>
        <xdr:cNvSpPr/>
      </xdr:nvSpPr>
      <xdr:spPr>
        <a:xfrm>
          <a:off x="0" y="0"/>
          <a:ext cx="12322969" cy="5834062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D175EF9-2D0A-4909-AC4C-E08E440AA8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342900</xdr:colOff>
      <xdr:row>0</xdr:row>
      <xdr:rowOff>0</xdr:rowOff>
    </xdr:from>
    <xdr:to>
      <xdr:col>16</xdr:col>
      <xdr:colOff>28575</xdr:colOff>
      <xdr:row>14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86FA399-D9F8-4E10-81CC-ECA663859B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14</xdr:row>
      <xdr:rowOff>95250</xdr:rowOff>
    </xdr:from>
    <xdr:to>
      <xdr:col>7</xdr:col>
      <xdr:colOff>304800</xdr:colOff>
      <xdr:row>28</xdr:row>
      <xdr:rowOff>171450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1D70BEB-F09F-4102-A5F9-D1AB06E795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123825</xdr:colOff>
      <xdr:row>0</xdr:row>
      <xdr:rowOff>85725</xdr:rowOff>
    </xdr:from>
    <xdr:to>
      <xdr:col>19</xdr:col>
      <xdr:colOff>590550</xdr:colOff>
      <xdr:row>1</xdr:row>
      <xdr:rowOff>171450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687D516-491C-4523-4ABB-B37C22DB0E17}"/>
            </a:ext>
          </a:extLst>
        </xdr:cNvPr>
        <xdr:cNvSpPr txBox="1"/>
      </xdr:nvSpPr>
      <xdr:spPr>
        <a:xfrm>
          <a:off x="9877425" y="85725"/>
          <a:ext cx="2295525" cy="276225"/>
        </a:xfrm>
        <a:prstGeom prst="rect">
          <a:avLst/>
        </a:prstGeom>
        <a:solidFill>
          <a:schemeClr val="accen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>
              <a:ln>
                <a:noFill/>
              </a:ln>
              <a:solidFill>
                <a:sysClr val="windowText" lastClr="000000"/>
              </a:solidFill>
            </a:rPr>
            <a:t>Key Performances</a:t>
          </a:r>
          <a:r>
            <a:rPr lang="en-US" sz="1100" b="1" baseline="0">
              <a:ln>
                <a:noFill/>
              </a:ln>
              <a:solidFill>
                <a:sysClr val="windowText" lastClr="000000"/>
              </a:solidFill>
            </a:rPr>
            <a:t> </a:t>
          </a:r>
          <a:r>
            <a:rPr lang="en-US" sz="1100" b="1" baseline="0">
              <a:ln>
                <a:noFill/>
              </a:ln>
              <a:solidFill>
                <a:schemeClr val="tx1"/>
              </a:solidFill>
            </a:rPr>
            <a:t>Indicator</a:t>
          </a:r>
          <a:r>
            <a:rPr lang="en-US" sz="1100" b="1" baseline="0">
              <a:ln>
                <a:noFill/>
              </a:ln>
              <a:solidFill>
                <a:sysClr val="windowText" lastClr="000000"/>
              </a:solidFill>
            </a:rPr>
            <a:t> (KPI'S)</a:t>
          </a:r>
          <a:endParaRPr lang="en-US" sz="1100" b="1">
            <a:ln>
              <a:noFill/>
            </a:ln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16</xdr:col>
      <xdr:colOff>19050</xdr:colOff>
      <xdr:row>2</xdr:row>
      <xdr:rowOff>123825</xdr:rowOff>
    </xdr:from>
    <xdr:to>
      <xdr:col>17</xdr:col>
      <xdr:colOff>590550</xdr:colOff>
      <xdr:row>4</xdr:row>
      <xdr:rowOff>28575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1B17201-2E31-55AC-D5F4-E1412C1ABCE8}"/>
            </a:ext>
          </a:extLst>
        </xdr:cNvPr>
        <xdr:cNvSpPr txBox="1"/>
      </xdr:nvSpPr>
      <xdr:spPr>
        <a:xfrm>
          <a:off x="9772650" y="504825"/>
          <a:ext cx="1181100" cy="285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Average  Likes</a:t>
          </a:r>
        </a:p>
      </xdr:txBody>
    </xdr:sp>
    <xdr:clientData/>
  </xdr:twoCellAnchor>
  <xdr:twoCellAnchor>
    <xdr:from>
      <xdr:col>18</xdr:col>
      <xdr:colOff>123825</xdr:colOff>
      <xdr:row>2</xdr:row>
      <xdr:rowOff>47625</xdr:rowOff>
    </xdr:from>
    <xdr:to>
      <xdr:col>20</xdr:col>
      <xdr:colOff>57150</xdr:colOff>
      <xdr:row>4</xdr:row>
      <xdr:rowOff>133350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57539BBC-1A3B-46B8-AE2A-EAD3A3A07AF3}"/>
            </a:ext>
          </a:extLst>
        </xdr:cNvPr>
        <xdr:cNvSpPr txBox="1"/>
      </xdr:nvSpPr>
      <xdr:spPr>
        <a:xfrm>
          <a:off x="11096625" y="428625"/>
          <a:ext cx="1152525" cy="4667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Average</a:t>
          </a:r>
          <a:r>
            <a:rPr lang="en-US" sz="1100" b="1" baseline="0"/>
            <a:t> number of Retweets</a:t>
          </a:r>
          <a:endParaRPr lang="en-US" sz="1100" b="1"/>
        </a:p>
      </xdr:txBody>
    </xdr:sp>
    <xdr:clientData/>
  </xdr:twoCellAnchor>
  <xdr:twoCellAnchor>
    <xdr:from>
      <xdr:col>16</xdr:col>
      <xdr:colOff>38100</xdr:colOff>
      <xdr:row>8</xdr:row>
      <xdr:rowOff>171450</xdr:rowOff>
    </xdr:from>
    <xdr:to>
      <xdr:col>20</xdr:col>
      <xdr:colOff>57150</xdr:colOff>
      <xdr:row>11</xdr:row>
      <xdr:rowOff>47625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A9E31106-13F2-B586-E48B-C46B96C9068D}"/>
            </a:ext>
          </a:extLst>
        </xdr:cNvPr>
        <xdr:cNvSpPr txBox="1"/>
      </xdr:nvSpPr>
      <xdr:spPr>
        <a:xfrm>
          <a:off x="9791700" y="1695450"/>
          <a:ext cx="2457450" cy="4476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/>
            <a:t>Amplification</a:t>
          </a:r>
          <a:r>
            <a:rPr lang="en-US" sz="1100" b="1" baseline="0"/>
            <a:t> Ratio</a:t>
          </a:r>
          <a:endParaRPr lang="en-US" sz="1100" b="1"/>
        </a:p>
      </xdr:txBody>
    </xdr:sp>
    <xdr:clientData/>
  </xdr:twoCellAnchor>
  <xdr:twoCellAnchor>
    <xdr:from>
      <xdr:col>16</xdr:col>
      <xdr:colOff>133350</xdr:colOff>
      <xdr:row>4</xdr:row>
      <xdr:rowOff>76200</xdr:rowOff>
    </xdr:from>
    <xdr:to>
      <xdr:col>17</xdr:col>
      <xdr:colOff>295275</xdr:colOff>
      <xdr:row>8</xdr:row>
      <xdr:rowOff>0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C8C80D61-B128-3FF1-CAE3-93FA532779F6}"/>
            </a:ext>
          </a:extLst>
        </xdr:cNvPr>
        <xdr:cNvGrpSpPr/>
      </xdr:nvGrpSpPr>
      <xdr:grpSpPr>
        <a:xfrm>
          <a:off x="9848850" y="838200"/>
          <a:ext cx="769144" cy="685800"/>
          <a:chOff x="9867900" y="952500"/>
          <a:chExt cx="771525" cy="685800"/>
        </a:xfrm>
      </xdr:grpSpPr>
      <xdr:sp macro="" textlink="">
        <xdr:nvSpPr>
          <xdr:cNvPr id="12" name="Rectangle: Rounded Corners 11">
            <a:extLst>
              <a:ext uri="{FF2B5EF4-FFF2-40B4-BE49-F238E27FC236}">
                <a16:creationId xmlns:a16="http://schemas.microsoft.com/office/drawing/2014/main" id="{2D168E95-766A-7E16-A8CE-9BE9AD96B179}"/>
              </a:ext>
            </a:extLst>
          </xdr:cNvPr>
          <xdr:cNvSpPr/>
        </xdr:nvSpPr>
        <xdr:spPr>
          <a:xfrm>
            <a:off x="9867900" y="952500"/>
            <a:ext cx="771525" cy="685800"/>
          </a:xfrm>
          <a:prstGeom prst="roundRect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'KPI''S'!B4">
        <xdr:nvSpPr>
          <xdr:cNvPr id="8" name="TextBox 7">
            <a:extLst>
              <a:ext uri="{FF2B5EF4-FFF2-40B4-BE49-F238E27FC236}">
                <a16:creationId xmlns:a16="http://schemas.microsoft.com/office/drawing/2014/main" id="{0A0E4F90-F6AA-398B-A2CF-4CB0A4C00E42}"/>
              </a:ext>
            </a:extLst>
          </xdr:cNvPr>
          <xdr:cNvSpPr txBox="1"/>
        </xdr:nvSpPr>
        <xdr:spPr>
          <a:xfrm>
            <a:off x="9972676" y="1143000"/>
            <a:ext cx="647700" cy="45720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FEE750B4-8E9C-4AD3-A221-9EE0A640B2D6}" type="TxLink">
              <a:rPr lang="en-US" sz="1100" b="0" i="0" u="none" strike="noStrike">
                <a:solidFill>
                  <a:srgbClr val="000000"/>
                </a:solidFill>
                <a:latin typeface="Calibri"/>
                <a:cs typeface="Calibri"/>
              </a:rPr>
              <a:t>42.90</a:t>
            </a:fld>
            <a:endParaRPr lang="en-US" sz="1100"/>
          </a:p>
        </xdr:txBody>
      </xdr:sp>
    </xdr:grpSp>
    <xdr:clientData/>
  </xdr:twoCellAnchor>
  <xdr:twoCellAnchor>
    <xdr:from>
      <xdr:col>18</xdr:col>
      <xdr:colOff>238125</xdr:colOff>
      <xdr:row>4</xdr:row>
      <xdr:rowOff>123825</xdr:rowOff>
    </xdr:from>
    <xdr:to>
      <xdr:col>20</xdr:col>
      <xdr:colOff>66675</xdr:colOff>
      <xdr:row>8</xdr:row>
      <xdr:rowOff>47625</xdr:rowOff>
    </xdr:to>
    <xdr:grpSp>
      <xdr:nvGrpSpPr>
        <xdr:cNvPr id="16" name="Group 15">
          <a:extLst>
            <a:ext uri="{FF2B5EF4-FFF2-40B4-BE49-F238E27FC236}">
              <a16:creationId xmlns:a16="http://schemas.microsoft.com/office/drawing/2014/main" id="{293811C7-EA45-01E8-086B-2ECAD1555C44}"/>
            </a:ext>
          </a:extLst>
        </xdr:cNvPr>
        <xdr:cNvGrpSpPr/>
      </xdr:nvGrpSpPr>
      <xdr:grpSpPr>
        <a:xfrm>
          <a:off x="11168063" y="885825"/>
          <a:ext cx="1042987" cy="685800"/>
          <a:chOff x="11210925" y="885825"/>
          <a:chExt cx="1047750" cy="685800"/>
        </a:xfrm>
      </xdr:grpSpPr>
      <xdr:sp macro="" textlink="">
        <xdr:nvSpPr>
          <xdr:cNvPr id="13" name="Rectangle: Rounded Corners 12">
            <a:extLst>
              <a:ext uri="{FF2B5EF4-FFF2-40B4-BE49-F238E27FC236}">
                <a16:creationId xmlns:a16="http://schemas.microsoft.com/office/drawing/2014/main" id="{52B9B1B3-C397-4BCB-8875-990626CF2D2F}"/>
              </a:ext>
            </a:extLst>
          </xdr:cNvPr>
          <xdr:cNvSpPr/>
        </xdr:nvSpPr>
        <xdr:spPr>
          <a:xfrm>
            <a:off x="11210925" y="885825"/>
            <a:ext cx="771525" cy="685800"/>
          </a:xfrm>
          <a:prstGeom prst="roundRect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'KPI''S'!A4">
        <xdr:nvSpPr>
          <xdr:cNvPr id="15" name="TextBox 14">
            <a:extLst>
              <a:ext uri="{FF2B5EF4-FFF2-40B4-BE49-F238E27FC236}">
                <a16:creationId xmlns:a16="http://schemas.microsoft.com/office/drawing/2014/main" id="{80631E1B-85F1-A806-267C-568635CB69D2}"/>
              </a:ext>
            </a:extLst>
          </xdr:cNvPr>
          <xdr:cNvSpPr txBox="1"/>
        </xdr:nvSpPr>
        <xdr:spPr>
          <a:xfrm>
            <a:off x="11268075" y="1028700"/>
            <a:ext cx="990600" cy="4667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ADF9EDFB-0092-41DD-921D-9BC33742E20A}" type="TxLink">
              <a:rPr lang="en-US" sz="1100" b="0" i="0" u="none" strike="noStrike">
                <a:solidFill>
                  <a:srgbClr val="000000"/>
                </a:solidFill>
                <a:latin typeface="Calibri"/>
                <a:cs typeface="Calibri"/>
              </a:rPr>
              <a:t>21.51</a:t>
            </a:fld>
            <a:endParaRPr lang="en-US" sz="1100"/>
          </a:p>
        </xdr:txBody>
      </xdr:sp>
    </xdr:grpSp>
    <xdr:clientData/>
  </xdr:twoCellAnchor>
  <xdr:twoCellAnchor>
    <xdr:from>
      <xdr:col>17</xdr:col>
      <xdr:colOff>238125</xdr:colOff>
      <xdr:row>10</xdr:row>
      <xdr:rowOff>133350</xdr:rowOff>
    </xdr:from>
    <xdr:to>
      <xdr:col>18</xdr:col>
      <xdr:colOff>438150</xdr:colOff>
      <xdr:row>14</xdr:row>
      <xdr:rowOff>104775</xdr:rowOff>
    </xdr:to>
    <xdr:sp macro="" textlink="">
      <xdr:nvSpPr>
        <xdr:cNvPr id="18" name="Rectangle: Rounded Corners 17">
          <a:extLst>
            <a:ext uri="{FF2B5EF4-FFF2-40B4-BE49-F238E27FC236}">
              <a16:creationId xmlns:a16="http://schemas.microsoft.com/office/drawing/2014/main" id="{B6D5F2BB-E2A7-EE39-590A-19B5DCE0FE35}"/>
            </a:ext>
          </a:extLst>
        </xdr:cNvPr>
        <xdr:cNvSpPr/>
      </xdr:nvSpPr>
      <xdr:spPr>
        <a:xfrm>
          <a:off x="10601325" y="2038350"/>
          <a:ext cx="809625" cy="73342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228600</xdr:colOff>
      <xdr:row>10</xdr:row>
      <xdr:rowOff>142875</xdr:rowOff>
    </xdr:from>
    <xdr:to>
      <xdr:col>18</xdr:col>
      <xdr:colOff>390525</xdr:colOff>
      <xdr:row>14</xdr:row>
      <xdr:rowOff>66675</xdr:rowOff>
    </xdr:to>
    <xdr:grpSp>
      <xdr:nvGrpSpPr>
        <xdr:cNvPr id="20" name="Group 19">
          <a:extLst>
            <a:ext uri="{FF2B5EF4-FFF2-40B4-BE49-F238E27FC236}">
              <a16:creationId xmlns:a16="http://schemas.microsoft.com/office/drawing/2014/main" id="{EB881617-FD74-3D12-ECD0-449BE1C80A46}"/>
            </a:ext>
          </a:extLst>
        </xdr:cNvPr>
        <xdr:cNvGrpSpPr/>
      </xdr:nvGrpSpPr>
      <xdr:grpSpPr>
        <a:xfrm>
          <a:off x="10551319" y="2047875"/>
          <a:ext cx="769144" cy="685800"/>
          <a:chOff x="10601325" y="2085975"/>
          <a:chExt cx="771525" cy="685800"/>
        </a:xfrm>
      </xdr:grpSpPr>
      <xdr:sp macro="" textlink="">
        <xdr:nvSpPr>
          <xdr:cNvPr id="19" name="Rectangle: Rounded Corners 18">
            <a:extLst>
              <a:ext uri="{FF2B5EF4-FFF2-40B4-BE49-F238E27FC236}">
                <a16:creationId xmlns:a16="http://schemas.microsoft.com/office/drawing/2014/main" id="{604F0F85-770C-4937-9B1B-B3D1D009F6E2}"/>
              </a:ext>
            </a:extLst>
          </xdr:cNvPr>
          <xdr:cNvSpPr/>
        </xdr:nvSpPr>
        <xdr:spPr>
          <a:xfrm>
            <a:off x="10601325" y="2085975"/>
            <a:ext cx="771525" cy="685800"/>
          </a:xfrm>
          <a:prstGeom prst="roundRect">
            <a:avLst/>
          </a:prstGeom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'KPI''S'!A13">
        <xdr:nvSpPr>
          <xdr:cNvPr id="17" name="TextBox 16">
            <a:extLst>
              <a:ext uri="{FF2B5EF4-FFF2-40B4-BE49-F238E27FC236}">
                <a16:creationId xmlns:a16="http://schemas.microsoft.com/office/drawing/2014/main" id="{DE6C1D3B-529D-9026-6CD1-06754FFDB637}"/>
              </a:ext>
            </a:extLst>
          </xdr:cNvPr>
          <xdr:cNvSpPr txBox="1"/>
        </xdr:nvSpPr>
        <xdr:spPr>
          <a:xfrm>
            <a:off x="10763251" y="2238375"/>
            <a:ext cx="571500" cy="51435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9530BF87-62A6-4DBE-8DF0-EDA1A3D87870}" type="TxLink">
              <a:rPr lang="en-US" sz="1200" b="0" i="0" u="none" strike="noStrike">
                <a:solidFill>
                  <a:srgbClr val="000000"/>
                </a:solidFill>
                <a:latin typeface="Calibri"/>
                <a:cs typeface="Calibri"/>
              </a:rPr>
              <a:t>50%</a:t>
            </a:fld>
            <a:endParaRPr lang="en-US" sz="1200"/>
          </a:p>
        </xdr:txBody>
      </xdr:sp>
    </xdr:grpSp>
    <xdr:clientData/>
  </xdr:twoCellAnchor>
  <xdr:twoCellAnchor>
    <xdr:from>
      <xdr:col>16</xdr:col>
      <xdr:colOff>47624</xdr:colOff>
      <xdr:row>14</xdr:row>
      <xdr:rowOff>154780</xdr:rowOff>
    </xdr:from>
    <xdr:to>
      <xdr:col>20</xdr:col>
      <xdr:colOff>178594</xdr:colOff>
      <xdr:row>28</xdr:row>
      <xdr:rowOff>178594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81ADC1FD-7BB4-B940-4889-1B22F0E53203}"/>
            </a:ext>
          </a:extLst>
        </xdr:cNvPr>
        <xdr:cNvSpPr txBox="1"/>
      </xdr:nvSpPr>
      <xdr:spPr>
        <a:xfrm>
          <a:off x="9763124" y="2821780"/>
          <a:ext cx="2559845" cy="269081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/>
            <a:t>INSIGHTS</a:t>
          </a:r>
        </a:p>
        <a:p>
          <a:pPr algn="l"/>
          <a:r>
            <a:rPr lang="en-US" sz="1200" b="0">
              <a:latin typeface="+mj-lt"/>
              <a:cs typeface="Times New Roman" panose="02020603050405020304" pitchFamily="18" charset="0"/>
            </a:rPr>
            <a:t>1.</a:t>
          </a:r>
          <a:r>
            <a:rPr lang="en-US" sz="1200" b="0" baseline="0">
              <a:latin typeface="+mj-lt"/>
              <a:cs typeface="Times New Roman" panose="02020603050405020304" pitchFamily="18" charset="0"/>
            </a:rPr>
            <a:t> February  and August are the hishest volume methods for social media posts. These months represents the periods of histest user engagemnt.</a:t>
          </a:r>
          <a:endParaRPr lang="en-US" sz="1200" b="0">
            <a:latin typeface="+mj-lt"/>
            <a:cs typeface="Times New Roman" panose="02020603050405020304" pitchFamily="18" charset="0"/>
          </a:endParaRPr>
        </a:p>
        <a:p>
          <a:pPr algn="l"/>
          <a:endParaRPr lang="en-US" sz="1200" b="0">
            <a:latin typeface="+mj-lt"/>
            <a:cs typeface="Times New Roman" panose="02020603050405020304" pitchFamily="18" charset="0"/>
          </a:endParaRPr>
        </a:p>
        <a:p>
          <a:pPr algn="l"/>
          <a:r>
            <a:rPr lang="en-US" sz="1200" b="0">
              <a:latin typeface="+mj-lt"/>
              <a:cs typeface="Times New Roman" panose="02020603050405020304" pitchFamily="18" charset="0"/>
            </a:rPr>
            <a:t>2. The dataset reveals a high-performance engagement model with an Average Like count of 42.90 and Average Retweets of 21.51. Most notably, the Amplification Ratio stands at 50%, indicating a strong 2:1 relationship between appreciation and sharing.</a:t>
          </a:r>
        </a:p>
        <a:p>
          <a:pPr algn="l"/>
          <a:endParaRPr lang="en-US" sz="1100" b="0"/>
        </a:p>
        <a:p>
          <a:pPr algn="l"/>
          <a:endParaRPr lang="en-US" sz="1100" b="0"/>
        </a:p>
        <a:p>
          <a:pPr algn="l"/>
          <a:endParaRPr lang="en-US" sz="1100" b="0"/>
        </a:p>
        <a:p>
          <a:pPr algn="l"/>
          <a:endParaRPr lang="en-US" sz="1100" b="0"/>
        </a:p>
        <a:p>
          <a:pPr algn="l"/>
          <a:endParaRPr lang="en-US" sz="1100" b="0"/>
        </a:p>
      </xdr:txBody>
    </xdr:sp>
    <xdr:clientData/>
  </xdr:twoCellAnchor>
  <xdr:twoCellAnchor>
    <xdr:from>
      <xdr:col>16</xdr:col>
      <xdr:colOff>559591</xdr:colOff>
      <xdr:row>29</xdr:row>
      <xdr:rowOff>83342</xdr:rowOff>
    </xdr:from>
    <xdr:to>
      <xdr:col>20</xdr:col>
      <xdr:colOff>59531</xdr:colOff>
      <xdr:row>30</xdr:row>
      <xdr:rowOff>107156</xdr:rowOff>
    </xdr:to>
    <xdr:sp macro="" textlink="">
      <xdr:nvSpPr>
        <xdr:cNvPr id="22" name="Rectangle: Rounded Corners 21">
          <a:extLst>
            <a:ext uri="{FF2B5EF4-FFF2-40B4-BE49-F238E27FC236}">
              <a16:creationId xmlns:a16="http://schemas.microsoft.com/office/drawing/2014/main" id="{EDB26970-EB06-448A-A14A-3C82FD27CC0C}"/>
            </a:ext>
          </a:extLst>
        </xdr:cNvPr>
        <xdr:cNvSpPr/>
      </xdr:nvSpPr>
      <xdr:spPr>
        <a:xfrm>
          <a:off x="10275091" y="5607842"/>
          <a:ext cx="1928815" cy="214314"/>
        </a:xfrm>
        <a:prstGeom prst="round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Emmanuel</a:t>
          </a:r>
          <a:r>
            <a:rPr lang="en-US" sz="1100" baseline="0"/>
            <a:t> Ayodele</a:t>
          </a:r>
          <a:endParaRPr lang="en-US" sz="1100"/>
        </a:p>
      </xdr:txBody>
    </xdr:sp>
    <xdr:clientData/>
  </xdr:twoCellAnchor>
  <xdr:twoCellAnchor>
    <xdr:from>
      <xdr:col>7</xdr:col>
      <xdr:colOff>309562</xdr:colOff>
      <xdr:row>14</xdr:row>
      <xdr:rowOff>107156</xdr:rowOff>
    </xdr:from>
    <xdr:to>
      <xdr:col>16</xdr:col>
      <xdr:colOff>47624</xdr:colOff>
      <xdr:row>28</xdr:row>
      <xdr:rowOff>178594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A9FB789C-02F5-4AEB-85DD-833FB403D2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119.60255625" createdVersion="8" refreshedVersion="8" minRefreshableVersion="3" recordCount="732" xr:uid="{99C231E3-9BE6-4CF6-AAF7-51E2A67648C0}">
  <cacheSource type="worksheet">
    <worksheetSource name="Table1"/>
  </cacheSource>
  <cacheFields count="21">
    <cacheField name="Text" numFmtId="0">
      <sharedItems/>
    </cacheField>
    <cacheField name="Cleaned Text" numFmtId="0">
      <sharedItems/>
    </cacheField>
    <cacheField name="Sentiment" numFmtId="0">
      <sharedItems/>
    </cacheField>
    <cacheField name="Cleaned Sentiment" numFmtId="0">
      <sharedItems count="191">
        <s v="Positive"/>
        <s v="Negative"/>
        <s v="Neutral"/>
        <s v="Anger"/>
        <s v="Fear"/>
        <s v="Sadness"/>
        <s v="Disgust"/>
        <s v="Happiness"/>
        <s v="Joy"/>
        <s v="Love"/>
        <s v="Amusement"/>
        <s v="Enjoyment"/>
        <s v="Admiration"/>
        <s v="Affection"/>
        <s v="Awe"/>
        <s v="Disappointed"/>
        <s v="Surprise"/>
        <s v="Acceptance"/>
        <s v="Adoration"/>
        <s v="Anticipation"/>
        <s v="Bitter"/>
        <s v="Calmness"/>
        <s v="Confusion"/>
        <s v="Excitement"/>
        <s v="Kind"/>
        <s v="Pride"/>
        <s v="Shame"/>
        <s v="Elation"/>
        <s v="Euphoria"/>
        <s v="Contentment"/>
        <s v="Serenity"/>
        <s v="Gratitude"/>
        <s v="Hope"/>
        <s v="Empowerment"/>
        <s v="Compassion"/>
        <s v="Tenderness"/>
        <s v="Arousal"/>
        <s v="Enthusiasm"/>
        <s v="Fulfillment"/>
        <s v="Reverence"/>
        <s v="Despair"/>
        <s v="Grief"/>
        <s v="Loneliness"/>
        <s v="Jealousy"/>
        <s v="Resentment"/>
        <s v="Frustration"/>
        <s v="Boredom"/>
        <s v="Anxiety"/>
        <s v="Intimidation"/>
        <s v="Helplessness"/>
        <s v="Envy"/>
        <s v="Regret"/>
        <s v="Curiosity"/>
        <s v="Indifference"/>
        <s v="Numbness"/>
        <s v="Melancholy"/>
        <s v="Nostalgia"/>
        <s v="Ambivalence"/>
        <s v="Determination"/>
        <s v="Zest"/>
        <s v="Hopeful"/>
        <s v="Proud"/>
        <s v="Grateful"/>
        <s v="Empathetic"/>
        <s v="Compassionate"/>
        <s v="Playful"/>
        <s v="Free-spirited"/>
        <s v="Inspired"/>
        <s v="Confident"/>
        <s v="Bitterness"/>
        <s v="Yearning"/>
        <s v="Fearful"/>
        <s v="Apprehensive"/>
        <s v="Overwhelmed"/>
        <s v="Jealous"/>
        <s v="Devastated"/>
        <s v="Frustrated"/>
        <s v="Envious"/>
        <s v="Dismissive"/>
        <s v="Thrill"/>
        <s v="Bittersweet"/>
        <s v="Overjoyed"/>
        <s v="Inspiration"/>
        <s v="Motivation"/>
        <s v="Contemplation"/>
        <s v="JoyfulReunion"/>
        <s v="Satisfaction"/>
        <s v="Blessed"/>
        <s v="Reflection"/>
        <s v="Appreciation"/>
        <s v="Confidence"/>
        <s v="Accomplishment"/>
        <s v="Wonderment"/>
        <s v="Optimism"/>
        <s v="Enchantment"/>
        <s v="Intrigue"/>
        <s v="PlayfulJoy"/>
        <s v="Mindfulness"/>
        <s v="DreamChaser"/>
        <s v="Elegance"/>
        <s v="Whimsy"/>
        <s v="Pensive"/>
        <s v="Harmony"/>
        <s v="Creativity"/>
        <s v="Radiance"/>
        <s v="Wonder"/>
        <s v="Rejuvenation"/>
        <s v="Coziness"/>
        <s v="Adventure"/>
        <s v="Melodic"/>
        <s v="FestiveJoy"/>
        <s v="InnerJourney"/>
        <s v="Freedom"/>
        <s v="Dazzle"/>
        <s v="Adrenaline"/>
        <s v="ArtisticBurst"/>
        <s v="CulinaryOdyssey"/>
        <s v="Resilience"/>
        <s v="Immersion"/>
        <s v="Spark"/>
        <s v="Marvel"/>
        <s v="Heartbreak"/>
        <s v="Betrayal"/>
        <s v="Suffering"/>
        <s v="EmotionalStorm"/>
        <s v="Isolation"/>
        <s v="Disappointment"/>
        <s v="LostLove"/>
        <s v="Exhaustion"/>
        <s v="Sorrow"/>
        <s v="Darkness"/>
        <s v="Desperation"/>
        <s v="Ruins"/>
        <s v="Desolation"/>
        <s v="Loss"/>
        <s v="Heartache"/>
        <s v="Solitude"/>
        <s v="Positivity"/>
        <s v="Kindness"/>
        <s v="Friendship"/>
        <s v="Success"/>
        <s v="Exploration"/>
        <s v="Amazement"/>
        <s v="Romance"/>
        <s v="Captivation"/>
        <s v="Tranquility"/>
        <s v="Grandeur"/>
        <s v="Emotion"/>
        <s v="Energy"/>
        <s v="Celebration"/>
        <s v="Charm"/>
        <s v="Ecstasy"/>
        <s v="Colorful"/>
        <s v="Hypnotic"/>
        <s v="Connection"/>
        <s v="Iconic"/>
        <s v="Journey"/>
        <s v="Engagement"/>
        <s v="Touched"/>
        <s v="Suspense"/>
        <s v="Triumph"/>
        <s v="Heartwarming"/>
        <s v="Obstacle"/>
        <s v="Sympathy"/>
        <s v="Pressure"/>
        <s v="Renewed Effort"/>
        <s v="Miscalculation"/>
        <s v="Challenge"/>
        <s v="Solace"/>
        <s v="Breakthrough"/>
        <s v="Joy in Baking"/>
        <s v="Envisioning History"/>
        <s v="Imagination"/>
        <s v="Vibrancy"/>
        <s v="Mesmerizing"/>
        <s v="Culinary Adventure"/>
        <s v="Winter Magic"/>
        <s v="Thrilling Journey"/>
        <s v="Nature's Beauty"/>
        <s v="Celestial Wonder"/>
        <s v="Creative Inspiration"/>
        <s v="Runway Creativity"/>
        <s v="Ocean's Freedom"/>
        <s v="Whispers of the Past"/>
        <s v="Relief"/>
        <s v="Embarrassed"/>
        <s v="Mischievous"/>
        <s v="Sad"/>
        <s v="Hate"/>
        <s v="Bad"/>
        <s v="Happy"/>
      </sharedItems>
    </cacheField>
    <cacheField name="Timestamp" numFmtId="22">
      <sharedItems containsSemiMixedTypes="0" containsNonDate="0" containsDate="1" containsString="0" minDate="2010-05-15T15:30:00" maxDate="2023-10-22T20:45:00"/>
    </cacheField>
    <cacheField name="Day_Name" numFmtId="22">
      <sharedItems count="7">
        <s v="Sunday"/>
        <s v="Monday"/>
        <s v="Tuesday"/>
        <s v="Wednesday"/>
        <s v="Thursday"/>
        <s v="Friday"/>
        <s v="Saturday"/>
      </sharedItems>
    </cacheField>
    <cacheField name="User" numFmtId="0">
      <sharedItems/>
    </cacheField>
    <cacheField name="Cleaned user" numFmtId="0">
      <sharedItems/>
    </cacheField>
    <cacheField name="Platform" numFmtId="0">
      <sharedItems count="4">
        <s v=" Twitter  "/>
        <s v=" Instagram "/>
        <s v=" Facebook "/>
        <s v=" Twitter "/>
      </sharedItems>
    </cacheField>
    <cacheField name="Cleaned Platform" numFmtId="0">
      <sharedItems count="3">
        <s v="Twitter"/>
        <s v="Instagram"/>
        <s v="Facebook"/>
      </sharedItems>
    </cacheField>
    <cacheField name="Hashtags" numFmtId="0">
      <sharedItems/>
    </cacheField>
    <cacheField name="Retweets" numFmtId="0">
      <sharedItems containsSemiMixedTypes="0" containsString="0" containsNumber="1" containsInteger="1" minValue="5" maxValue="40"/>
    </cacheField>
    <cacheField name="Likes" numFmtId="0">
      <sharedItems containsSemiMixedTypes="0" containsString="0" containsNumber="1" containsInteger="1" minValue="10" maxValue="80"/>
    </cacheField>
    <cacheField name="Country" numFmtId="0">
      <sharedItems/>
    </cacheField>
    <cacheField name="Cleaned Country" numFmtId="0">
      <sharedItems count="33">
        <s v="USA"/>
        <s v="Canada"/>
        <s v="UK"/>
        <s v="Australia"/>
        <s v="India"/>
        <s v="France"/>
        <s v="Brazil"/>
        <s v="Japan"/>
        <s v="Greece"/>
        <s v="Germany"/>
        <s v="Sweden"/>
        <s v="Italy"/>
        <s v="Netherlands"/>
        <s v="South Africa"/>
        <s v="Spain"/>
        <s v="Portugal"/>
        <s v="Switzerland"/>
        <s v="Austria"/>
        <s v="Belgium"/>
        <s v="Denmark"/>
        <s v="Czech Republic"/>
        <s v="Jordan"/>
        <s v="Peru"/>
        <s v="Maldives"/>
        <s v="China"/>
        <s v="Cambodia"/>
        <s v="Norway"/>
        <s v="Colombia"/>
        <s v="Ireland"/>
        <s v="Jamaica"/>
        <s v="Kenya"/>
        <s v="Scotland"/>
        <s v="Thailand"/>
      </sharedItems>
    </cacheField>
    <cacheField name="Year" numFmtId="0">
      <sharedItems containsSemiMixedTypes="0" containsString="0" containsNumber="1" containsInteger="1" minValue="2010" maxValue="2023"/>
    </cacheField>
    <cacheField name="Month" numFmtId="0">
      <sharedItems containsSemiMixedTypes="0" containsString="0" containsNumber="1" containsInteger="1" minValue="1" maxValue="12" count="12">
        <n v="1"/>
        <n v="2"/>
        <n v="3"/>
        <n v="5"/>
        <n v="8"/>
        <n v="6"/>
        <n v="11"/>
        <n v="4"/>
        <n v="9"/>
        <n v="7"/>
        <n v="10"/>
        <n v="12"/>
      </sharedItems>
    </cacheField>
    <cacheField name="Day" numFmtId="0">
      <sharedItems containsSemiMixedTypes="0" containsString="0" containsNumber="1" containsInteger="1" minValue="1" maxValue="31"/>
    </cacheField>
    <cacheField name="Hour" numFmtId="0">
      <sharedItems containsSemiMixedTypes="0" containsString="0" containsNumber="1" containsInteger="1" minValue="0" maxValue="23"/>
    </cacheField>
    <cacheField name="Month Name" numFmtId="0">
      <sharedItems count="1">
        <s v="January"/>
      </sharedItems>
    </cacheField>
    <cacheField name="Total Engagement" numFmtId="0" formula="Likes+Retweets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122.415451967594" backgroundQuery="1" createdVersion="8" refreshedVersion="8" minRefreshableVersion="3" recordCount="0" supportSubquery="1" supportAdvancedDrill="1" xr:uid="{0BF0FE62-1A34-4AD2-A904-D494F327D8BD}">
  <cacheSource type="external" connectionId="1"/>
  <cacheFields count="2">
    <cacheField name="[Table1].[Cleaned Platform].[Cleaned Platform]" caption="Cleaned Platform" numFmtId="0" hierarchy="9" level="1">
      <sharedItems count="3">
        <s v="Facebook"/>
        <s v="Instagram"/>
        <s v="Twitter"/>
      </sharedItems>
    </cacheField>
    <cacheField name="[Measures].[Distinct Count of Cleaned Sentiment]" caption="Distinct Count of Cleaned Sentiment" numFmtId="0" hierarchy="23" level="32767"/>
  </cacheFields>
  <cacheHierarchies count="24">
    <cacheHierarchy uniqueName="[Table1].[Text]" caption="Text" attribute="1" defaultMemberUniqueName="[Table1].[Text].[All]" allUniqueName="[Table1].[Text].[All]" dimensionUniqueName="[Table1]" displayFolder="" count="0" memberValueDatatype="130" unbalanced="0"/>
    <cacheHierarchy uniqueName="[Table1].[Cleaned Text]" caption="Cleaned Text" attribute="1" defaultMemberUniqueName="[Table1].[Cleaned Text].[All]" allUniqueName="[Table1].[Cleaned Text].[All]" dimensionUniqueName="[Table1]" displayFolder="" count="0" memberValueDatatype="130" unbalanced="0"/>
    <cacheHierarchy uniqueName="[Table1].[Sentiment]" caption="Sentiment" attribute="1" defaultMemberUniqueName="[Table1].[Sentiment].[All]" allUniqueName="[Table1].[Sentiment].[All]" dimensionUniqueName="[Table1]" displayFolder="" count="0" memberValueDatatype="130" unbalanced="0"/>
    <cacheHierarchy uniqueName="[Table1].[Cleaned Sentiment]" caption="Cleaned Sentiment" attribute="1" defaultMemberUniqueName="[Table1].[Cleaned Sentiment].[All]" allUniqueName="[Table1].[Cleaned Sentiment].[All]" dimensionUniqueName="[Table1]" displayFolder="" count="0" memberValueDatatype="130" unbalanced="0"/>
    <cacheHierarchy uniqueName="[Table1].[Timestamp]" caption="Timestamp" attribute="1" time="1" defaultMemberUniqueName="[Table1].[Timestamp].[All]" allUniqueName="[Table1].[Timestamp].[All]" dimensionUniqueName="[Table1]" displayFolder="" count="0" memberValueDatatype="7" unbalanced="0"/>
    <cacheHierarchy uniqueName="[Table1].[Day_Name]" caption="Day_Name" attribute="1" defaultMemberUniqueName="[Table1].[Day_Name].[All]" allUniqueName="[Table1].[Day_Name].[All]" dimensionUniqueName="[Table1]" displayFolder="" count="0" memberValueDatatype="130" unbalanced="0"/>
    <cacheHierarchy uniqueName="[Table1].[User]" caption="User" attribute="1" defaultMemberUniqueName="[Table1].[User].[All]" allUniqueName="[Table1].[User].[All]" dimensionUniqueName="[Table1]" displayFolder="" count="0" memberValueDatatype="130" unbalanced="0"/>
    <cacheHierarchy uniqueName="[Table1].[Cleaned user]" caption="Cleaned user" attribute="1" defaultMemberUniqueName="[Table1].[Cleaned user].[All]" allUniqueName="[Table1].[Cleaned user].[All]" dimensionUniqueName="[Table1]" displayFolder="" count="0" memberValueDatatype="130" unbalanced="0"/>
    <cacheHierarchy uniqueName="[Table1].[Platform]" caption="Platform" attribute="1" defaultMemberUniqueName="[Table1].[Platform].[All]" allUniqueName="[Table1].[Platform].[All]" dimensionUniqueName="[Table1]" displayFolder="" count="0" memberValueDatatype="130" unbalanced="0"/>
    <cacheHierarchy uniqueName="[Table1].[Cleaned Platform]" caption="Cleaned Platform" attribute="1" defaultMemberUniqueName="[Table1].[Cleaned Platform].[All]" allUniqueName="[Table1].[Cleaned Platform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Hashtags]" caption="Hashtags" attribute="1" defaultMemberUniqueName="[Table1].[Hashtags].[All]" allUniqueName="[Table1].[Hashtags].[All]" dimensionUniqueName="[Table1]" displayFolder="" count="0" memberValueDatatype="130" unbalanced="0"/>
    <cacheHierarchy uniqueName="[Table1].[Retweets]" caption="Retweets" attribute="1" defaultMemberUniqueName="[Table1].[Retweets].[All]" allUniqueName="[Table1].[Retweets].[All]" dimensionUniqueName="[Table1]" displayFolder="" count="0" memberValueDatatype="20" unbalanced="0"/>
    <cacheHierarchy uniqueName="[Table1].[Likes]" caption="Likes" attribute="1" defaultMemberUniqueName="[Table1].[Likes].[All]" allUniqueName="[Table1].[Likes].[All]" dimensionUniqueName="[Table1]" displayFolder="" count="0" memberValueDatatype="20" unbalanced="0"/>
    <cacheHierarchy uniqueName="[Table1].[Country]" caption="Country" attribute="1" defaultMemberUniqueName="[Table1].[Country].[All]" allUniqueName="[Table1].[Country].[All]" dimensionUniqueName="[Table1]" displayFolder="" count="0" memberValueDatatype="130" unbalanced="0"/>
    <cacheHierarchy uniqueName="[Table1].[Cleaned Country]" caption="Cleaned Country" attribute="1" defaultMemberUniqueName="[Table1].[Cleaned Country].[All]" allUniqueName="[Table1].[Cleaned Country].[All]" dimensionUniqueName="[Table1]" displayFolder="" count="0" memberValueDatatype="130" unbalanced="0"/>
    <cacheHierarchy uniqueName="[Table1].[Year]" caption="Year" attribute="1" defaultMemberUniqueName="[Table1].[Year].[All]" allUniqueName="[Table1].[Year].[All]" dimensionUniqueName="[Table1]" displayFolder="" count="0" memberValueDatatype="20" unbalanced="0"/>
    <cacheHierarchy uniqueName="[Table1].[Month]" caption="Month" attribute="1" defaultMemberUniqueName="[Table1].[Month].[All]" allUniqueName="[Table1].[Month].[All]" dimensionUniqueName="[Table1]" displayFolder="" count="0" memberValueDatatype="20" unbalanced="0"/>
    <cacheHierarchy uniqueName="[Table1].[Day]" caption="Day" attribute="1" defaultMemberUniqueName="[Table1].[Day].[All]" allUniqueName="[Table1].[Day].[All]" dimensionUniqueName="[Table1]" displayFolder="" count="0" memberValueDatatype="20" unbalanced="0"/>
    <cacheHierarchy uniqueName="[Table1].[Hour]" caption="Hour" attribute="1" defaultMemberUniqueName="[Table1].[Hour].[All]" allUniqueName="[Table1].[Hour].[All]" dimensionUniqueName="[Table1]" displayFolder="" count="0" memberValueDatatype="20" unbalanced="0"/>
    <cacheHierarchy uniqueName="[Table1].[Month Name]" caption="Month Name" attribute="1" defaultMemberUniqueName="[Table1].[Month Name].[All]" allUniqueName="[Table1].[Month Name].[All]" dimensionUniqueName="[Table1]" displayFolder="" count="0" memberValueDatatype="13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Count of Cleaned Sentiment]" caption="Count of Cleaned Sentiment" measure="1" displayFolder="" measureGroup="Table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Distinct Count of Cleaned Sentiment]" caption="Distinct Count of Cleaned Sentiment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32">
  <r>
    <s v=" Enjoying a beautiful day at the park!              "/>
    <s v="Enjoying a beautiful day at the park."/>
    <s v=" Positive  "/>
    <x v="0"/>
    <d v="2023-01-15T12:30:00"/>
    <x v="0"/>
    <s v=" User123      "/>
    <s v="User123"/>
    <x v="0"/>
    <x v="0"/>
    <s v=" #Nature #Park                            "/>
    <n v="15"/>
    <n v="30"/>
    <s v=" USA      "/>
    <x v="0"/>
    <n v="2023"/>
    <x v="0"/>
    <n v="15"/>
    <n v="12"/>
    <x v="0"/>
  </r>
  <r>
    <s v=" Traffic was terrible this morning.                 "/>
    <s v="Traffic was terrible this morning.."/>
    <s v=" Negative  "/>
    <x v="1"/>
    <d v="2023-01-15T08:45:00"/>
    <x v="0"/>
    <s v=" CommuterX    "/>
    <s v="CommuterX"/>
    <x v="0"/>
    <x v="0"/>
    <s v=" #Traffic #Morning                        "/>
    <n v="5"/>
    <n v="10"/>
    <s v=" Canada   "/>
    <x v="1"/>
    <n v="2023"/>
    <x v="0"/>
    <n v="15"/>
    <n v="8"/>
    <x v="0"/>
  </r>
  <r>
    <s v=" Just finished an amazing workout! ðŸ’ª               "/>
    <s v="Just finished an amazing workout."/>
    <s v=" Positive  "/>
    <x v="0"/>
    <d v="2023-01-15T15:45:00"/>
    <x v="0"/>
    <s v=" FitnessFan   "/>
    <s v="FitnessFan"/>
    <x v="1"/>
    <x v="1"/>
    <s v=" #Fitness #Workout                        "/>
    <n v="20"/>
    <n v="40"/>
    <s v=" USA        "/>
    <x v="0"/>
    <n v="2023"/>
    <x v="0"/>
    <n v="15"/>
    <n v="15"/>
    <x v="0"/>
  </r>
  <r>
    <s v=" Excited about the upcoming weekend getaway!        "/>
    <s v="Excited about the upcoming weekend getaway."/>
    <s v=" Positive  "/>
    <x v="0"/>
    <d v="2023-01-15T18:20:00"/>
    <x v="0"/>
    <s v=" AdventureX   "/>
    <s v="AdventureX"/>
    <x v="2"/>
    <x v="2"/>
    <s v=" #Travel #Adventure                       "/>
    <n v="8"/>
    <n v="15"/>
    <s v=" UK       "/>
    <x v="2"/>
    <n v="2023"/>
    <x v="0"/>
    <n v="15"/>
    <n v="18"/>
    <x v="0"/>
  </r>
  <r>
    <s v=" Trying out a new recipe for dinner tonight.        "/>
    <s v="Trying out a new recipe for dinner tonight.."/>
    <s v=" Neutral   "/>
    <x v="2"/>
    <d v="2023-01-15T19:55:00"/>
    <x v="0"/>
    <s v=" ChefCook     "/>
    <s v="ChefCook"/>
    <x v="1"/>
    <x v="1"/>
    <s v=" #Cooking #Food                           "/>
    <n v="12"/>
    <n v="25"/>
    <s v=" Australia "/>
    <x v="3"/>
    <n v="2023"/>
    <x v="0"/>
    <n v="15"/>
    <n v="19"/>
    <x v="0"/>
  </r>
  <r>
    <s v=" Feeling grateful for the little things in life.    "/>
    <s v="Feeling grateful for the little things in life.."/>
    <s v=" Positive  "/>
    <x v="0"/>
    <d v="2023-01-16T09:10:00"/>
    <x v="1"/>
    <s v=" GratitudeNow "/>
    <s v="GratitudeNow"/>
    <x v="0"/>
    <x v="0"/>
    <s v=" #Gratitude #PositiveVibes              "/>
    <n v="25"/>
    <n v="50"/>
    <s v=" India    "/>
    <x v="4"/>
    <n v="2023"/>
    <x v="0"/>
    <n v="16"/>
    <n v="9"/>
    <x v="0"/>
  </r>
  <r>
    <s v=" Rainy days call for cozy blankets and hot cocoa.   "/>
    <s v="Rainy days call for cozy blankets and hot cocoa.."/>
    <s v=" Positive  "/>
    <x v="0"/>
    <d v="2023-01-16T14:45:00"/>
    <x v="1"/>
    <s v=" RainyDays    "/>
    <s v="RainyDays"/>
    <x v="2"/>
    <x v="2"/>
    <s v=" #RainyDays #Cozy                         "/>
    <n v="10"/>
    <n v="20"/>
    <s v=" Canada   "/>
    <x v="1"/>
    <n v="2023"/>
    <x v="0"/>
    <n v="16"/>
    <n v="14"/>
    <x v="0"/>
  </r>
  <r>
    <s v=" The new movie release is a must-watch!             "/>
    <s v="The new movie release is a must-watch."/>
    <s v=" Positive  "/>
    <x v="0"/>
    <d v="2023-01-16T19:30:00"/>
    <x v="1"/>
    <s v=" MovieBuff    "/>
    <s v="MovieBuff"/>
    <x v="1"/>
    <x v="1"/>
    <s v=" #MovieNight #MustWatch                  "/>
    <n v="15"/>
    <n v="30"/>
    <s v=" USA    "/>
    <x v="0"/>
    <n v="2023"/>
    <x v="0"/>
    <n v="16"/>
    <n v="19"/>
    <x v="0"/>
  </r>
  <r>
    <s v=" Political discussions heating up on the timeline.  "/>
    <s v="Political discussions heating up on the timeline.."/>
    <s v=" Negative  "/>
    <x v="1"/>
    <d v="2023-01-17T08:00:00"/>
    <x v="2"/>
    <s v=" DebateTalk   "/>
    <s v="DebateTalk"/>
    <x v="0"/>
    <x v="0"/>
    <s v=" #Politics #Debate                       "/>
    <n v="30"/>
    <n v="60"/>
    <s v=" USA      "/>
    <x v="0"/>
    <n v="2023"/>
    <x v="0"/>
    <n v="17"/>
    <n v="8"/>
    <x v="0"/>
  </r>
  <r>
    <s v=" Missing summer vibes and beach days.               "/>
    <s v="Missing summer vibes and beach days.."/>
    <s v=" Neutral   "/>
    <x v="2"/>
    <d v="2023-01-17T12:20:00"/>
    <x v="2"/>
    <s v=" BeachLover   "/>
    <s v="BeachLover"/>
    <x v="2"/>
    <x v="2"/>
    <s v=" #Summer #BeachDays                      "/>
    <n v="18"/>
    <n v="35"/>
    <s v=" Australia "/>
    <x v="3"/>
    <n v="2023"/>
    <x v="0"/>
    <n v="17"/>
    <n v="12"/>
    <x v="0"/>
  </r>
  <r>
    <s v=" Just published a new blog post. Check it out!      "/>
    <s v="Just published a new blog post. Check it out."/>
    <s v=" Positive  "/>
    <x v="0"/>
    <d v="2023-01-17T15:15:00"/>
    <x v="2"/>
    <s v=" BloggerX     "/>
    <s v="BloggerX"/>
    <x v="1"/>
    <x v="1"/>
    <s v=" #Blogging #NewPost                      "/>
    <n v="22"/>
    <n v="45"/>
    <s v="USA"/>
    <x v="0"/>
    <n v="2023"/>
    <x v="0"/>
    <n v="17"/>
    <n v="15"/>
    <x v="0"/>
  </r>
  <r>
    <s v=" Feeling a bit under the weather today.             "/>
    <s v="Feeling a bit under the weather today.."/>
    <s v=" Negative  "/>
    <x v="1"/>
    <d v="2023-01-18T10:30:00"/>
    <x v="3"/>
    <s v=" WellnessCheck"/>
    <s v="WellnessCheck"/>
    <x v="0"/>
    <x v="0"/>
    <s v=" #SickDay #Health                        "/>
    <n v="7"/>
    <n v="15"/>
    <s v=" Canada   "/>
    <x v="1"/>
    <n v="2023"/>
    <x v="0"/>
    <n v="18"/>
    <n v="10"/>
    <x v="0"/>
  </r>
  <r>
    <s v=" Exploring the city's hidden gems.                  "/>
    <s v="Exploring the city's hidden gems.."/>
    <s v=" Positive  "/>
    <x v="0"/>
    <d v="2023-01-18T14:50:00"/>
    <x v="3"/>
    <s v=" UrbanExplorer"/>
    <s v="UrbanExplorer"/>
    <x v="2"/>
    <x v="2"/>
    <s v=" #CityExplore #HiddenGems                "/>
    <n v="12"/>
    <n v="25"/>
    <s v=" UK       "/>
    <x v="2"/>
    <n v="2023"/>
    <x v="0"/>
    <n v="18"/>
    <n v="14"/>
    <x v="0"/>
  </r>
  <r>
    <s v=" New year, new fitness goals! ðŸ’ª                    "/>
    <s v="New year, new fitness goals."/>
    <s v=" Positive  "/>
    <x v="0"/>
    <d v="2023-01-18T18:00:00"/>
    <x v="3"/>
    <s v=" FitJourney   "/>
    <s v="FitJourney"/>
    <x v="1"/>
    <x v="1"/>
    <s v=" #NewYear #FitnessGoals                  "/>
    <n v="28"/>
    <n v="55"/>
    <s v=" USA        "/>
    <x v="0"/>
    <n v="2023"/>
    <x v="0"/>
    <n v="18"/>
    <n v="18"/>
    <x v="0"/>
  </r>
  <r>
    <s v=" Technology is changing the way we live.            "/>
    <s v="Technology is changing the way we live.."/>
    <s v=" Neutral   "/>
    <x v="2"/>
    <d v="2023-01-19T09:45:00"/>
    <x v="4"/>
    <s v=" TechEnthusiast"/>
    <s v="TechEnthusiast"/>
    <x v="0"/>
    <x v="0"/>
    <s v=" #Tech #Innovation                       "/>
    <n v="15"/>
    <n v="30"/>
    <s v=" India    "/>
    <x v="4"/>
    <n v="2023"/>
    <x v="0"/>
    <n v="19"/>
    <n v="9"/>
    <x v="0"/>
  </r>
  <r>
    <s v=" Reflecting on the past and looking ahead.          "/>
    <s v="Reflecting on the past and looking ahead.."/>
    <s v=" Positive  "/>
    <x v="0"/>
    <d v="2023-01-19T13:20:00"/>
    <x v="4"/>
    <s v=" Reflections  "/>
    <s v="Reflections"/>
    <x v="2"/>
    <x v="2"/>
    <s v=" #Reflection #Future                     "/>
    <n v="20"/>
    <n v="40"/>
    <s v=" USA      "/>
    <x v="0"/>
    <n v="2023"/>
    <x v="0"/>
    <n v="19"/>
    <n v="13"/>
    <x v="0"/>
  </r>
  <r>
    <s v=" Just adopted a cute furry friend! ðŸ¾              "/>
    <s v="Just adopted a cute furry friend."/>
    <s v=" Positive  "/>
    <x v="0"/>
    <d v="2023-01-19T17:10:00"/>
    <x v="4"/>
    <s v=" PetAdopter   "/>
    <s v="PetAdopter"/>
    <x v="1"/>
    <x v="1"/>
    <s v=" #PetAdoption #FurryFriend               "/>
    <n v="15"/>
    <n v="30"/>
    <s v=" Canada    "/>
    <x v="1"/>
    <n v="2023"/>
    <x v="0"/>
    <n v="19"/>
    <n v="17"/>
    <x v="0"/>
  </r>
  <r>
    <s v=" Late-night gaming session with friends.            "/>
    <s v="Late-night gaming session with friends.."/>
    <s v=" Positive  "/>
    <x v="0"/>
    <d v="2023-01-20T00:05:00"/>
    <x v="5"/>
    <s v=" GamerX       "/>
    <s v="GamerX"/>
    <x v="0"/>
    <x v="0"/>
    <s v=" #Gaming #LateNight                      "/>
    <n v="18"/>
    <n v="35"/>
    <s v=" UK       "/>
    <x v="2"/>
    <n v="2023"/>
    <x v="0"/>
    <n v="20"/>
    <n v="0"/>
    <x v="0"/>
  </r>
  <r>
    <s v=" Attending a virtual conference on AI.              "/>
    <s v="Attending a virtual conference on AI.."/>
    <s v=" Neutral   "/>
    <x v="2"/>
    <d v="2023-01-20T11:30:00"/>
    <x v="5"/>
    <s v=" TechConference"/>
    <s v="TechConference"/>
    <x v="2"/>
    <x v="2"/>
    <s v=" #AI #TechConference                     "/>
    <n v="25"/>
    <n v="50"/>
    <s v="USA"/>
    <x v="0"/>
    <n v="2023"/>
    <x v="0"/>
    <n v="20"/>
    <n v="11"/>
    <x v="0"/>
  </r>
  <r>
    <s v=" Winter blues got me feeling low.                   "/>
    <s v="Winter blues got me feeling low.."/>
    <s v=" Negative  "/>
    <x v="1"/>
    <d v="2023-01-20T15:15:00"/>
    <x v="5"/>
    <s v=" WinterBlues  "/>
    <s v="WinterBlues"/>
    <x v="1"/>
    <x v="1"/>
    <s v=" #WinterBlues #Mood                      "/>
    <n v="8"/>
    <n v="15"/>
    <s v=" USA       "/>
    <x v="0"/>
    <n v="2023"/>
    <x v="0"/>
    <n v="20"/>
    <n v="15"/>
    <x v="0"/>
  </r>
  <r>
    <s v=" Sipping coffee and enjoying a good book.           "/>
    <s v="Sipping coffee and enjoying a good book.."/>
    <s v=" Positive  "/>
    <x v="0"/>
    <d v="2023-01-21T08:40:00"/>
    <x v="6"/>
    <s v=" Bookworm     "/>
    <s v="Bookworm"/>
    <x v="0"/>
    <x v="0"/>
    <s v=" #Reading #CoffeeTime                    "/>
    <n v="22"/>
    <n v="45"/>
    <s v=" India    "/>
    <x v="4"/>
    <n v="2023"/>
    <x v="0"/>
    <n v="21"/>
    <n v="8"/>
    <x v="0"/>
  </r>
  <r>
    <s v=" Exploring the world of virtual reality.            "/>
    <s v="Exploring the world of virtual reality.."/>
    <s v=" Positive  "/>
    <x v="0"/>
    <d v="2023-01-21T13:20:00"/>
    <x v="6"/>
    <s v=" VRExplorer   "/>
    <s v="VRExplorer"/>
    <x v="2"/>
    <x v="2"/>
    <s v=" #VR #VirtualReality                     "/>
    <n v="15"/>
    <n v="30"/>
    <s v="USA"/>
    <x v="0"/>
    <n v="2023"/>
    <x v="0"/>
    <n v="21"/>
    <n v="13"/>
    <x v="0"/>
  </r>
  <r>
    <s v=" Productive day ticking off my to-do list.          "/>
    <s v="Productive day ticking off my to-do list.."/>
    <s v=" Positive  "/>
    <x v="0"/>
    <d v="2023-01-21T16:45:00"/>
    <x v="6"/>
    <s v=" ProductivityPro"/>
    <s v="ProductivityPro"/>
    <x v="1"/>
    <x v="1"/>
    <s v=" #Productivity #WorkFromHome           "/>
    <n v="30"/>
    <n v="60"/>
    <s v=" USA "/>
    <x v="0"/>
    <n v="2023"/>
    <x v="0"/>
    <n v="21"/>
    <n v="16"/>
    <x v="0"/>
  </r>
  <r>
    <s v=" Just finished a challenging workout routine.       "/>
    <s v="Just finished a challenging workout routine.."/>
    <s v=" Positive  "/>
    <x v="0"/>
    <d v="2023-01-22T09:15:00"/>
    <x v="0"/>
    <s v=" FitnessWarrior"/>
    <s v="FitnessWarrior"/>
    <x v="0"/>
    <x v="0"/>
    <s v=" #Fitness #ChallengeAccepted             "/>
    <n v="20"/>
    <n v="40"/>
    <s v=" UK       "/>
    <x v="2"/>
    <n v="2023"/>
    <x v="0"/>
    <n v="22"/>
    <n v="9"/>
    <x v="0"/>
  </r>
  <r>
    <s v=" Celebrating a milestone at work! ðŸŽ‰               "/>
    <s v="Celebrating a milestone at work."/>
    <s v=" Positive  "/>
    <x v="0"/>
    <d v="2023-01-22T14:30:00"/>
    <x v="0"/>
    <s v=" CareerMilestone"/>
    <s v="CareerMilestone"/>
    <x v="2"/>
    <x v="2"/>
    <s v=" #Career #Milestone                      "/>
    <n v="12"/>
    <n v="25"/>
    <s v=" Canada  "/>
    <x v="1"/>
    <n v="2023"/>
    <x v="0"/>
    <n v="22"/>
    <n v="14"/>
    <x v="0"/>
  </r>
  <r>
    <s v=" Sunday brunch with friends.                        "/>
    <s v="Sunday brunch with friends.."/>
    <s v=" Positive  "/>
    <x v="0"/>
    <d v="2023-01-22T12:00:00"/>
    <x v="0"/>
    <s v=" BrunchBuddy  "/>
    <s v="BrunchBuddy"/>
    <x v="1"/>
    <x v="1"/>
    <s v=" #Brunch #Friends                       "/>
    <n v="15"/>
    <n v="30"/>
    <s v=" UK "/>
    <x v="2"/>
    <n v="2023"/>
    <x v="0"/>
    <n v="22"/>
    <n v="12"/>
    <x v="0"/>
  </r>
  <r>
    <s v=" Learning a new language for personal growth.       "/>
    <s v="Learning a new language for personal growth.."/>
    <s v=" Positive  "/>
    <x v="0"/>
    <d v="2023-01-23T16:20:00"/>
    <x v="1"/>
    <s v=" LanguageLearner"/>
    <s v="LanguageLearner"/>
    <x v="2"/>
    <x v="2"/>
    <s v=" #LanguageLearning #PersonalGrowth       "/>
    <n v="25"/>
    <n v="50"/>
    <s v=" India     "/>
    <x v="4"/>
    <n v="2023"/>
    <x v="0"/>
    <n v="23"/>
    <n v="16"/>
    <x v="0"/>
  </r>
  <r>
    <s v=" Quiet evening with a good book.                    "/>
    <s v="Quiet evening with a good book.."/>
    <s v=" Positive  "/>
    <x v="0"/>
    <d v="2023-01-23T19:45:00"/>
    <x v="1"/>
    <s v=" BookLover    "/>
    <s v="BookLover"/>
    <x v="1"/>
    <x v="1"/>
    <s v=" #Reading #QuietTime                     "/>
    <n v="15"/>
    <n v="30"/>
    <s v=" Australia "/>
    <x v="3"/>
    <n v="2023"/>
    <x v="0"/>
    <n v="23"/>
    <n v="19"/>
    <x v="0"/>
  </r>
  <r>
    <s v=" Reflecting on the importance of mental health.     "/>
    <s v="Reflecting on the importance of mental health.."/>
    <s v=" Positive  "/>
    <x v="0"/>
    <d v="2023-01-24T11:30:00"/>
    <x v="2"/>
    <s v=" MentalHealthMatters"/>
    <s v="MentalHealthMatters"/>
    <x v="0"/>
    <x v="0"/>
    <s v=" #MentalHealth #SelfCare                 "/>
    <n v="22"/>
    <n v="45"/>
    <s v=" USA      "/>
    <x v="0"/>
    <n v="2023"/>
    <x v="0"/>
    <n v="24"/>
    <n v="11"/>
    <x v="0"/>
  </r>
  <r>
    <s v=" New painting in progress! ðŸŽ¨                       "/>
    <s v="New painting in progress."/>
    <s v=" Positive  "/>
    <x v="0"/>
    <d v="2023-01-24T15:00:00"/>
    <x v="2"/>
    <s v=" ArtistInAction"/>
    <s v="ArtistInAction"/>
    <x v="2"/>
    <x v="2"/>
    <s v=" #Art #PaintingInProgress             "/>
    <n v="12"/>
    <n v="25"/>
    <s v=" Canada "/>
    <x v="1"/>
    <n v="2023"/>
    <x v="0"/>
    <n v="24"/>
    <n v="15"/>
    <x v="0"/>
  </r>
  <r>
    <s v=" Weekend road trip to explore scenic views.         "/>
    <s v="Weekend road trip to explore scenic views.."/>
    <s v=" Positive  "/>
    <x v="0"/>
    <d v="2023-01-24T17:30:00"/>
    <x v="2"/>
    <s v=" RoadTripper  "/>
    <s v="RoadTripper"/>
    <x v="1"/>
    <x v="1"/>
    <s v=" #RoadTrip #ScenicViews                  "/>
    <n v="18"/>
    <n v="35"/>
    <s v=" UK        "/>
    <x v="2"/>
    <n v="2023"/>
    <x v="0"/>
    <n v="24"/>
    <n v="17"/>
    <x v="0"/>
  </r>
  <r>
    <s v=" Enjoying a cup of tea and watching the sunset.     "/>
    <s v="Enjoying a cup of tea and watching the sunset.."/>
    <s v=" Positive  "/>
    <x v="0"/>
    <d v="2023-01-25T18:00:00"/>
    <x v="3"/>
    <s v=" SunsetWatcher"/>
    <s v="SunsetWatcher"/>
    <x v="0"/>
    <x v="0"/>
    <s v=" #TeaTime #Sunset                       "/>
    <n v="15"/>
    <n v="30"/>
    <s v=" India    "/>
    <x v="4"/>
    <n v="2023"/>
    <x v="0"/>
    <n v="25"/>
    <n v="18"/>
    <x v="0"/>
  </r>
  <r>
    <s v=" Coding a new project with enthusiasm.              "/>
    <s v="Coding a new project with enthusiasm.."/>
    <s v=" Positive  "/>
    <x v="0"/>
    <d v="2023-01-25T13:15:00"/>
    <x v="3"/>
    <s v=" CodeEnthusiast"/>
    <s v="CodeEnthusiast"/>
    <x v="2"/>
    <x v="2"/>
    <s v=" #Coding #Enthusiasm                   "/>
    <n v="30"/>
    <n v="60"/>
    <s v=" USA "/>
    <x v="0"/>
    <n v="2023"/>
    <x v="0"/>
    <n v="25"/>
    <n v="13"/>
    <x v="0"/>
  </r>
  <r>
    <s v=" Feeling inspired after attending a workshop.       "/>
    <s v="Feeling inspired after attending a workshop.."/>
    <s v=" Positive  "/>
    <x v="0"/>
    <d v="2023-01-26T09:45:00"/>
    <x v="4"/>
    <s v=" WorkshopAttendee"/>
    <s v="WorkshopAttendee"/>
    <x v="1"/>
    <x v="1"/>
    <s v=" #Inspiration #Workshop                  "/>
    <n v="25"/>
    <n v="50"/>
    <s v="USA"/>
    <x v="0"/>
    <n v="2023"/>
    <x v="0"/>
    <n v="26"/>
    <n v="9"/>
    <x v="0"/>
  </r>
  <r>
    <s v=" Winter sports day at the local park.               "/>
    <s v="Winter sports day at the local park.."/>
    <s v=" Positive  "/>
    <x v="0"/>
    <d v="2023-01-26T14:20:00"/>
    <x v="4"/>
    <s v=" WinterSports  "/>
    <s v="WinterSports"/>
    <x v="0"/>
    <x v="0"/>
    <s v=" #WinterSports #Fun                     "/>
    <n v="15"/>
    <n v="30"/>
    <s v=" Canada   "/>
    <x v="1"/>
    <n v="2023"/>
    <x v="0"/>
    <n v="26"/>
    <n v="14"/>
    <x v="0"/>
  </r>
  <r>
    <s v=" Quality time with family this weekend.             "/>
    <s v="Quality time with family this weekend.."/>
    <s v=" Positive  "/>
    <x v="0"/>
    <d v="2023-01-26T17:40:00"/>
    <x v="4"/>
    <s v=" FamilyTime   "/>
    <s v="FamilyTime"/>
    <x v="2"/>
    <x v="2"/>
    <s v=" #FamilyTime #Weekend                    "/>
    <n v="22"/>
    <n v="45"/>
    <s v=" UK        "/>
    <x v="2"/>
    <n v="2023"/>
    <x v="0"/>
    <n v="26"/>
    <n v="17"/>
    <x v="0"/>
  </r>
  <r>
    <s v=" Attending a live music concert tonight.            "/>
    <s v="Attending a live music concert tonight.."/>
    <s v=" Positive  "/>
    <x v="0"/>
    <d v="2023-01-27T20:00:00"/>
    <x v="5"/>
    <s v=" MusicLover   "/>
    <s v="MusicLover"/>
    <x v="1"/>
    <x v="1"/>
    <s v=" #Music #ConcertNight                  "/>
    <n v="18"/>
    <n v="35"/>
    <s v=" USA "/>
    <x v="0"/>
    <n v="2023"/>
    <x v="0"/>
    <n v="27"/>
    <n v="20"/>
    <x v="0"/>
  </r>
  <r>
    <s v=" Practicing mindfulness with meditation.            "/>
    <s v="Practicing mindfulness with meditation.."/>
    <s v=" Positive  "/>
    <x v="0"/>
    <d v="2023-01-27T12:30:00"/>
    <x v="5"/>
    <s v=" MindfulMoments"/>
    <s v="MindfulMoments"/>
    <x v="0"/>
    <x v="0"/>
    <s v=" #Mindfulness #Meditation               "/>
    <n v="15"/>
    <n v="30"/>
    <s v=" India    "/>
    <x v="4"/>
    <n v="2023"/>
    <x v="0"/>
    <n v="27"/>
    <n v="12"/>
    <x v="0"/>
  </r>
  <r>
    <s v=" Trying out a new dessert recipe.                   "/>
    <s v="Trying out a new dessert recipe.."/>
    <s v=" Positive  "/>
    <x v="0"/>
    <d v="2023-01-27T16:10:00"/>
    <x v="5"/>
    <s v=" DessertExplorer"/>
    <s v="DessertExplorer"/>
    <x v="2"/>
    <x v="2"/>
    <s v=" #Dessert #Cooking                      "/>
    <n v="12"/>
    <n v="25"/>
    <s v=" Canada "/>
    <x v="1"/>
    <n v="2023"/>
    <x v="0"/>
    <n v="27"/>
    <n v="16"/>
    <x v="0"/>
  </r>
  <r>
    <s v=" Excited about the upcoming gaming tournament.      "/>
    <s v="Excited about the upcoming gaming tournament.."/>
    <s v=" Positive  "/>
    <x v="0"/>
    <d v="2023-01-28T09:00:00"/>
    <x v="6"/>
    <s v=" GamingEnthusiast"/>
    <s v="GamingEnthusiast"/>
    <x v="1"/>
    <x v="1"/>
    <s v=" #Gaming #Tournament                     "/>
    <n v="30"/>
    <n v="60"/>
    <s v="USA"/>
    <x v="0"/>
    <n v="2023"/>
    <x v="0"/>
    <n v="28"/>
    <n v="9"/>
    <x v="0"/>
  </r>
  <r>
    <s v=" Planning a garden makeover for spring.             "/>
    <s v="Planning a garden makeover for spring.."/>
    <s v=" Positive  "/>
    <x v="0"/>
    <d v="2023-01-28T14:45:00"/>
    <x v="6"/>
    <s v=" GardenPlanner "/>
    <s v="GardenPlanner"/>
    <x v="0"/>
    <x v="0"/>
    <s v=" #Gardening #Spring                     "/>
    <n v="25"/>
    <n v="50"/>
    <s v=" USA      "/>
    <x v="0"/>
    <n v="2023"/>
    <x v="0"/>
    <n v="28"/>
    <n v="14"/>
    <x v="0"/>
  </r>
  <r>
    <s v=" Celebrating a friend's birthday tonight! ðŸŽ‚       "/>
    <s v="Celebrating a friend's birthday tonight."/>
    <s v=" Positive  "/>
    <x v="0"/>
    <d v="2023-01-28T19:30:00"/>
    <x v="6"/>
    <s v=" BirthdayBash "/>
    <s v="BirthdayBash"/>
    <x v="2"/>
    <x v="2"/>
    <s v=" #Birthday #Celebration                  "/>
    <n v="15"/>
    <n v="30"/>
    <s v=" UK "/>
    <x v="2"/>
    <n v="2023"/>
    <x v="0"/>
    <n v="28"/>
    <n v="19"/>
    <x v="0"/>
  </r>
  <r>
    <s v=" Feeling accomplished after a productive day.       "/>
    <s v="Feeling accomplished after a productive day.."/>
    <s v=" Positive  "/>
    <x v="0"/>
    <d v="2023-01-29T17:00:00"/>
    <x v="0"/>
    <s v=" ProductivityWin"/>
    <s v="ProductivityWin"/>
    <x v="1"/>
    <x v="1"/>
    <s v=" #Accomplished #Success               "/>
    <n v="22"/>
    <n v="45"/>
    <s v=" India "/>
    <x v="4"/>
    <n v="2023"/>
    <x v="0"/>
    <n v="29"/>
    <n v="17"/>
    <x v="0"/>
  </r>
  <r>
    <s v=" A cozy evening with a good movie.                 "/>
    <s v="A cozy evening with a good movie.."/>
    <s v=" Positive  "/>
    <x v="0"/>
    <d v="2023-01-29T20:20:00"/>
    <x v="0"/>
    <s v=" MovieNight   "/>
    <s v="MovieNight"/>
    <x v="0"/>
    <x v="0"/>
    <s v=" #CozyNight #MovieTime                   "/>
    <n v="18"/>
    <n v="35"/>
    <s v=" Canada   "/>
    <x v="1"/>
    <n v="2023"/>
    <x v="0"/>
    <n v="29"/>
    <n v="20"/>
    <x v="0"/>
  </r>
  <r>
    <s v=" Exploring local art galleries this weekend.        "/>
    <s v="Exploring local art galleries this weekend.."/>
    <s v=" Positive  "/>
    <x v="0"/>
    <d v="2023-01-30T11:30:00"/>
    <x v="1"/>
    <s v=" ArtExplorer  "/>
    <s v="ArtExplorer"/>
    <x v="2"/>
    <x v="2"/>
    <s v=" #Art #GalleryExplore                    "/>
    <n v="15"/>
    <n v="30"/>
    <s v=" USA      "/>
    <x v="0"/>
    <n v="2023"/>
    <x v="0"/>
    <n v="30"/>
    <n v="11"/>
    <x v="0"/>
  </r>
  <r>
    <s v=" New book release from my favorite author!          "/>
    <s v="New book release from my favorite author."/>
    <s v=" Positive  "/>
    <x v="0"/>
    <d v="2023-01-30T15:45:00"/>
    <x v="1"/>
    <s v=" BookwormX    "/>
    <s v="BookwormX"/>
    <x v="1"/>
    <x v="1"/>
    <s v=" #BookRelease #FavoriteAuthor           "/>
    <n v="12"/>
    <n v="25"/>
    <s v=" UK   "/>
    <x v="2"/>
    <n v="2023"/>
    <x v="0"/>
    <n v="30"/>
    <n v="15"/>
    <x v="0"/>
  </r>
  <r>
    <s v=" Attending a virtual reality meetup.                "/>
    <s v="Attending a virtual reality meetup.."/>
    <s v=" Positive  "/>
    <x v="0"/>
    <d v="2023-01-30T18:30:00"/>
    <x v="1"/>
    <s v=" VRMeetup     "/>
    <s v="VRMeetup"/>
    <x v="0"/>
    <x v="0"/>
    <s v=" #VRMeetup #VirtualReality               "/>
    <n v="28"/>
    <n v="55"/>
    <s v=" India    "/>
    <x v="4"/>
    <n v="2023"/>
    <x v="0"/>
    <n v="30"/>
    <n v="18"/>
    <x v="0"/>
  </r>
  <r>
    <s v=" Reflecting on the beauty of nature.                "/>
    <s v="Reflecting on the beauty of nature.."/>
    <s v=" Positive  "/>
    <x v="0"/>
    <d v="2023-01-31T10:45:00"/>
    <x v="2"/>
    <s v=" NatureLover  "/>
    <s v="NatureLover"/>
    <x v="2"/>
    <x v="2"/>
    <s v=" #Nature #Reflection                     "/>
    <n v="15"/>
    <n v="30"/>
    <s v=" Australia "/>
    <x v="3"/>
    <n v="2023"/>
    <x v="0"/>
    <n v="31"/>
    <n v="10"/>
    <x v="0"/>
  </r>
  <r>
    <s v=" Cooking a special dinner for loved ones.           "/>
    <s v="Cooking a special dinner for loved ones.."/>
    <s v=" Positive  "/>
    <x v="0"/>
    <d v="2023-01-31T19:00:00"/>
    <x v="2"/>
    <s v=" ChefAtHome   "/>
    <s v="ChefAtHome"/>
    <x v="1"/>
    <x v="1"/>
    <s v=" #Cooking #SpecialDinner                "/>
    <n v="20"/>
    <n v="40"/>
    <s v=" USA       "/>
    <x v="0"/>
    <n v="2023"/>
    <x v="0"/>
    <n v="31"/>
    <n v="19"/>
    <x v="0"/>
  </r>
  <r>
    <s v=" Feeling optimistic about the week ahead.           "/>
    <s v="Feeling optimistic about the week ahead.."/>
    <s v=" Positive  "/>
    <x v="0"/>
    <d v="2023-01-31T16:20:00"/>
    <x v="2"/>
    <s v=" OptimisticMindset"/>
    <s v="OptimisticMindset"/>
    <x v="0"/>
    <x v="0"/>
    <s v=" #Optimism #NewWeek                     "/>
    <n v="15"/>
    <n v="30"/>
    <s v=" Canada   "/>
    <x v="1"/>
    <n v="2023"/>
    <x v="0"/>
    <n v="31"/>
    <n v="16"/>
    <x v="0"/>
  </r>
  <r>
    <s v=" Starting a new fitness challenge tomorrow! ðŸ’ª     "/>
    <s v="Starting a new fitness challenge tomorrow."/>
    <s v=" Positive  "/>
    <x v="0"/>
    <d v="2023-02-01T08:00:00"/>
    <x v="3"/>
    <s v=" FitnessChallenge"/>
    <s v="FitnessChallenge"/>
    <x v="2"/>
    <x v="2"/>
    <s v=" #FitnessChallenge #NewBeginnings       "/>
    <n v="22"/>
    <n v="45"/>
    <s v=" UK         "/>
    <x v="2"/>
    <n v="2023"/>
    <x v="1"/>
    <n v="1"/>
    <n v="8"/>
    <x v="0"/>
  </r>
  <r>
    <s v=" Sunday bike ride through scenic trails.           "/>
    <s v="Sunday bike ride through scenic trails.."/>
    <s v=" Positive  "/>
    <x v="0"/>
    <d v="2023-02-01T13:30:00"/>
    <x v="3"/>
    <s v=" BikeExplorer  "/>
    <s v="BikeExplorer"/>
    <x v="1"/>
    <x v="1"/>
    <s v=" #BikeRide #ScenicTrails                "/>
    <n v="18"/>
    <n v="35"/>
    <s v=" USA     "/>
    <x v="0"/>
    <n v="2023"/>
    <x v="1"/>
    <n v="1"/>
    <n v="13"/>
    <x v="0"/>
  </r>
  <r>
    <s v=" Can't believe the injustice happening in our society."/>
    <s v="Can't believe the injustice happening in our society.."/>
    <s v=" Anger        "/>
    <x v="3"/>
    <d v="2023-02-11T09:30:00"/>
    <x v="6"/>
    <s v=" SocialJustice   "/>
    <s v="SocialJustice"/>
    <x v="0"/>
    <x v="0"/>
    <s v=" #Injustice #Angry                            "/>
    <n v="20"/>
    <n v="40"/>
    <s v=" Canada     "/>
    <x v="1"/>
    <n v="2023"/>
    <x v="1"/>
    <n v="11"/>
    <n v="9"/>
    <x v="0"/>
  </r>
  <r>
    <s v=" Feeling a sense of fear after watching a thriller movie. "/>
    <s v="Feeling a sense of fear after watching a thriller movie.."/>
    <s v=" Fear         "/>
    <x v="4"/>
    <d v="2023-02-11T21:15:00"/>
    <x v="6"/>
    <s v=" ThrillerFan     "/>
    <s v="ThrillerFan"/>
    <x v="1"/>
    <x v="1"/>
    <s v=" #Fear #ThrillerMovie                         "/>
    <n v="15"/>
    <n v="30"/>
    <s v=" USA          "/>
    <x v="0"/>
    <n v="2023"/>
    <x v="1"/>
    <n v="11"/>
    <n v="21"/>
    <x v="0"/>
  </r>
  <r>
    <s v=" Heartbroken after hearing the news about a natural disaster. "/>
    <s v="Heartbroken after hearing the news about a natural disaster.."/>
    <s v=" Sadness      "/>
    <x v="5"/>
    <d v="2023-02-12T14:45:00"/>
    <x v="0"/>
    <s v=" EmpathyFirst    "/>
    <s v="EmpathyFirst"/>
    <x v="2"/>
    <x v="2"/>
    <s v=" #Sadness #NaturalDisaster                    "/>
    <n v="25"/>
    <n v="50"/>
    <s v=" India      "/>
    <x v="4"/>
    <n v="2023"/>
    <x v="1"/>
    <n v="12"/>
    <n v="14"/>
    <x v="0"/>
  </r>
  <r>
    <s v=" The state of the world's environment is just disgusting. "/>
    <s v="The state of the world's environment is just disgusting.."/>
    <s v=" Disgust      "/>
    <x v="6"/>
    <d v="2023-02-12T18:20:00"/>
    <x v="0"/>
    <s v=" EcoAwareness    "/>
    <s v="EcoAwareness"/>
    <x v="0"/>
    <x v="0"/>
    <s v=" #Disgust #Environment                        "/>
    <n v="18"/>
    <n v="35"/>
    <s v=" UK         "/>
    <x v="2"/>
    <n v="2023"/>
    <x v="1"/>
    <n v="12"/>
    <n v="18"/>
    <x v="0"/>
  </r>
  <r>
    <s v=" Pure happiness: celebrating a loved one's achievement! "/>
    <s v="Pure happiness: celebrating a loved one's achievement."/>
    <s v=" Happiness    "/>
    <x v="7"/>
    <d v="2023-02-13T10:00:00"/>
    <x v="1"/>
    <s v=" ProudFriend     "/>
    <s v="ProudFriend"/>
    <x v="1"/>
    <x v="1"/>
    <s v=" #Happiness #Celebration                   "/>
    <n v="30"/>
    <n v="60"/>
    <s v=" USA "/>
    <x v="0"/>
    <n v="2023"/>
    <x v="1"/>
    <n v="13"/>
    <n v="10"/>
    <x v="0"/>
  </r>
  <r>
    <s v=" Laughter is the best medicineâ€”enjoying a comedy show. "/>
    <s v="Laughter is the best medicine enjoying a comedy show.."/>
    <s v=" Joy          "/>
    <x v="8"/>
    <d v="2023-02-13T19:30:00"/>
    <x v="1"/>
    <s v=" ComedyFan       "/>
    <s v="ComedyFan"/>
    <x v="2"/>
    <x v="2"/>
    <s v=" #Joy #ComedyShow                             "/>
    <n v="22"/>
    <n v="45"/>
    <s v=" Canada    "/>
    <x v="1"/>
    <n v="2023"/>
    <x v="1"/>
    <n v="13"/>
    <n v="19"/>
    <x v="0"/>
  </r>
  <r>
    <s v=" Sharing love and positive vibes with everyone! â¤ï¸      "/>
    <s v="Sharing love and positive vibes with everyone."/>
    <s v=" Love         "/>
    <x v="9"/>
    <d v="2023-02-14T08:30:00"/>
    <x v="2"/>
    <s v=" LoveSpreader    "/>
    <s v="LoveSpreader"/>
    <x v="0"/>
    <x v="0"/>
    <s v=" #Love #SpreadLove                            "/>
    <n v="15"/>
    <n v="30"/>
    <s v=" Australia  "/>
    <x v="3"/>
    <n v="2023"/>
    <x v="1"/>
    <n v="14"/>
    <n v="8"/>
    <x v="0"/>
  </r>
  <r>
    <s v=" An amusing incident brightened up my day!               "/>
    <s v="An amusing incident brightened up my day."/>
    <s v=" Amusement    "/>
    <x v="10"/>
    <d v="2023-02-14T14:20:00"/>
    <x v="2"/>
    <s v=" AmusedSoul      "/>
    <s v="AmusedSoul"/>
    <x v="1"/>
    <x v="1"/>
    <s v=" #Amusement #FunTimes                         "/>
    <n v="18"/>
    <n v="35"/>
    <s v=" UK           "/>
    <x v="2"/>
    <n v="2023"/>
    <x v="1"/>
    <n v="14"/>
    <n v="14"/>
    <x v="0"/>
  </r>
  <r>
    <s v=" Enjoying a quiet evening with a book and some tea.      "/>
    <s v="Enjoying a quiet evening with a book and some tea.."/>
    <s v=" Enjoyment    "/>
    <x v="11"/>
    <d v="2023-02-14T19:45:00"/>
    <x v="2"/>
    <s v=" BookLoverAgain  "/>
    <s v="BookLoverAgain"/>
    <x v="2"/>
    <x v="2"/>
    <s v=" #Enjoyment #BookTime                         "/>
    <n v="25"/>
    <n v="50"/>
    <s v=" Canada       "/>
    <x v="1"/>
    <n v="2023"/>
    <x v="1"/>
    <n v="14"/>
    <n v="19"/>
    <x v="0"/>
  </r>
  <r>
    <s v=" Admiring the beauty of nature during a peaceful hike.   "/>
    <s v="Admiring the beauty of nature during a peaceful hike.."/>
    <s v=" Admiration   "/>
    <x v="12"/>
    <d v="2023-02-15T11:30:00"/>
    <x v="3"/>
    <s v=" NatureAdmirer   "/>
    <s v="NatureAdmirer"/>
    <x v="0"/>
    <x v="0"/>
    <s v=" #Admiration #Nature                         "/>
    <n v="20"/>
    <n v="40"/>
    <s v=" USA       "/>
    <x v="0"/>
    <n v="2023"/>
    <x v="1"/>
    <n v="15"/>
    <n v="11"/>
    <x v="0"/>
  </r>
  <r>
    <s v=" Sending affectionate vibes to all my followers!          "/>
    <s v="Sending affectionate vibes to all my followers."/>
    <s v=" Affection    "/>
    <x v="13"/>
    <d v="2023-02-15T16:00:00"/>
    <x v="3"/>
    <s v=" AffectionSender "/>
    <s v="AffectionSender"/>
    <x v="1"/>
    <x v="1"/>
    <s v=" #Affection #PositiveVibes                   "/>
    <n v="15"/>
    <n v="30"/>
    <s v="USA"/>
    <x v="0"/>
    <n v="2023"/>
    <x v="1"/>
    <n v="15"/>
    <n v="16"/>
    <x v="0"/>
  </r>
  <r>
    <s v=" Experiencing awe at the breathtaking sunset.            "/>
    <s v="Experiencing awe at the breathtaking sunset.."/>
    <s v=" Awe          "/>
    <x v="14"/>
    <d v="2023-02-15T20:30:00"/>
    <x v="3"/>
    <s v=" AweStruck       "/>
    <s v="AweStruck"/>
    <x v="2"/>
    <x v="2"/>
    <s v=" #Awe #Breathtaking                          "/>
    <n v="22"/>
    <n v="45"/>
    <s v=" Australia   "/>
    <x v="3"/>
    <n v="2023"/>
    <x v="1"/>
    <n v="15"/>
    <n v="20"/>
    <x v="0"/>
  </r>
  <r>
    <s v=" Disappointed with the service at a local restaurant.    "/>
    <s v="Disappointed with the service at a local restaurant.."/>
    <s v=" Disappointed "/>
    <x v="15"/>
    <d v="2023-02-16T09:00:00"/>
    <x v="4"/>
    <s v=" FoodieGoneWrong "/>
    <s v="FoodieGoneWrong"/>
    <x v="0"/>
    <x v="0"/>
    <s v=" #Disappointed #BadService                   "/>
    <n v="18"/>
    <n v="35"/>
    <s v=" India      "/>
    <x v="4"/>
    <n v="2023"/>
    <x v="1"/>
    <n v="16"/>
    <n v="9"/>
    <x v="0"/>
  </r>
  <r>
    <s v=" A surprise gift from a friend made my day!              "/>
    <s v="A surprise gift from a friend made my day."/>
    <s v=" Surprise     "/>
    <x v="16"/>
    <d v="2023-02-16T14:45:00"/>
    <x v="4"/>
    <s v=" HappySurprise   "/>
    <s v="HappySurprise"/>
    <x v="1"/>
    <x v="1"/>
    <s v=" #Surprise #Gift                              "/>
    <n v="25"/>
    <n v="50"/>
    <s v=" USA          "/>
    <x v="0"/>
    <n v="2023"/>
    <x v="1"/>
    <n v="16"/>
    <n v="14"/>
    <x v="0"/>
  </r>
  <r>
    <s v=" Finding acceptance in the midst of life's challenges.   "/>
    <s v="Finding acceptance in the midst of life's challenges.."/>
    <s v=" Acceptance   "/>
    <x v="17"/>
    <d v="2023-02-16T18:20:00"/>
    <x v="4"/>
    <s v=" AcceptanceSeeker"/>
    <s v="AcceptanceSeeker"/>
    <x v="2"/>
    <x v="2"/>
    <s v=" #Acceptance #Challenges                     "/>
    <n v="15"/>
    <n v="30"/>
    <s v=" Canada     "/>
    <x v="1"/>
    <n v="2023"/>
    <x v="1"/>
    <n v="16"/>
    <n v="18"/>
    <x v="0"/>
  </r>
  <r>
    <s v=" Overflowing with adoration for my adorable pet! ðŸ¾      "/>
    <s v="Overflowing with adoration for my adorable pet."/>
    <s v=" Adoration    "/>
    <x v="18"/>
    <d v="2023-02-17T10:45:00"/>
    <x v="5"/>
    <s v=" PetAdorer       "/>
    <s v="PetAdorer"/>
    <x v="0"/>
    <x v="0"/>
    <s v=" #Adoration #PetLove                         "/>
    <n v="22"/>
    <n v="45"/>
    <s v=" UK        "/>
    <x v="2"/>
    <n v="2023"/>
    <x v="1"/>
    <n v="17"/>
    <n v="10"/>
    <x v="0"/>
  </r>
  <r>
    <s v=" Anticipating a thrilling adventure in the coming weeks. "/>
    <s v="Anticipating a thrilling adventure in the coming weeks.."/>
    <s v=" Anticipation "/>
    <x v="19"/>
    <d v="2023-02-17T07:30:00"/>
    <x v="5"/>
    <s v=" AdventureAwaits  "/>
    <s v="AdventureAwaits"/>
    <x v="1"/>
    <x v="1"/>
    <s v=" #Anticipation #Adventure                    "/>
    <n v="20"/>
    <n v="40"/>
    <s v="USA"/>
    <x v="0"/>
    <n v="2023"/>
    <x v="1"/>
    <n v="17"/>
    <n v="7"/>
    <x v="0"/>
  </r>
  <r>
    <s v=" A bitter experience turned into a valuable lesson.      "/>
    <s v="A bitter experience turned into a valuable lesson.."/>
    <s v=" Bitter       "/>
    <x v="20"/>
    <d v="2023-02-17T15:00:00"/>
    <x v="5"/>
    <s v=" LearnFromBitter "/>
    <s v="LearnFromBitter"/>
    <x v="2"/>
    <x v="2"/>
    <s v=" #BitterLesson #Growth                      "/>
    <n v="18"/>
    <n v="35"/>
    <s v=" USA       "/>
    <x v="0"/>
    <n v="2023"/>
    <x v="1"/>
    <n v="17"/>
    <n v="15"/>
    <x v="0"/>
  </r>
  <r>
    <s v=" Finding calmness in the midst of a busy day.            "/>
    <s v="Finding calmness in the midst of a busy day.."/>
    <s v=" Calmness     "/>
    <x v="21"/>
    <d v="2023-02-18T09:30:00"/>
    <x v="6"/>
    <s v=" ZenMaster       "/>
    <s v="ZenMaster"/>
    <x v="0"/>
    <x v="0"/>
    <s v=" #Calmness #PeacefulMind                    "/>
    <n v="15"/>
    <n v="30"/>
    <s v=" India     "/>
    <x v="4"/>
    <n v="2023"/>
    <x v="1"/>
    <n v="18"/>
    <n v="9"/>
    <x v="0"/>
  </r>
  <r>
    <s v=" Confusion clouds my mind as I navigate through decisions."/>
    <s v="Confusion clouds my mind as I navigate through decisions.."/>
    <s v=" Confusion    "/>
    <x v="22"/>
    <d v="2023-02-18T14:20:00"/>
    <x v="6"/>
    <s v=" ConfusedMind    "/>
    <s v="ConfusedMind"/>
    <x v="1"/>
    <x v="1"/>
    <s v=" #Confusion #DecisionMaking                 "/>
    <n v="25"/>
    <n v="50"/>
    <s v=" UK   "/>
    <x v="2"/>
    <n v="2023"/>
    <x v="1"/>
    <n v="18"/>
    <n v="14"/>
    <x v="0"/>
  </r>
  <r>
    <s v=" Excitement building up for the upcoming vacation!       "/>
    <s v="Excitement building up for the upcoming vacation."/>
    <s v=" Excitement   "/>
    <x v="23"/>
    <d v="2023-02-18T18:45:00"/>
    <x v="6"/>
    <s v=" VacationDreamer "/>
    <s v="VacationDreamer"/>
    <x v="2"/>
    <x v="2"/>
    <s v=" #Excitement #TravelPlans                   "/>
    <n v="22"/>
    <n v="45"/>
    <s v=" Canada    "/>
    <x v="1"/>
    <n v="2023"/>
    <x v="1"/>
    <n v="18"/>
    <n v="18"/>
    <x v="0"/>
  </r>
  <r>
    <s v=" Kindness witnessed today restored my faith in humanity. "/>
    <s v="Kindness witnessed today restored my faith in humanity.."/>
    <s v=" Kind         "/>
    <x v="24"/>
    <d v="2023-02-19T11:30:00"/>
    <x v="0"/>
    <s v=" KindnessPrevails"/>
    <s v="KindnessPrevails"/>
    <x v="0"/>
    <x v="0"/>
    <s v=" #Kindness #Humanity                        "/>
    <n v="20"/>
    <n v="40"/>
    <s v=" USA       "/>
    <x v="0"/>
    <n v="2023"/>
    <x v="1"/>
    <n v="19"/>
    <n v="11"/>
    <x v="0"/>
  </r>
  <r>
    <s v=" Pride in achieving a personal milestone.               "/>
    <s v="Pride in achieving a personal milestone.."/>
    <s v=" Pride        "/>
    <x v="25"/>
    <d v="2023-02-19T16:00:00"/>
    <x v="0"/>
    <s v=" PersonalAchiever"/>
    <s v="PersonalAchiever"/>
    <x v="1"/>
    <x v="1"/>
    <s v=" #Pride #Milestone                           "/>
    <n v="30"/>
    <n v="60"/>
    <s v=" Australia    "/>
    <x v="3"/>
    <n v="2023"/>
    <x v="1"/>
    <n v="19"/>
    <n v="16"/>
    <x v="0"/>
  </r>
  <r>
    <s v=" A moment of shame for not standing up against injustice. "/>
    <s v="A moment of shame for not standing up against injustice.."/>
    <s v=" Shame        "/>
    <x v="26"/>
    <d v="2023-02-19T19:45:00"/>
    <x v="0"/>
    <s v=" ReflectiveSelf  "/>
    <s v="ReflectiveSelf"/>
    <x v="2"/>
    <x v="2"/>
    <s v=" #Shame #Injustice                           "/>
    <n v="15"/>
    <n v="30"/>
    <s v=" India      "/>
    <x v="4"/>
    <n v="2023"/>
    <x v="1"/>
    <n v="19"/>
    <n v="19"/>
    <x v="0"/>
  </r>
  <r>
    <s v=" Fuming with anger after a heated argument.            "/>
    <s v="Fuming with anger after a heated argument.."/>
    <s v=" Anger        "/>
    <x v="3"/>
    <d v="2023-02-20T09:30:00"/>
    <x v="1"/>
    <s v=" AngryDebater    "/>
    <s v="AngryDebater"/>
    <x v="0"/>
    <x v="0"/>
    <s v=" #Anger #Argument                             "/>
    <n v="20"/>
    <n v="40"/>
    <s v=" Canada     "/>
    <x v="1"/>
    <n v="2023"/>
    <x v="1"/>
    <n v="20"/>
    <n v="9"/>
    <x v="0"/>
  </r>
  <r>
    <s v=" The fear of the unknown is keeping me up at night.    "/>
    <s v="The fear of the unknown is keeping me up at night.."/>
    <s v=" Fear         "/>
    <x v="4"/>
    <d v="2023-02-20T21:15:00"/>
    <x v="1"/>
    <s v=" FearfulDreamer  "/>
    <s v="FearfulDreamer"/>
    <x v="1"/>
    <x v="1"/>
    <s v=" #Fear #Unknown                               "/>
    <n v="15"/>
    <n v="30"/>
    <s v=" USA          "/>
    <x v="0"/>
    <n v="2023"/>
    <x v="1"/>
    <n v="20"/>
    <n v="21"/>
    <x v="0"/>
  </r>
  <r>
    <s v=" Heartfelt sadness after bidding farewell to a dear friend. "/>
    <s v="Heartfelt sadness after bidding farewell to a dear friend.."/>
    <s v=" Sadness      "/>
    <x v="5"/>
    <d v="2023-02-21T14:45:00"/>
    <x v="2"/>
    <s v=" FarewellHeart   "/>
    <s v="FarewellHeart"/>
    <x v="2"/>
    <x v="2"/>
    <s v=" #Sadness #Farewell                          "/>
    <n v="25"/>
    <n v="50"/>
    <s v=" India      "/>
    <x v="4"/>
    <n v="2023"/>
    <x v="1"/>
    <n v="21"/>
    <n v="14"/>
    <x v="0"/>
  </r>
  <r>
    <s v=" The state of corruption in our society is utterly disgusting. "/>
    <s v="The state of corruption in our society is utterly disgusting.."/>
    <s v=" Disgust      "/>
    <x v="6"/>
    <d v="2023-02-21T18:20:00"/>
    <x v="2"/>
    <s v=" AntiCorruption  "/>
    <s v="AntiCorruption"/>
    <x v="0"/>
    <x v="0"/>
    <s v=" #Disgust #Corruption                         "/>
    <n v="18"/>
    <n v="35"/>
    <s v=" UK         "/>
    <x v="2"/>
    <n v="2023"/>
    <x v="1"/>
    <n v="21"/>
    <n v="18"/>
    <x v="0"/>
  </r>
  <r>
    <s v=" Overflowing happiness: welcoming a new family member!  "/>
    <s v="Overflowing happiness: welcoming a new family member."/>
    <s v=" Happiness    "/>
    <x v="7"/>
    <d v="2023-02-22T10:00:00"/>
    <x v="3"/>
    <s v=" NewParentJoy    "/>
    <s v="NewParentJoy"/>
    <x v="1"/>
    <x v="1"/>
    <s v=" #Happiness #NewFamilyMember                 "/>
    <n v="30"/>
    <n v="60"/>
    <s v=" UK           "/>
    <x v="2"/>
    <n v="2023"/>
    <x v="1"/>
    <n v="22"/>
    <n v="10"/>
    <x v="0"/>
  </r>
  <r>
    <s v=" Laughter is the key to joyâ€”attending a stand-up comedy show. "/>
    <s v="Laughter is the key to joyâ€”attending a stand-up comedy show.."/>
    <s v=" Joy          "/>
    <x v="8"/>
    <d v="2023-02-22T19:30:00"/>
    <x v="3"/>
    <s v=" StandUpFan      "/>
    <s v="StandUpFan"/>
    <x v="2"/>
    <x v="2"/>
    <s v=" #Joy #StandUpComedy                         "/>
    <n v="22"/>
    <n v="45"/>
    <s v=" Canada    "/>
    <x v="1"/>
    <n v="2023"/>
    <x v="1"/>
    <n v="22"/>
    <n v="19"/>
    <x v="0"/>
  </r>
  <r>
    <s v=" Sending love to all my followers on this beautiful day! â¤ï¸ "/>
    <s v="Sending love to all my followers on this beautiful day."/>
    <s v=" Love         "/>
    <x v="9"/>
    <d v="2023-02-23T08:30:00"/>
    <x v="4"/>
    <s v=" LoveSender      "/>
    <s v="LoveSender"/>
    <x v="0"/>
    <x v="0"/>
    <s v=" #Love #SpreadLove                            "/>
    <n v="15"/>
    <n v="30"/>
    <s v=" Australia  "/>
    <x v="3"/>
    <n v="2023"/>
    <x v="1"/>
    <n v="23"/>
    <n v="8"/>
    <x v="0"/>
  </r>
  <r>
    <s v=" Amused by the antics of my petâ€”it's pure amusement!      "/>
    <s v="Amused by the antics of my petâ€”it's pure amusement."/>
    <s v=" Amusement    "/>
    <x v="10"/>
    <d v="2023-02-23T14:20:00"/>
    <x v="4"/>
    <s v=" PetAmuser       "/>
    <s v="PetAmuser"/>
    <x v="1"/>
    <x v="1"/>
    <s v=" #Amusement #PetAntics                       "/>
    <n v="18"/>
    <n v="35"/>
    <s v=" UK           "/>
    <x v="2"/>
    <n v="2023"/>
    <x v="1"/>
    <n v="23"/>
    <n v="14"/>
    <x v="0"/>
  </r>
  <r>
    <s v=" Enjoying every moment of this tripâ€”pure enjoyment!      "/>
    <s v="Enjoying every moment of this tripâ€”pure enjoyment."/>
    <s v=" Enjoyment    "/>
    <x v="11"/>
    <d v="2023-02-23T19:45:00"/>
    <x v="4"/>
    <s v=" TravelExplorer  "/>
    <s v="TravelExplorer"/>
    <x v="2"/>
    <x v="2"/>
    <s v=" #Enjoyment #Travel                           "/>
    <n v="25"/>
    <n v="50"/>
    <s v=" USA "/>
    <x v="0"/>
    <n v="2023"/>
    <x v="1"/>
    <n v="23"/>
    <n v="19"/>
    <x v="0"/>
  </r>
  <r>
    <s v=" Admiring the dedication of volunteers at a local charity. "/>
    <s v="Admiring the dedication of volunteers at a local charity.."/>
    <s v=" Admiration   "/>
    <x v="12"/>
    <d v="2023-02-24T11:30:00"/>
    <x v="5"/>
    <s v=" CharityAdmirer  "/>
    <s v="CharityAdmirer"/>
    <x v="0"/>
    <x v="0"/>
    <s v=" #Admiration #Volunteers                     "/>
    <n v="20"/>
    <n v="40"/>
    <s v=" USA        "/>
    <x v="0"/>
    <n v="2023"/>
    <x v="1"/>
    <n v="24"/>
    <n v="11"/>
    <x v="0"/>
  </r>
  <r>
    <s v=" Sending affectionate vibes to friends and family.        "/>
    <s v="Sending affectionate vibes to friends and family.."/>
    <s v=" Affection    "/>
    <x v="13"/>
    <d v="2023-02-24T16:00:00"/>
    <x v="5"/>
    <s v=" FamilyLover     "/>
    <s v="FamilyLover"/>
    <x v="1"/>
    <x v="1"/>
    <s v=" #Affection #FamilyLove                      "/>
    <n v="15"/>
    <n v="30"/>
    <s v="USA"/>
    <x v="0"/>
    <n v="2023"/>
    <x v="1"/>
    <n v="24"/>
    <n v="16"/>
    <x v="0"/>
  </r>
  <r>
    <s v=" Awe-struck by the beauty of the night sky.               "/>
    <s v="Awe-struck by the beauty of the night sky.."/>
    <s v=" Awe          "/>
    <x v="14"/>
    <d v="2023-02-24T20:30:00"/>
    <x v="5"/>
    <s v=" Stargazer       "/>
    <s v="Stargazer"/>
    <x v="2"/>
    <x v="2"/>
    <s v=" #Awe #StarryNight                        "/>
    <n v="22"/>
    <n v="45"/>
    <s v=" Australia "/>
    <x v="3"/>
    <n v="2023"/>
    <x v="1"/>
    <n v="24"/>
    <n v="20"/>
    <x v="0"/>
  </r>
  <r>
    <s v=" Disappointed with the lack of progress in a personal project. "/>
    <s v="Disappointed with the lack of progress in a personal project.."/>
    <s v=" Disappointed "/>
    <x v="15"/>
    <d v="2023-02-25T09:00:00"/>
    <x v="6"/>
    <s v=" ProjectStruggle "/>
    <s v="ProjectStruggle"/>
    <x v="0"/>
    <x v="0"/>
    <s v=" #Disappointed #Project                     "/>
    <n v="18"/>
    <n v="35"/>
    <s v=" India      "/>
    <x v="4"/>
    <n v="2023"/>
    <x v="1"/>
    <n v="25"/>
    <n v="9"/>
    <x v="0"/>
  </r>
  <r>
    <s v=" A surprise visit from an old friend brought tears of joy. "/>
    <s v="A surprise visit from an old friend brought tears of joy.."/>
    <s v=" Surprise     "/>
    <x v="16"/>
    <d v="2023-02-25T14:45:00"/>
    <x v="6"/>
    <s v=" JoyfulReunion   "/>
    <s v="JoyfulReunion"/>
    <x v="1"/>
    <x v="1"/>
    <s v=" #Surprise #OldFriends                       "/>
    <n v="25"/>
    <n v="50"/>
    <s v=" USA          "/>
    <x v="0"/>
    <n v="2023"/>
    <x v="1"/>
    <n v="25"/>
    <n v="14"/>
    <x v="0"/>
  </r>
  <r>
    <s v=" Embracing acceptance of life's ups and downs.           "/>
    <s v="Embracing acceptance of life's ups and downs.."/>
    <s v=" Acceptance   "/>
    <x v="17"/>
    <d v="2023-02-25T18:20:00"/>
    <x v="6"/>
    <s v=" LifeAcceptance  "/>
    <s v="LifeAcceptance"/>
    <x v="2"/>
    <x v="2"/>
    <s v=" #Acceptance #LifeJourney                   "/>
    <n v="15"/>
    <n v="30"/>
    <s v=" Canada     "/>
    <x v="1"/>
    <n v="2023"/>
    <x v="1"/>
    <n v="25"/>
    <n v="18"/>
    <x v="0"/>
  </r>
  <r>
    <s v=" Overflowing adoration for a cute rescue puppy! ðŸ¶       "/>
    <s v="Overflowing adoration for a cute rescue puppy."/>
    <s v=" Adoration    "/>
    <x v="18"/>
    <d v="2023-02-26T10:45:00"/>
    <x v="0"/>
    <s v=" PuppyAdmirer    "/>
    <s v="PuppyAdmirer"/>
    <x v="0"/>
    <x v="0"/>
    <s v=" #Adoration #PuppyLove                       "/>
    <n v="22"/>
    <n v="45"/>
    <s v=" UK         "/>
    <x v="2"/>
    <n v="2023"/>
    <x v="1"/>
    <n v="26"/>
    <n v="10"/>
    <x v="0"/>
  </r>
  <r>
    <s v=" Anticipating the release of a much-awaited movie.       "/>
    <s v="Anticipating the release of a much-awaited movie.."/>
    <s v=" Anticipation "/>
    <x v="19"/>
    <d v="2023-02-26T07:30:00"/>
    <x v="0"/>
    <s v=" MovieBuff2      "/>
    <s v="MovieBuff2"/>
    <x v="1"/>
    <x v="1"/>
    <s v=" #Anticipation #MovieRelease                 "/>
    <n v="20"/>
    <n v="40"/>
    <s v=" Australia    "/>
    <x v="3"/>
    <n v="2023"/>
    <x v="1"/>
    <n v="26"/>
    <n v="7"/>
    <x v="0"/>
  </r>
  <r>
    <s v=" Bitter experience at the customer service department.   "/>
    <s v="Bitter experience at the customer service department.."/>
    <s v=" Bitter       "/>
    <x v="20"/>
    <d v="2023-02-26T15:00:00"/>
    <x v="0"/>
    <s v=" CustomerWoes    "/>
    <s v="CustomerWoes"/>
    <x v="2"/>
    <x v="2"/>
    <s v=" #BitterExperience #CustomerService         "/>
    <n v="18"/>
    <n v="35"/>
    <s v=" USA       "/>
    <x v="0"/>
    <n v="2023"/>
    <x v="1"/>
    <n v="26"/>
    <n v="15"/>
    <x v="0"/>
  </r>
  <r>
    <s v=" Finding calmness amidst the chaos of daily life.        "/>
    <s v="Finding calmness amidst the chaos of daily life.."/>
    <s v=" Calmness     "/>
    <x v="21"/>
    <d v="2023-02-27T09:30:00"/>
    <x v="1"/>
    <s v=" CalmSoul        "/>
    <s v="CalmSoul"/>
    <x v="0"/>
    <x v="0"/>
    <s v=" #Calmness #InnerPeace                      "/>
    <n v="15"/>
    <n v="30"/>
    <s v=" India     "/>
    <x v="4"/>
    <n v="2023"/>
    <x v="1"/>
    <n v="27"/>
    <n v="9"/>
    <x v="0"/>
  </r>
  <r>
    <s v=" Confusion reigns as I try to make sense of recent events."/>
    <s v="Confusion reigns as I try to make sense of recent events.."/>
    <s v=" Confusion    "/>
    <x v="22"/>
    <d v="2023-02-27T14:20:00"/>
    <x v="1"/>
    <s v=" ConfusedMind2   "/>
    <s v="ConfusedMind2"/>
    <x v="1"/>
    <x v="1"/>
    <s v=" #Confusion #MakingSense                    "/>
    <n v="25"/>
    <n v="50"/>
    <s v=" UK   "/>
    <x v="2"/>
    <n v="2023"/>
    <x v="1"/>
    <n v="27"/>
    <n v="14"/>
    <x v="0"/>
  </r>
  <r>
    <s v=" Excitement building up for a surprise birthday party.   "/>
    <s v="Excitement building up for a surprise birthday party.."/>
    <s v=" Excitement   "/>
    <x v="23"/>
    <d v="2023-02-27T18:45:00"/>
    <x v="1"/>
    <s v=" BirthdayExcite  "/>
    <s v="BirthdayExcite"/>
    <x v="2"/>
    <x v="2"/>
    <s v=" #Excitement #SurpriseParty                 "/>
    <n v="22"/>
    <n v="45"/>
    <s v=" Canada "/>
    <x v="1"/>
    <n v="2023"/>
    <x v="1"/>
    <n v="27"/>
    <n v="18"/>
    <x v="0"/>
  </r>
  <r>
    <s v=" Witnessed an act of kindness that made my day.          "/>
    <s v="Witnessed an act of kindness that made my day.."/>
    <s v=" Kind         "/>
    <x v="24"/>
    <d v="2023-02-28T11:30:00"/>
    <x v="2"/>
    <s v=" KindnessObserver"/>
    <s v="KindnessObserver"/>
    <x v="0"/>
    <x v="0"/>
    <s v=" #Kindness #ActsOfKindness                  "/>
    <n v="20"/>
    <n v="40"/>
    <s v=" USA       "/>
    <x v="0"/>
    <n v="2023"/>
    <x v="1"/>
    <n v="28"/>
    <n v="11"/>
    <x v="0"/>
  </r>
  <r>
    <s v=" Pride in completing a challenging fitness challenge.    "/>
    <s v="Pride in completing a challenging fitness challenge.."/>
    <s v=" Pride        "/>
    <x v="25"/>
    <d v="2023-02-28T16:00:00"/>
    <x v="2"/>
    <s v=" FitAchiever     "/>
    <s v="FitAchiever"/>
    <x v="1"/>
    <x v="1"/>
    <s v=" #Pride #FitnessChallengeCompleted          "/>
    <n v="30"/>
    <n v="60"/>
    <s v=" UK            "/>
    <x v="2"/>
    <n v="2023"/>
    <x v="1"/>
    <n v="28"/>
    <n v="16"/>
    <x v="0"/>
  </r>
  <r>
    <s v=" A moment of shame for not speaking up against injustice."/>
    <s v="A moment of shame for not speaking up against injustice.."/>
    <s v=" Shame        "/>
    <x v="26"/>
    <d v="2023-02-28T19:45:00"/>
    <x v="2"/>
    <s v=" ReflectiveSelf2 "/>
    <s v="ReflectiveSelf2"/>
    <x v="2"/>
    <x v="2"/>
    <s v=" #Shame #Injustice                           "/>
    <n v="15"/>
    <n v="30"/>
    <s v=" India     "/>
    <x v="4"/>
    <n v="2023"/>
    <x v="1"/>
    <n v="28"/>
    <n v="19"/>
    <x v="0"/>
  </r>
  <r>
    <s v=" Reflecting on the beauty of diversity in our world.     "/>
    <s v="Reflecting on the beauty of diversity in our world.."/>
    <s v=" Acceptance   "/>
    <x v="17"/>
    <d v="2023-03-01T10:45:00"/>
    <x v="3"/>
    <s v=" DiversityLover  "/>
    <s v="DiversityLover"/>
    <x v="0"/>
    <x v="0"/>
    <s v=" #Acceptance #Diversity                      "/>
    <n v="22"/>
    <n v="45"/>
    <s v=" Australia "/>
    <x v="3"/>
    <n v="2023"/>
    <x v="2"/>
    <n v="1"/>
    <n v="10"/>
    <x v="0"/>
  </r>
  <r>
    <s v=" Excitement for a quiet evening with a good book.        "/>
    <s v="Excitement for a quiet evening with a good book.."/>
    <s v=" Excitement   "/>
    <x v="23"/>
    <d v="2023-03-01T13:30:00"/>
    <x v="3"/>
    <s v=" BookwormJoy     "/>
    <s v="BookwormJoy"/>
    <x v="1"/>
    <x v="1"/>
    <s v=" #Excitement #BookTime                       "/>
    <n v="18"/>
    <n v="35"/>
    <s v=" USA          "/>
    <x v="0"/>
    <n v="2023"/>
    <x v="2"/>
    <n v="1"/>
    <n v="13"/>
    <x v="0"/>
  </r>
  <r>
    <s v=" Feeling bitter about the unfairness in the workplace.   "/>
    <s v="Feeling bitter about the unfairness in the workplace.."/>
    <s v=" Bitter       "/>
    <x v="20"/>
    <d v="2023-03-01T17:45:00"/>
    <x v="3"/>
    <s v=" WorkplaceWoes   "/>
    <s v="WorkplaceWoes"/>
    <x v="0"/>
    <x v="0"/>
    <s v=" #Bitter #Unfairness                         "/>
    <n v="15"/>
    <n v="30"/>
    <s v=" Canada    "/>
    <x v="1"/>
    <n v="2023"/>
    <x v="2"/>
    <n v="1"/>
    <n v="17"/>
    <x v="0"/>
  </r>
  <r>
    <s v=" Calmness prevails as I practice mindfulness.            "/>
    <s v="Calmness prevails as I practice mindfulness.."/>
    <s v=" Calmness     "/>
    <x v="21"/>
    <d v="2023-03-02T18:00:00"/>
    <x v="4"/>
    <s v=" MindfulMe       "/>
    <s v="MindfulMe"/>
    <x v="2"/>
    <x v="2"/>
    <s v=" #Calmness #Mindfulness                      "/>
    <n v="15"/>
    <n v="30"/>
    <s v=" UK        "/>
    <x v="2"/>
    <n v="2023"/>
    <x v="2"/>
    <n v="2"/>
    <n v="18"/>
    <x v="0"/>
  </r>
  <r>
    <s v=" Confusion surrounds me as I navigate through life's choices. "/>
    <s v="Confusion surrounds me as I navigate through life's choices.."/>
    <s v=" Confusion "/>
    <x v="22"/>
    <d v="2023-03-02T13:15:00"/>
    <x v="4"/>
    <s v=" ConfusedMind3   "/>
    <s v="ConfusedMind3"/>
    <x v="1"/>
    <x v="1"/>
    <s v=" #Confusion #LifeChoices                     "/>
    <n v="30"/>
    <n v="60"/>
    <s v=" USA   "/>
    <x v="0"/>
    <n v="2023"/>
    <x v="2"/>
    <n v="2"/>
    <n v="13"/>
    <x v="0"/>
  </r>
  <r>
    <s v=" Excitement for a weekend road trip to explore new places. "/>
    <s v="Excitement for a weekend road trip to explore new places.."/>
    <s v=" Excitement "/>
    <x v="23"/>
    <d v="2023-03-02T16:45:00"/>
    <x v="4"/>
    <s v=" RoadTripper2    "/>
    <s v="RoadTripper2"/>
    <x v="0"/>
    <x v="0"/>
    <s v=" #Excitement #WeekendAdventure               "/>
    <n v="25"/>
    <n v="50"/>
    <s v=" India     "/>
    <x v="4"/>
    <n v="2023"/>
    <x v="2"/>
    <n v="2"/>
    <n v="16"/>
    <x v="0"/>
  </r>
  <r>
    <s v=" Kindness witnessed today restores my faith in humanity.  "/>
    <s v="Kindness witnessed today restores my faith in humanity.."/>
    <s v=" Kind         "/>
    <x v="24"/>
    <d v="2023-03-03T11:30:00"/>
    <x v="5"/>
    <s v=" KindnessPrevails2"/>
    <s v="KindnessPrevails2"/>
    <x v="2"/>
    <x v="2"/>
    <s v=" #Kindness #HumanityRestored                 "/>
    <n v="22"/>
    <n v="45"/>
    <s v=" USA       "/>
    <x v="0"/>
    <n v="2023"/>
    <x v="2"/>
    <n v="3"/>
    <n v="11"/>
    <x v="0"/>
  </r>
  <r>
    <s v=" Pride in accomplishing personal and professional goals.  "/>
    <s v="Pride in accomplishing personal and professional goals.."/>
    <s v=" Pride        "/>
    <x v="25"/>
    <d v="2023-03-03T14:30:00"/>
    <x v="5"/>
    <s v=" GoalAchiever    "/>
    <s v="GoalAchiever"/>
    <x v="1"/>
    <x v="1"/>
    <s v=" #Pride #Accomplishments                     "/>
    <n v="12"/>
    <n v="25"/>
    <s v=" Canada "/>
    <x v="1"/>
    <n v="2023"/>
    <x v="2"/>
    <n v="3"/>
    <n v="14"/>
    <x v="0"/>
  </r>
  <r>
    <s v=" Shame for not being true to my values in a difficult situation."/>
    <s v="Shame for not being true to my values in a difficult situation.."/>
    <s v=" Shame "/>
    <x v="26"/>
    <d v="2023-03-03T12:00:00"/>
    <x v="5"/>
    <s v=" ReflectiveSelf3 "/>
    <s v="ReflectiveSelf3"/>
    <x v="0"/>
    <x v="0"/>
    <s v=" #Shame #Integrity                           "/>
    <n v="15"/>
    <n v="30"/>
    <s v=" UK        "/>
    <x v="2"/>
    <n v="2023"/>
    <x v="2"/>
    <n v="3"/>
    <n v="12"/>
    <x v="0"/>
  </r>
  <r>
    <s v=" Revisiting old memories, feeling a sense of elation. "/>
    <s v="Revisiting old memories, feeling a sense of elation.."/>
    <s v=" Elation       "/>
    <x v="27"/>
    <d v="2010-05-15T15:30:00"/>
    <x v="6"/>
    <s v=" NostalgiaFan    "/>
    <s v="NostalgiaFan"/>
    <x v="0"/>
    <x v="0"/>
    <s v=" #Elation #Memories                             "/>
    <n v="20"/>
    <n v="40"/>
    <s v=" Canada    "/>
    <x v="1"/>
    <n v="2010"/>
    <x v="3"/>
    <n v="15"/>
    <n v="15"/>
    <x v="0"/>
  </r>
  <r>
    <s v=" The victory of our team brought euphoria to the city. "/>
    <s v="The victory of our team brought euphoria to the city.."/>
    <s v=" Euphoria      "/>
    <x v="28"/>
    <d v="2021-08-10T21:15:00"/>
    <x v="2"/>
    <s v=" SportsFanatic   "/>
    <s v="SportsFanatic"/>
    <x v="1"/>
    <x v="1"/>
    <s v=" #Euphoria #Victory                             "/>
    <n v="15"/>
    <n v="30"/>
    <s v=" USA      "/>
    <x v="0"/>
    <n v="2021"/>
    <x v="4"/>
    <n v="10"/>
    <n v="21"/>
    <x v="0"/>
  </r>
  <r>
    <s v=" Embracing the beauty of nature, a moment of contentment. "/>
    <s v="Embracing the beauty of nature, a moment of contentment.."/>
    <s v=" Contentment   "/>
    <x v="29"/>
    <d v="2011-06-20T14:45:00"/>
    <x v="1"/>
    <s v=" NatureLover2    "/>
    <s v="NatureLover2"/>
    <x v="2"/>
    <x v="2"/>
    <s v=" #Contentment #Nature                           "/>
    <n v="25"/>
    <n v="50"/>
    <s v=" India       "/>
    <x v="4"/>
    <n v="2011"/>
    <x v="5"/>
    <n v="20"/>
    <n v="14"/>
    <x v="0"/>
  </r>
  <r>
    <s v=" Meditating by the serene lake, finding inner peace.   "/>
    <s v="Meditating by the serene lake, finding inner peace.."/>
    <s v=" Serenity      "/>
    <x v="30"/>
    <d v="2022-02-12T18:20:00"/>
    <x v="6"/>
    <s v=" ZenMaster2      "/>
    <s v="ZenMaster2"/>
    <x v="0"/>
    <x v="0"/>
    <s v=" #Serenity #Meditation                          "/>
    <n v="18"/>
    <n v="35"/>
    <s v=" UK          "/>
    <x v="2"/>
    <n v="2022"/>
    <x v="1"/>
    <n v="12"/>
    <n v="18"/>
    <x v="0"/>
  </r>
  <r>
    <s v=" Overflowing with gratitude for life's blessings.      "/>
    <s v="Overflowing with gratitude for life's blessings.."/>
    <s v=" Gratitude     "/>
    <x v="31"/>
    <d v="2012-11-25T10:00:00"/>
    <x v="0"/>
    <s v=" ThankfulHeart   "/>
    <s v="ThankfulHeart"/>
    <x v="1"/>
    <x v="1"/>
    <s v=" #Gratitude #Blessed                            "/>
    <n v="30"/>
    <n v="60"/>
    <s v=" Australia   "/>
    <x v="3"/>
    <n v="2012"/>
    <x v="6"/>
    <n v="25"/>
    <n v="10"/>
    <x v="0"/>
  </r>
  <r>
    <s v=" Hopeful for a brighter tomorrow, despite challenges.  "/>
    <s v="Hopeful for a brighter tomorrow, despite challenges.."/>
    <s v=" Hope          "/>
    <x v="32"/>
    <d v="2013-04-05T19:30:00"/>
    <x v="5"/>
    <s v=" OptimisticSoul  "/>
    <s v="OptimisticSoul"/>
    <x v="2"/>
    <x v="2"/>
    <s v=" #Hope #Optimism                                "/>
    <n v="22"/>
    <n v="45"/>
    <s v=" USA      "/>
    <x v="0"/>
    <n v="2013"/>
    <x v="7"/>
    <n v="5"/>
    <n v="19"/>
    <x v="0"/>
  </r>
  <r>
    <s v=" Empowered to make a difference in my community.        "/>
    <s v="Empowered to make a difference in my community.."/>
    <s v=" Empowerment   "/>
    <x v="33"/>
    <d v="2014-09-14T08:30:00"/>
    <x v="0"/>
    <s v=" CommunityLeader "/>
    <s v="CommunityLeader"/>
    <x v="0"/>
    <x v="0"/>
    <s v=" #Empowerment #Community                        "/>
    <n v="15"/>
    <n v="30"/>
    <s v=" UK       "/>
    <x v="2"/>
    <n v="2014"/>
    <x v="8"/>
    <n v="14"/>
    <n v="8"/>
    <x v="0"/>
  </r>
  <r>
    <s v=" Compassion in action: supporting a local charity event. "/>
    <s v="Compassion in action: supporting a local charity event.."/>
    <s v=" Compassion    "/>
    <x v="34"/>
    <d v="2015-07-18T14:20:00"/>
    <x v="6"/>
    <s v=" CharitySupporter"/>
    <s v="CharitySupporter"/>
    <x v="1"/>
    <x v="1"/>
    <s v=" #Compassion #CharityEvent                   "/>
    <n v="18"/>
    <n v="35"/>
    <s v=" Canada "/>
    <x v="1"/>
    <n v="2015"/>
    <x v="9"/>
    <n v="18"/>
    <n v="14"/>
    <x v="0"/>
  </r>
  <r>
    <s v=" A moment of tenderness, connecting with loved ones.    "/>
    <s v="A moment of tenderness, connecting with loved ones.."/>
    <s v=" Tenderness    "/>
    <x v="35"/>
    <d v="2016-02-23T19:45:00"/>
    <x v="2"/>
    <s v=" LovingHeart     "/>
    <s v="LovingHeart"/>
    <x v="2"/>
    <x v="2"/>
    <s v=" #Tenderness #FamilyTime                       "/>
    <n v="25"/>
    <n v="50"/>
    <s v=" UK          "/>
    <x v="2"/>
    <n v="2016"/>
    <x v="1"/>
    <n v="23"/>
    <n v="19"/>
    <x v="0"/>
  </r>
  <r>
    <s v=" Arousal of excitement as I await a special announcement."/>
    <s v="Arousal of excitement as I await a special announcement.."/>
    <s v=" Arousal       "/>
    <x v="36"/>
    <d v="2017-10-30T11:30:00"/>
    <x v="1"/>
    <s v=" ExcitementFan   "/>
    <s v="ExcitementFan"/>
    <x v="0"/>
    <x v="0"/>
    <s v=" #Arousal #Excitement                           "/>
    <n v="20"/>
    <n v="40"/>
    <s v=" Australia "/>
    <x v="3"/>
    <n v="2017"/>
    <x v="10"/>
    <n v="30"/>
    <n v="11"/>
    <x v="0"/>
  </r>
  <r>
    <s v=" Enthusiastically diving into a new project.            "/>
    <s v="Enthusiastically diving into a new project.."/>
    <s v=" Enthusiasm    "/>
    <x v="37"/>
    <d v="2018-06-15T16:00:00"/>
    <x v="5"/>
    <s v=" ProjectEnthusiast"/>
    <s v="ProjectEnthusiast"/>
    <x v="1"/>
    <x v="1"/>
    <s v=" #Enthusiasm #NewProject                       "/>
    <n v="15"/>
    <n v="30"/>
    <s v=" USA  "/>
    <x v="0"/>
    <n v="2018"/>
    <x v="5"/>
    <n v="15"/>
    <n v="16"/>
    <x v="0"/>
  </r>
  <r>
    <s v=" Feeling a sense of fulfillment after reaching a milestone."/>
    <s v="Feeling a sense of fulfillment after reaching a milestone.."/>
    <s v=" Fulfillment  "/>
    <x v="38"/>
    <d v="2019-03-28T18:20:00"/>
    <x v="4"/>
    <s v=" MilestoneAchiever"/>
    <s v="MilestoneAchiever"/>
    <x v="2"/>
    <x v="2"/>
    <s v=" #Fulfillment #Milestone                       "/>
    <n v="22"/>
    <n v="45"/>
    <s v=" India     "/>
    <x v="4"/>
    <n v="2019"/>
    <x v="2"/>
    <n v="28"/>
    <n v="18"/>
    <x v="0"/>
  </r>
  <r>
    <s v=" Reverence for the beauty of a historic landmark.       "/>
    <s v="Reverence for the beauty of a historic landmark.."/>
    <s v=" Reverence     "/>
    <x v="39"/>
    <d v="2019-11-11T15:00:00"/>
    <x v="1"/>
    <s v=" HistoryLover    "/>
    <s v="HistoryLover"/>
    <x v="0"/>
    <x v="0"/>
    <s v=" #Reverence #History                           "/>
    <n v="18"/>
    <n v="35"/>
    <s v=" UK      "/>
    <x v="2"/>
    <n v="2019"/>
    <x v="6"/>
    <n v="11"/>
    <n v="15"/>
    <x v="0"/>
  </r>
  <r>
    <s v=" Elation after a surprise reunion with old friends.    "/>
    <s v="Elation after a surprise reunion with old friends.."/>
    <s v=" Elation       "/>
    <x v="27"/>
    <d v="2020-04-02T09:30:00"/>
    <x v="4"/>
    <s v=" JoyfulReunion2  "/>
    <s v="JoyfulReunion2"/>
    <x v="1"/>
    <x v="1"/>
    <s v=" #Elation #OldFriends                          "/>
    <n v="25"/>
    <n v="50"/>
    <s v=" Canada      "/>
    <x v="1"/>
    <n v="2020"/>
    <x v="7"/>
    <n v="2"/>
    <n v="9"/>
    <x v="0"/>
  </r>
  <r>
    <s v=" The euphoria of a live music concert under the stars.  "/>
    <s v="The euphoria of a live music concert under the stars.."/>
    <s v=" Euphoria      "/>
    <x v="28"/>
    <d v="2021-06-19T14:45:00"/>
    <x v="6"/>
    <s v=" MusicEnthusiast "/>
    <s v="MusicEnthusiast"/>
    <x v="2"/>
    <x v="2"/>
    <s v=" #Euphoria #LiveMusic                          "/>
    <n v="15"/>
    <n v="30"/>
    <s v=" USA "/>
    <x v="0"/>
    <n v="2021"/>
    <x v="5"/>
    <n v="19"/>
    <n v="14"/>
    <x v="0"/>
  </r>
  <r>
    <s v=" Contentment in the simplicity of a quiet Sunday.       "/>
    <s v="Contentment in the simplicity of a quiet Sunday.."/>
    <s v=" Contentment   "/>
    <x v="29"/>
    <d v="2010-08-15T10:00:00"/>
    <x v="0"/>
    <s v=" SimpleJoys      "/>
    <s v="SimpleJoys"/>
    <x v="0"/>
    <x v="0"/>
    <s v=" #Contentment #SundayMood                      "/>
    <n v="30"/>
    <n v="60"/>
    <s v=" Australia "/>
    <x v="3"/>
    <n v="2010"/>
    <x v="4"/>
    <n v="15"/>
    <n v="10"/>
    <x v="0"/>
  </r>
  <r>
    <s v=" Serenity found in the pages of a favorite book.        "/>
    <s v="Serenity found in the pages of a favorite book.."/>
    <s v=" Serenity      "/>
    <x v="30"/>
    <d v="2011-09-22T19:30:00"/>
    <x v="4"/>
    <s v=" BookLover3      "/>
    <s v="BookLover3"/>
    <x v="1"/>
    <x v="1"/>
    <s v=" #Serenity #BookTime                           "/>
    <n v="22"/>
    <n v="45"/>
    <s v=" UK          "/>
    <x v="2"/>
    <n v="2011"/>
    <x v="8"/>
    <n v="22"/>
    <n v="19"/>
    <x v="0"/>
  </r>
  <r>
    <s v=" Gratitude for the support received during tough times. "/>
    <s v="Gratitude for the support received during tough times.."/>
    <s v=" Gratitude     "/>
    <x v="31"/>
    <d v="2012-03-10T08:30:00"/>
    <x v="6"/>
    <s v=" SupportiveFriend"/>
    <s v="SupportiveFriend"/>
    <x v="2"/>
    <x v="2"/>
    <s v=" #Gratitude #Supportive                        "/>
    <n v="15"/>
    <n v="30"/>
    <s v=" India     "/>
    <x v="4"/>
    <n v="2012"/>
    <x v="2"/>
    <n v="10"/>
    <n v="8"/>
    <x v="0"/>
  </r>
  <r>
    <s v=" Hopeful about the possibilities of a new journey.      "/>
    <s v="Hopeful about the possibilities of a new journey.."/>
    <s v=" Hope          "/>
    <x v="32"/>
    <d v="2013-12-05T16:00:00"/>
    <x v="4"/>
    <s v=" JourneyOptimist "/>
    <s v="JourneyOptimist"/>
    <x v="0"/>
    <x v="0"/>
    <s v=" #Hope #NewBeginnings                          "/>
    <n v="18"/>
    <n v="35"/>
    <s v=" Canada    "/>
    <x v="1"/>
    <n v="2013"/>
    <x v="11"/>
    <n v="5"/>
    <n v="16"/>
    <x v="0"/>
  </r>
  <r>
    <s v=" Empowerment through learning and personal growth.      "/>
    <s v="Empowerment through learning and personal growth.."/>
    <s v=" Empowerment   "/>
    <x v="33"/>
    <d v="2014-07-20T11:30:00"/>
    <x v="0"/>
    <s v=" GrowthSeeker    "/>
    <s v="GrowthSeeker"/>
    <x v="1"/>
    <x v="1"/>
    <s v=" #Empowerment #PersonalGrowth                  "/>
    <n v="25"/>
    <n v="50"/>
    <s v="USA"/>
    <x v="0"/>
    <n v="2014"/>
    <x v="9"/>
    <n v="20"/>
    <n v="11"/>
    <x v="0"/>
  </r>
  <r>
    <s v=" Compassion towards those in need during the holidays.  "/>
    <s v="Compassion towards those in need during the holidays.."/>
    <s v=" Compassion    "/>
    <x v="34"/>
    <d v="2015-12-22T14:20:00"/>
    <x v="2"/>
    <s v=" HolidayHelper   "/>
    <s v="HolidayHelper"/>
    <x v="2"/>
    <x v="2"/>
    <s v=" #Compassion #HolidaySupport                   "/>
    <n v="18"/>
    <n v="35"/>
    <s v=" USA      "/>
    <x v="0"/>
    <n v="2015"/>
    <x v="11"/>
    <n v="22"/>
    <n v="14"/>
    <x v="0"/>
  </r>
  <r>
    <s v=" Tenderness in the warmth of a cozy winter evening.     "/>
    <s v="Tenderness in the warmth of a cozy winter evening.."/>
    <s v=" Tenderness    "/>
    <x v="35"/>
    <d v="2016-02-10T19:45:00"/>
    <x v="3"/>
    <s v=" WinterWarmth    "/>
    <s v="WinterWarmth"/>
    <x v="0"/>
    <x v="0"/>
    <s v=" #Tenderness #CozyEvening                     "/>
    <n v="25"/>
    <n v="50"/>
    <s v=" UK       "/>
    <x v="2"/>
    <n v="2016"/>
    <x v="1"/>
    <n v="10"/>
    <n v="19"/>
    <x v="0"/>
  </r>
  <r>
    <s v=" Arousal of excitement for an upcoming adventure.       "/>
    <s v="Arousal of excitement for an upcoming adventure.."/>
    <s v=" Arousal       "/>
    <x v="36"/>
    <d v="2017-04-30T11:30:00"/>
    <x v="0"/>
    <s v=" AdventureAwaits "/>
    <s v="AdventureAwaits"/>
    <x v="1"/>
    <x v="1"/>
    <s v=" #Arousal #AdventureTime                       "/>
    <n v="20"/>
    <n v="40"/>
    <s v=" Australia "/>
    <x v="3"/>
    <n v="2017"/>
    <x v="7"/>
    <n v="30"/>
    <n v="11"/>
    <x v="0"/>
  </r>
  <r>
    <s v=" Enthusiasm for a creative project in the making.       "/>
    <s v="Enthusiasm for a creative project in the making.."/>
    <s v=" Enthusiasm    "/>
    <x v="37"/>
    <d v="2018-09-15T16:00:00"/>
    <x v="6"/>
    <s v=" CreativeSpirit  "/>
    <s v="CreativeSpirit"/>
    <x v="2"/>
    <x v="2"/>
    <s v=" #Enthusiasm #Creativity                       "/>
    <n v="15"/>
    <n v="30"/>
    <s v=" Canada    "/>
    <x v="1"/>
    <n v="2018"/>
    <x v="8"/>
    <n v="15"/>
    <n v="16"/>
    <x v="0"/>
  </r>
  <r>
    <s v=" Fulfillment in completing a challenging workout routine."/>
    <s v="Fulfillment in completing a challenging workout routine.."/>
    <s v=" Fulfillment  "/>
    <x v="38"/>
    <d v="2019-06-28T18:20:00"/>
    <x v="5"/>
    <s v=" FitnessAchiever "/>
    <s v="FitnessAchiever"/>
    <x v="0"/>
    <x v="0"/>
    <s v=" #Fulfillment #FitnessGoals                   "/>
    <n v="22"/>
    <n v="45"/>
    <s v=" India     "/>
    <x v="4"/>
    <n v="2019"/>
    <x v="5"/>
    <n v="28"/>
    <n v="18"/>
    <x v="0"/>
  </r>
  <r>
    <s v=" Reverence for the artistry displayed in a museum.      "/>
    <s v="Reverence for the artistry displayed in a museum.."/>
    <s v=" Reverence     "/>
    <x v="39"/>
    <d v="2020-11-11T15:00:00"/>
    <x v="3"/>
    <s v=" ArtAppreciator  "/>
    <s v="ArtAppreciator"/>
    <x v="1"/>
    <x v="1"/>
    <s v=" #Reverence #ArtAppreciation                  "/>
    <n v="18"/>
    <n v="35"/>
    <s v=" UK        "/>
    <x v="2"/>
    <n v="2020"/>
    <x v="6"/>
    <n v="11"/>
    <n v="15"/>
    <x v="0"/>
  </r>
  <r>
    <s v=" Elation after achieving a personal goal.               "/>
    <s v="Elation after achieving a personal goal.."/>
    <s v=" Elation       "/>
    <x v="27"/>
    <d v="2021-03-02T09:30:00"/>
    <x v="2"/>
    <s v=" GoalAchiever2   "/>
    <s v="GoalAchiever2"/>
    <x v="2"/>
    <x v="2"/>
    <s v=" #Elation #PersonalAchievement                "/>
    <n v="25"/>
    <n v="50"/>
    <s v=" USA      "/>
    <x v="0"/>
    <n v="2021"/>
    <x v="2"/>
    <n v="2"/>
    <n v="9"/>
    <x v="0"/>
  </r>
  <r>
    <s v=" Elation over discovering a hidden gem in the city.   "/>
    <s v="Elation over discovering a hidden gem in the city.."/>
    <s v=" Elation       "/>
    <x v="27"/>
    <d v="2012-02-18T14:30:00"/>
    <x v="6"/>
    <s v=" UrbanExplorer2  "/>
    <s v="UrbanExplorer2"/>
    <x v="0"/>
    <x v="0"/>
    <s v=" #Elation #HiddenGem                            "/>
    <n v="20"/>
    <n v="40"/>
    <s v=" USA      "/>
    <x v="0"/>
    <n v="2012"/>
    <x v="1"/>
    <n v="18"/>
    <n v="14"/>
    <x v="0"/>
  </r>
  <r>
    <s v=" The euphoria of a surprise birthday celebration.     "/>
    <s v="The euphoria of a surprise birthday celebration.."/>
    <s v=" Euphoria      "/>
    <x v="28"/>
    <d v="2018-11-05T21:45:00"/>
    <x v="1"/>
    <s v=" BirthdayJoy     "/>
    <s v="BirthdayJoy"/>
    <x v="1"/>
    <x v="1"/>
    <s v=" #Euphoria #BirthdaySurprise                   "/>
    <n v="15"/>
    <n v="30"/>
    <s v=" UK   "/>
    <x v="2"/>
    <n v="2018"/>
    <x v="6"/>
    <n v="5"/>
    <n v="21"/>
    <x v="0"/>
  </r>
  <r>
    <s v=" Contentment in the simplicity of a home-cooked meal. "/>
    <s v="Contentment in the simplicity of a home-cooked meal.."/>
    <s v=" Contentment   "/>
    <x v="29"/>
    <d v="2015-09-12T13:20:00"/>
    <x v="6"/>
    <s v=" HomeChef        "/>
    <s v="HomeChef"/>
    <x v="2"/>
    <x v="2"/>
    <s v=" #Contentment #HomeCooking                     "/>
    <n v="25"/>
    <n v="50"/>
    <s v=" India    "/>
    <x v="4"/>
    <n v="2015"/>
    <x v="8"/>
    <n v="12"/>
    <n v="13"/>
    <x v="0"/>
  </r>
  <r>
    <s v=" Serenity found in the melody of a peaceful piano.    "/>
    <s v="Serenity found in the melody of a peaceful piano.."/>
    <s v=" Serenity      "/>
    <x v="30"/>
    <d v="2016-07-30T18:10:00"/>
    <x v="6"/>
    <s v=" MusicLover4     "/>
    <s v="MusicLover4"/>
    <x v="0"/>
    <x v="0"/>
    <s v=" #Serenity #PeacefulMelody                    "/>
    <n v="18"/>
    <n v="35"/>
    <s v=" Canada      "/>
    <x v="1"/>
    <n v="2016"/>
    <x v="9"/>
    <n v="30"/>
    <n v="18"/>
    <x v="0"/>
  </r>
  <r>
    <s v=" Gratitude for the supportive community around me.    "/>
    <s v="Gratitude for the supportive community around me.."/>
    <s v=" Gratitude     "/>
    <x v="31"/>
    <d v="2013-04-20T10:30:00"/>
    <x v="6"/>
    <s v=" CommunityLove   "/>
    <s v="CommunityLove"/>
    <x v="1"/>
    <x v="1"/>
    <s v=" #Gratitude #CommunitySupport                   "/>
    <n v="30"/>
    <n v="60"/>
    <s v=" USA "/>
    <x v="0"/>
    <n v="2013"/>
    <x v="7"/>
    <n v="20"/>
    <n v="10"/>
    <x v="0"/>
  </r>
  <r>
    <s v=" Hopeful about the prospects of a new business venture."/>
    <s v="Hopeful about the prospects of a new business venture.."/>
    <s v=" Hope          "/>
    <x v="32"/>
    <d v="2017-12-08T19:15:00"/>
    <x v="5"/>
    <s v=" EntrepreneurHope"/>
    <s v="EntrepreneurHope"/>
    <x v="2"/>
    <x v="2"/>
    <s v=" #Hope #BusinessVenture                        "/>
    <n v="22"/>
    <n v="45"/>
    <s v=" Canada    "/>
    <x v="1"/>
    <n v="2017"/>
    <x v="11"/>
    <n v="8"/>
    <n v="19"/>
    <x v="0"/>
  </r>
  <r>
    <s v=" Empowerment through mentoring and guiding others.    "/>
    <s v="Empowerment through mentoring and guiding others.."/>
    <s v=" Empowerment   "/>
    <x v="33"/>
    <d v="2014-06-03T08:20:00"/>
    <x v="2"/>
    <s v=" MentorEmpower   "/>
    <s v="MentorEmpower"/>
    <x v="0"/>
    <x v="0"/>
    <s v=" #Empowerment #Mentorship                      "/>
    <n v="15"/>
    <n v="30"/>
    <s v=" UK       "/>
    <x v="2"/>
    <n v="2014"/>
    <x v="5"/>
    <n v="3"/>
    <n v="8"/>
    <x v="0"/>
  </r>
  <r>
    <s v=" Compassion shown through acts of kindness in the community."/>
    <s v="Compassion shown through acts of kindness in the community.."/>
    <s v=" Compassion"/>
    <x v="34"/>
    <d v="2019-01-15T14:50:00"/>
    <x v="2"/>
    <s v=" KindnessInAction"/>
    <s v="KindnessInAction"/>
    <x v="1"/>
    <x v="1"/>
    <s v=" #Compassion #CommunityKindness               "/>
    <n v="18"/>
    <n v="35"/>
    <s v=" Australia "/>
    <x v="3"/>
    <n v="2019"/>
    <x v="0"/>
    <n v="15"/>
    <n v="14"/>
    <x v="0"/>
  </r>
  <r>
    <s v=" Tenderness in a heartfelt message to a loved one.    "/>
    <s v="Tenderness in a heartfelt message to a loved one.."/>
    <s v=" Tenderness    "/>
    <x v="35"/>
    <d v="2016-12-25T19:30:00"/>
    <x v="0"/>
    <s v=" LoveExpress     "/>
    <s v="LoveExpress"/>
    <x v="2"/>
    <x v="2"/>
    <s v=" #Tenderness #LoveNote                         "/>
    <n v="25"/>
    <n v="50"/>
    <s v=" UK          "/>
    <x v="2"/>
    <n v="2016"/>
    <x v="11"/>
    <n v="25"/>
    <n v="19"/>
    <x v="0"/>
  </r>
  <r>
    <s v=" Arousal of excitement before a much-awaited trip.    "/>
    <s v="Arousal of excitement before a much-awaited trip.."/>
    <s v=" Arousal       "/>
    <x v="36"/>
    <d v="2018-03-10T09:45:00"/>
    <x v="6"/>
    <s v=" TravelExcitement"/>
    <s v="TravelExcitement"/>
    <x v="0"/>
    <x v="0"/>
    <s v=" #Arousal #TravelAdventure                     "/>
    <n v="20"/>
    <n v="40"/>
    <s v=" India    "/>
    <x v="4"/>
    <n v="2018"/>
    <x v="2"/>
    <n v="10"/>
    <n v="9"/>
    <x v="0"/>
  </r>
  <r>
    <s v=" Enthusiasm for a new artistic project in the works.  "/>
    <s v="Enthusiasm for a new artistic project in the works.."/>
    <s v=" Enthusiasm    "/>
    <x v="37"/>
    <d v="2020-09-17T16:30:00"/>
    <x v="4"/>
    <s v=" ArtisticSpirit  "/>
    <s v="ArtisticSpirit"/>
    <x v="1"/>
    <x v="1"/>
    <s v=" #Enthusiasm #ArtisticProject                 "/>
    <n v="15"/>
    <n v="30"/>
    <s v=" USA       "/>
    <x v="0"/>
    <n v="2020"/>
    <x v="8"/>
    <n v="17"/>
    <n v="16"/>
    <x v="0"/>
  </r>
  <r>
    <s v=" Feeling a sense of fulfillment after helping others. "/>
    <s v="Feeling a sense of fulfillment after helping others.."/>
    <s v=" Fulfillment   "/>
    <x v="38"/>
    <d v="2011-08-28T18:45:00"/>
    <x v="0"/>
    <s v=" HelperHeart     "/>
    <s v="HelperHeart"/>
    <x v="2"/>
    <x v="2"/>
    <s v=" #Fulfillment #HelpingOthers                  "/>
    <n v="22"/>
    <n v="45"/>
    <s v=" Canada    "/>
    <x v="1"/>
    <n v="2011"/>
    <x v="4"/>
    <n v="28"/>
    <n v="18"/>
    <x v="0"/>
  </r>
  <r>
    <s v=" Reverence for the historical significance of a landmark."/>
    <s v="Reverence for the historical significance of a landmark.."/>
    <s v=" Reverence "/>
    <x v="39"/>
    <d v="2017-11-01T15:30:00"/>
    <x v="3"/>
    <s v=" HistoryBuff     "/>
    <s v="HistoryBuff"/>
    <x v="0"/>
    <x v="0"/>
    <s v=" #Reverence #HistoricalSite                   "/>
    <n v="18"/>
    <n v="35"/>
    <s v=" Australia "/>
    <x v="3"/>
    <n v="2017"/>
    <x v="6"/>
    <n v="1"/>
    <n v="15"/>
    <x v="0"/>
  </r>
  <r>
    <s v=" Elation after achieving a fitness milestone.         "/>
    <s v="Elation after achieving a fitness milestone.."/>
    <s v=" Elation       "/>
    <x v="27"/>
    <d v="2019-06-15T10:00:00"/>
    <x v="6"/>
    <s v=" FitnessAchiever2"/>
    <s v="FitnessAchiever2"/>
    <x v="1"/>
    <x v="1"/>
    <s v=" #Elation #FitnessMilestone                   "/>
    <n v="25"/>
    <n v="50"/>
    <s v=" UK           "/>
    <x v="2"/>
    <n v="2019"/>
    <x v="5"/>
    <n v="15"/>
    <n v="10"/>
    <x v="0"/>
  </r>
  <r>
    <s v=" The euphoria of a successful product launch.         "/>
    <s v="The euphoria of a successful product launch.."/>
    <s v=" Euphoria      "/>
    <x v="28"/>
    <d v="2022-04-03T11:45:00"/>
    <x v="0"/>
    <s v=" ProductLaunchJoy"/>
    <s v="ProductLaunchJoy"/>
    <x v="2"/>
    <x v="2"/>
    <s v=" #Euphoria #ProductLaunchSuccess              "/>
    <n v="15"/>
    <n v="30"/>
    <s v=" USA       "/>
    <x v="0"/>
    <n v="2022"/>
    <x v="7"/>
    <n v="3"/>
    <n v="11"/>
    <x v="0"/>
  </r>
  <r>
    <s v=" Contentment in the embrace of a loved one.           "/>
    <s v="Contentment in the embrace of a loved one.."/>
    <s v=" Contentment   "/>
    <x v="29"/>
    <d v="2010-11-12T20:20:00"/>
    <x v="5"/>
    <s v=" LovingEmbrace   "/>
    <s v="LovingEmbrace"/>
    <x v="0"/>
    <x v="0"/>
    <s v=" #Contentment #Love                             "/>
    <n v="30"/>
    <n v="60"/>
    <s v=" India    "/>
    <x v="4"/>
    <n v="2010"/>
    <x v="6"/>
    <n v="12"/>
    <n v="20"/>
    <x v="0"/>
  </r>
  <r>
    <s v=" Serenity found in the beauty of a sunset by the sea.  "/>
    <s v="Serenity found in the beauty of a sunset by the sea.."/>
    <s v=" Serenity      "/>
    <x v="30"/>
    <d v="2011-07-22T18:30:00"/>
    <x v="5"/>
    <s v=" SunsetWatcher2  "/>
    <s v="SunsetWatcher2"/>
    <x v="1"/>
    <x v="1"/>
    <s v=" #Serenity #SunsetViews                       "/>
    <n v="22"/>
    <n v="45"/>
    <s v=" Canada     "/>
    <x v="1"/>
    <n v="2011"/>
    <x v="9"/>
    <n v="22"/>
    <n v="18"/>
    <x v="0"/>
  </r>
  <r>
    <s v=" Gratitude for the small joys that each day brings.   "/>
    <s v="Gratitude for the small joys that each day brings.."/>
    <s v=" Gratitude     "/>
    <x v="31"/>
    <d v="2012-03-30T11:20:00"/>
    <x v="5"/>
    <s v=" JoyfulHeart2    "/>
    <s v="JoyfulHeart2"/>
    <x v="2"/>
    <x v="2"/>
    <s v=" #Gratitude #SmallJoys                        "/>
    <n v="15"/>
    <n v="30"/>
    <s v=" Australia   "/>
    <x v="3"/>
    <n v="2012"/>
    <x v="2"/>
    <n v="30"/>
    <n v="11"/>
    <x v="0"/>
  </r>
  <r>
    <s v=" Hopeful about the potential for personal growth.      "/>
    <s v="Hopeful about the potential for personal growth.."/>
    <s v=" Hope          "/>
    <x v="32"/>
    <d v="2013-10-05T16:40:00"/>
    <x v="6"/>
    <s v=" GrowthOptimist  "/>
    <s v="GrowthOptimist"/>
    <x v="0"/>
    <x v="0"/>
    <s v=" #Hope #PersonalDevelopment                    "/>
    <n v="18"/>
    <n v="35"/>
    <s v=" UK       "/>
    <x v="2"/>
    <n v="2013"/>
    <x v="10"/>
    <n v="5"/>
    <n v="16"/>
    <x v="0"/>
  </r>
  <r>
    <s v=" Empowerment through learning a new skill.            "/>
    <s v="Empowerment through learning a new skill.."/>
    <s v=" Empowerment   "/>
    <x v="33"/>
    <d v="2014-07-10T13:15:00"/>
    <x v="4"/>
    <s v=" SkillEmpower    "/>
    <s v="SkillEmpower"/>
    <x v="1"/>
    <x v="1"/>
    <s v=" #Empowerment #SkillBuilding                   "/>
    <n v="25"/>
    <n v="50"/>
    <s v=" India   "/>
    <x v="4"/>
    <n v="2014"/>
    <x v="9"/>
    <n v="10"/>
    <n v="13"/>
    <x v="0"/>
  </r>
  <r>
    <s v=" Compassion in volunteering for a local charity.       "/>
    <s v="Compassion in volunteering for a local charity.."/>
    <s v=" Compassion    "/>
    <x v="34"/>
    <d v="2015-12-18T14:20:00"/>
    <x v="5"/>
    <s v=" CharityVolunteer"/>
    <s v="CharityVolunteer"/>
    <x v="2"/>
    <x v="2"/>
    <s v=" #Compassion #VolunteerWork                   "/>
    <n v="18"/>
    <n v="35"/>
    <s v=" USA      "/>
    <x v="0"/>
    <n v="2015"/>
    <x v="11"/>
    <n v="18"/>
    <n v="14"/>
    <x v="0"/>
  </r>
  <r>
    <s v=" Tenderness in a quiet moment shared with a pet.      "/>
    <s v="Tenderness in a quiet moment shared with a pet.."/>
    <s v=" Tenderness    "/>
    <x v="35"/>
    <d v="2016-02-10T19:45:00"/>
    <x v="3"/>
    <s v=" PetLove         "/>
    <s v="PetLove"/>
    <x v="0"/>
    <x v="0"/>
    <s v=" #Tenderness #PetLove                          "/>
    <n v="25"/>
    <n v="50"/>
    <s v=" Canada   "/>
    <x v="1"/>
    <n v="2016"/>
    <x v="1"/>
    <n v="10"/>
    <n v="19"/>
    <x v="0"/>
  </r>
  <r>
    <s v=" Arousal of excitement for an upcoming festival.       "/>
    <s v="Arousal of excitement for an upcoming festival.."/>
    <s v=" Arousal       "/>
    <x v="36"/>
    <d v="2017-09-25T11:30:00"/>
    <x v="1"/>
    <s v=" FestivalFan     "/>
    <s v="FestivalFan"/>
    <x v="1"/>
    <x v="1"/>
    <s v=" #Arousal #FestivalExcitement               "/>
    <n v="20"/>
    <n v="40"/>
    <s v=" UK "/>
    <x v="2"/>
    <n v="2017"/>
    <x v="8"/>
    <n v="25"/>
    <n v="11"/>
    <x v="0"/>
  </r>
  <r>
    <s v=" Enthusiasm for a DIY home improvement project.       "/>
    <s v="Enthusiasm for a DIY home improvement project.."/>
    <s v=" Enthusiasm    "/>
    <x v="37"/>
    <d v="2018-04-15T16:00:00"/>
    <x v="0"/>
    <s v=" DIYEnthusiast   "/>
    <s v="DIYEnthusiast"/>
    <x v="2"/>
    <x v="2"/>
    <s v=" #Enthusiasm #HomeImprovement                 "/>
    <n v="15"/>
    <n v="30"/>
    <s v=" Australia   "/>
    <x v="3"/>
    <n v="2018"/>
    <x v="7"/>
    <n v="15"/>
    <n v="16"/>
    <x v="0"/>
  </r>
  <r>
    <s v=" Fulfillment in completing a challenging puzzle.      "/>
    <s v="Fulfillment in completing a challenging puzzle.."/>
    <s v=" Fulfillment   "/>
    <x v="38"/>
    <d v="2019-11-28T18:20:00"/>
    <x v="4"/>
    <s v=" PuzzleMaster    "/>
    <s v="PuzzleMaster"/>
    <x v="0"/>
    <x v="0"/>
    <s v=" #Fulfillment #PuzzleChallenge                "/>
    <n v="22"/>
    <n v="45"/>
    <s v=" India    "/>
    <x v="4"/>
    <n v="2019"/>
    <x v="6"/>
    <n v="28"/>
    <n v="18"/>
    <x v="0"/>
  </r>
  <r>
    <s v=" Reverence for the wonders of nature on a hiking trail."/>
    <s v="Reverence for the wonders of nature on a hiking trail.."/>
    <s v=" Reverence "/>
    <x v="39"/>
    <d v="2020-05-11T15:00:00"/>
    <x v="1"/>
    <s v=" NatureAdmirer   "/>
    <s v="NatureAdmirer"/>
    <x v="1"/>
    <x v="1"/>
    <s v=" #Reverence #NatureExploration                "/>
    <n v="18"/>
    <n v="35"/>
    <s v=" USA        "/>
    <x v="0"/>
    <n v="2020"/>
    <x v="3"/>
    <n v="11"/>
    <n v="15"/>
    <x v="0"/>
  </r>
  <r>
    <s v=" Elation after a surprise reunion with a childhood friend."/>
    <s v="Elation after a surprise reunion with a childhood friend.."/>
    <s v=" Elation   "/>
    <x v="27"/>
    <d v="2021-02-05T09:30:00"/>
    <x v="5"/>
    <s v=" ChildhoodJoy    "/>
    <s v="ChildhoodJoy"/>
    <x v="2"/>
    <x v="2"/>
    <s v=" #Elation #FriendshipReunion                  "/>
    <n v="25"/>
    <n v="50"/>
    <s v=" Canada      "/>
    <x v="1"/>
    <n v="2021"/>
    <x v="1"/>
    <n v="5"/>
    <n v="9"/>
    <x v="0"/>
  </r>
  <r>
    <s v=" Suffering from despair after another setback.      "/>
    <s v="Suffering from despair after another setback.."/>
    <s v=" Despair         "/>
    <x v="40"/>
    <d v="2021-03-10T08:30:00"/>
    <x v="3"/>
    <s v=" StrugglingSoul    "/>
    <s v="StrugglingSoul"/>
    <x v="0"/>
    <x v="0"/>
    <s v=" #Despair #Struggle                              "/>
    <n v="5"/>
    <n v="10"/>
    <s v=" USA          "/>
    <x v="0"/>
    <n v="2021"/>
    <x v="2"/>
    <n v="10"/>
    <n v="8"/>
    <x v="0"/>
  </r>
  <r>
    <s v=" Overwhelmed by grief, missing a loved one dearly.  "/>
    <s v="Overwhelmed by grief, missing a loved one dearly.."/>
    <s v=" Grief           "/>
    <x v="41"/>
    <d v="2022-07-05T15:45:00"/>
    <x v="2"/>
    <s v=" MourningHeart     "/>
    <s v="MourningHeart"/>
    <x v="1"/>
    <x v="1"/>
    <s v=" #Grief #Loss                                   "/>
    <n v="8"/>
    <n v="15"/>
    <s v=" Canada          "/>
    <x v="1"/>
    <n v="2022"/>
    <x v="9"/>
    <n v="5"/>
    <n v="15"/>
    <x v="0"/>
  </r>
  <r>
    <s v=" Loneliness creeps in as the night grows colder.    "/>
    <s v="Loneliness creeps in as the night grows colder.."/>
    <s v=" Loneliness      "/>
    <x v="42"/>
    <d v="2019-11-18T21:20:00"/>
    <x v="1"/>
    <s v=" SolitarySoul      "/>
    <s v="SolitarySoul"/>
    <x v="2"/>
    <x v="2"/>
    <s v=" #Loneliness #Isolation                         "/>
    <n v="10"/>
    <n v="20"/>
    <s v=" UK           "/>
    <x v="2"/>
    <n v="2019"/>
    <x v="6"/>
    <n v="18"/>
    <n v="21"/>
    <x v="0"/>
  </r>
  <r>
    <s v=" Jealousy consumes me as I witness others' success. "/>
    <s v="Jealousy consumes me as I witness others' success.."/>
    <s v=" Jealousy        "/>
    <x v="43"/>
    <d v="2020-08-12T11:30:00"/>
    <x v="3"/>
    <s v=" EnviousObserver   "/>
    <s v="EnviousObserver"/>
    <x v="0"/>
    <x v="0"/>
    <s v=" #Jealousy #Envy                               "/>
    <n v="12"/>
    <n v="25"/>
    <s v=" India        "/>
    <x v="4"/>
    <n v="2020"/>
    <x v="4"/>
    <n v="12"/>
    <n v="11"/>
    <x v="0"/>
  </r>
  <r>
    <s v=" Resentment building up over past betrayals.        "/>
    <s v="Resentment building up over past betrayals.."/>
    <s v=" Resentment      "/>
    <x v="44"/>
    <d v="2018-05-22T14:45:00"/>
    <x v="2"/>
    <s v=" BitterHeart       "/>
    <s v="BitterHeart"/>
    <x v="1"/>
    <x v="1"/>
    <s v=" #Resentment #Bitterness                       "/>
    <n v="7"/>
    <n v="15"/>
    <s v=" Australia     "/>
    <x v="3"/>
    <n v="2018"/>
    <x v="3"/>
    <n v="22"/>
    <n v="14"/>
    <x v="0"/>
  </r>
  <r>
    <s v=" Frustration mounts as obstacles block my path.     "/>
    <s v="Frustration mounts as obstacles block my path.."/>
    <s v=" Frustration     "/>
    <x v="45"/>
    <d v="2017-01-30T16:10:00"/>
    <x v="1"/>
    <s v=" BlockedGoals      "/>
    <s v="BlockedGoals"/>
    <x v="2"/>
    <x v="2"/>
    <s v=" #Frustration #Obstacles                       "/>
    <n v="10"/>
    <n v="20"/>
    <s v=" USA          "/>
    <x v="0"/>
    <n v="2017"/>
    <x v="0"/>
    <n v="30"/>
    <n v="16"/>
    <x v="0"/>
  </r>
  <r>
    <s v=" Boredom sets in, the day feels endlessly dull.     "/>
    <s v="Boredom sets in, the day feels endlessly dull.."/>
    <s v=" Boredom         "/>
    <x v="46"/>
    <d v="2016-09-28T19:45:00"/>
    <x v="3"/>
    <s v=" BoredMind         "/>
    <s v="BoredMind"/>
    <x v="0"/>
    <x v="0"/>
    <s v=" #Boredom #LackOfInterest                     "/>
    <n v="8"/>
    <n v="15"/>
    <s v=" Canada        "/>
    <x v="1"/>
    <n v="2016"/>
    <x v="8"/>
    <n v="28"/>
    <n v="19"/>
    <x v="0"/>
  </r>
  <r>
    <s v=" Anxiety grips my heart, worry clouds my thoughts.  "/>
    <s v="Anxiety grips my heart, worry clouds my thoughts.."/>
    <s v=" Anxiety         "/>
    <x v="47"/>
    <d v="2019-04-15T09:00:00"/>
    <x v="1"/>
    <s v=" WorriedMind       "/>
    <s v="WorriedMind"/>
    <x v="1"/>
    <x v="1"/>
    <s v=" #Anxiety #Worry                               "/>
    <n v="12"/>
    <n v="25"/>
    <s v=" UK           "/>
    <x v="2"/>
    <n v="2019"/>
    <x v="7"/>
    <n v="15"/>
    <n v="9"/>
    <x v="0"/>
  </r>
  <r>
    <s v=" Intimidation by the unknown future ahead.          "/>
    <s v="Intimidation by the unknown future ahead.."/>
    <s v=" Intimidation    "/>
    <x v="48"/>
    <d v="2021-12-03T18:30:00"/>
    <x v="5"/>
    <s v=" FearfulSoul       "/>
    <s v="FearfulSoul"/>
    <x v="2"/>
    <x v="2"/>
    <s v=" #Intimidation #Fear                           "/>
    <n v="15"/>
    <n v="30"/>
    <s v=" India        "/>
    <x v="4"/>
    <n v="2021"/>
    <x v="11"/>
    <n v="3"/>
    <n v="18"/>
    <x v="0"/>
  </r>
  <r>
    <s v=" Helplessness sinks in as challenges pile up.       "/>
    <s v="Helplessness sinks in as challenges pile up.."/>
    <s v=" Helplessness    "/>
    <x v="49"/>
    <d v="2020-06-20T14:20:00"/>
    <x v="6"/>
    <s v=" OverwhelmedHeart  "/>
    <s v="OverwhelmedHeart"/>
    <x v="0"/>
    <x v="0"/>
    <s v=" #Helplessness #Overwhelmed                    "/>
    <n v="8"/>
    <n v="15"/>
    <s v=" Australia    "/>
    <x v="3"/>
    <n v="2020"/>
    <x v="5"/>
    <n v="20"/>
    <n v="14"/>
    <x v="0"/>
  </r>
  <r>
    <s v=" Envy eats away at me as I see others' prosperity.  "/>
    <s v="Envy eats away at me as I see others' prosperity.."/>
    <s v=" Envy            "/>
    <x v="50"/>
    <d v="2018-11-07T11:30:00"/>
    <x v="3"/>
    <s v=" CovetousMind     "/>
    <s v="CovetousMind"/>
    <x v="1"/>
    <x v="1"/>
    <s v=" #Envy #Desire                                "/>
    <n v="10"/>
    <n v="20"/>
    <s v=" Canada        "/>
    <x v="1"/>
    <n v="2018"/>
    <x v="6"/>
    <n v="7"/>
    <n v="11"/>
    <x v="0"/>
  </r>
  <r>
    <s v=" Regret over missed opportunities haunts my thoughts."/>
    <s v="Regret over missed opportunities haunts my thoughts.."/>
    <s v=" Regret         "/>
    <x v="51"/>
    <d v="2017-08-25T16:00:00"/>
    <x v="5"/>
    <s v=" RemorsefulSoul   "/>
    <s v="RemorsefulSoul"/>
    <x v="2"/>
    <x v="2"/>
    <s v=" #Regret #MissedChances                       "/>
    <n v="12"/>
    <n v="25"/>
    <s v=" UK           "/>
    <x v="2"/>
    <n v="2017"/>
    <x v="4"/>
    <n v="25"/>
    <n v="16"/>
    <x v="0"/>
  </r>
  <r>
    <s v=" Disgust at the sight of injustice and cruelty.     "/>
    <s v="Disgust at the sight of injustice and cruelty.."/>
    <s v=" Disgust         "/>
    <x v="6"/>
    <d v="2019-02-11T09:45:00"/>
    <x v="1"/>
    <s v=" DisgustedHeart   "/>
    <s v="DisgustedHeart"/>
    <x v="0"/>
    <x v="0"/>
    <s v=" #Disgust #Injustice                          "/>
    <n v="7"/>
    <n v="15"/>
    <s v=" India        "/>
    <x v="4"/>
    <n v="2019"/>
    <x v="1"/>
    <n v="11"/>
    <n v="9"/>
    <x v="0"/>
  </r>
  <r>
    <s v=" Drowning in despair, hope slipping through my fingers."/>
    <s v="Drowning in despair, hope slipping through my fingers.."/>
    <s v=" Despair      "/>
    <x v="40"/>
    <d v="2016-04-02T20:20:00"/>
    <x v="6"/>
    <s v=" HopelessHeart    "/>
    <s v="HopelessHeart"/>
    <x v="1"/>
    <x v="1"/>
    <s v=" #Despair #Hopeless                           "/>
    <n v="10"/>
    <n v="20"/>
    <s v=" USA          "/>
    <x v="0"/>
    <n v="2016"/>
    <x v="7"/>
    <n v="2"/>
    <n v="20"/>
    <x v="0"/>
  </r>
  <r>
    <s v=" Grief weighs heavy, tears a constant companion.    "/>
    <s v="Grief weighs heavy, tears a constant companion.."/>
    <s v=" Grief           "/>
    <x v="41"/>
    <d v="2015-10-18T15:30:00"/>
    <x v="0"/>
    <s v=" TearfulSoul      "/>
    <s v="TearfulSoul"/>
    <x v="2"/>
    <x v="2"/>
    <s v=" #Grief #Tears                                "/>
    <n v="12"/>
    <n v="25"/>
    <s v=" Canada        "/>
    <x v="1"/>
    <n v="2015"/>
    <x v="10"/>
    <n v="18"/>
    <n v="15"/>
    <x v="0"/>
  </r>
  <r>
    <s v=" Loneliness in a crowded room, a silent cry for connection."/>
    <s v="Loneliness in a crowded room, a silent cry for connection.."/>
    <s v=" Loneliness "/>
    <x v="42"/>
    <d v="2019-07-12T18:10:00"/>
    <x v="5"/>
    <s v=" IsolatedMind     "/>
    <s v="IsolatedMind"/>
    <x v="0"/>
    <x v="0"/>
    <s v=" #Loneliness #SeekingConnection              "/>
    <n v="15"/>
    <n v="30"/>
    <s v=" UK            "/>
    <x v="2"/>
    <n v="2019"/>
    <x v="9"/>
    <n v="12"/>
    <n v="18"/>
    <x v="0"/>
  </r>
  <r>
    <s v=" Jealousy gnaws at my confidence, a toxic emotion.  "/>
    <s v="Jealousy gnaws at my confidence, a toxic emotion.."/>
    <s v=" Jealousy        "/>
    <x v="43"/>
    <d v="2018-06-03T16:30:00"/>
    <x v="0"/>
    <s v=" SelfDoubt        "/>
    <s v="SelfDoubt"/>
    <x v="1"/>
    <x v="1"/>
    <s v=" #Jealousy #Insecurity                       "/>
    <n v="8"/>
    <n v="15"/>
    <s v=" India         "/>
    <x v="4"/>
    <n v="2018"/>
    <x v="5"/>
    <n v="3"/>
    <n v="16"/>
    <x v="0"/>
  </r>
  <r>
    <s v=" Resentment festers, poisoning relationships.       "/>
    <s v="Resentment festers, poisoning relationships.."/>
    <s v=" Resentment      "/>
    <x v="44"/>
    <d v="2022-01-15T12:00:00"/>
    <x v="6"/>
    <s v=" BrokenTrust      "/>
    <s v="BrokenTrust"/>
    <x v="2"/>
    <x v="2"/>
    <s v=" #Resentment #BrokenTrust                     "/>
    <n v="10"/>
    <n v="20"/>
    <s v=" Australia    "/>
    <x v="3"/>
    <n v="2022"/>
    <x v="0"/>
    <n v="15"/>
    <n v="12"/>
    <x v="0"/>
  </r>
  <r>
    <s v=" Frustration boils over, a volcanic eruption of emotions."/>
    <s v="Frustration boils over, a volcanic eruption of emotions.."/>
    <s v=" Frustration "/>
    <x v="45"/>
    <d v="2017-04-10T14:45:00"/>
    <x v="1"/>
    <s v=" ExplosiveMind    "/>
    <s v="ExplosiveMind"/>
    <x v="0"/>
    <x v="0"/>
    <s v=" #Frustration #EmotionalOutburst             "/>
    <n v="12"/>
    <n v="25"/>
    <s v=" USA          "/>
    <x v="0"/>
    <n v="2017"/>
    <x v="7"/>
    <n v="10"/>
    <n v="14"/>
    <x v="0"/>
  </r>
  <r>
    <s v=" Boredom settles like dust, life feels mundane.     "/>
    <s v="Boredom settles like dust, life feels mundane.."/>
    <s v=" Boredom         "/>
    <x v="46"/>
    <d v="2016-11-28T19:00:00"/>
    <x v="1"/>
    <s v=" MundaneHeart     "/>
    <s v="MundaneHeart"/>
    <x v="1"/>
    <x v="1"/>
    <s v=" #Boredom #Monotony                          "/>
    <n v="7"/>
    <n v="15"/>
    <s v=" Canada        "/>
    <x v="1"/>
    <n v="2016"/>
    <x v="6"/>
    <n v="28"/>
    <n v="19"/>
    <x v="0"/>
  </r>
  <r>
    <s v=" Anxiety grips my chest, a relentless grip on my thoughts."/>
    <s v="Anxiety grips my chest, a relentless grip on my thoughts.."/>
    <s v=" Anxiety   "/>
    <x v="47"/>
    <d v="2018-09-05T09:30:00"/>
    <x v="3"/>
    <s v=" RestlessMind     "/>
    <s v="RestlessMind"/>
    <x v="2"/>
    <x v="2"/>
    <s v=" #Anxiety #Restlessness                      "/>
    <n v="10"/>
    <n v="20"/>
    <s v=" UK            "/>
    <x v="2"/>
    <n v="2018"/>
    <x v="8"/>
    <n v="5"/>
    <n v="9"/>
    <x v="0"/>
  </r>
  <r>
    <s v=" Intimidation by the challenges ahead, fear takes hold."/>
    <s v="Intimidation by the challenges ahead, fear takes hold.."/>
    <s v=" Intimidation "/>
    <x v="48"/>
    <d v="2021-10-22T18:30:00"/>
    <x v="5"/>
    <s v=" FearfulJourney   "/>
    <s v="FearfulJourney"/>
    <x v="0"/>
    <x v="0"/>
    <s v=" #Intimidation #FacingFear                   "/>
    <n v="15"/>
    <n v="30"/>
    <s v=" India         "/>
    <x v="4"/>
    <n v="2021"/>
    <x v="10"/>
    <n v="22"/>
    <n v="18"/>
    <x v="0"/>
  </r>
  <r>
    <s v=" Helplessness engulfs me, drowning in a sea of problems."/>
    <s v="Helplessness engulfs me, drowning in a sea of problems.."/>
    <s v=" Helplessness "/>
    <x v="49"/>
    <d v="2019-05-08T14:20:00"/>
    <x v="3"/>
    <s v=" OverwhelmedSoul  "/>
    <s v="OverwhelmedSoul"/>
    <x v="1"/>
    <x v="1"/>
    <s v=" #Helplessness #Struggling                   "/>
    <n v="8"/>
    <n v="15"/>
    <s v=" Australia    "/>
    <x v="3"/>
    <n v="2019"/>
    <x v="3"/>
    <n v="8"/>
    <n v="14"/>
    <x v="0"/>
  </r>
  <r>
    <s v=" Envy poisons my thoughts, coveting others' success."/>
    <s v="Envy poisons my thoughts, coveting others' success.."/>
    <s v=" Envy            "/>
    <x v="50"/>
    <d v="2017-03-20T11:30:00"/>
    <x v="1"/>
    <s v=" GreenEyedMonster "/>
    <s v="GreenEyedMonster"/>
    <x v="2"/>
    <x v="2"/>
    <s v=" #Envy #Success                              "/>
    <n v="10"/>
    <n v="20"/>
    <s v=" Canada        "/>
    <x v="1"/>
    <n v="2017"/>
    <x v="2"/>
    <n v="20"/>
    <n v="11"/>
    <x v="0"/>
  </r>
  <r>
    <s v=" Regret for decisions that led to a painful present."/>
    <s v="Regret for decisions that led to a painful present.."/>
    <s v=" Regret         "/>
    <x v="51"/>
    <d v="2018-12-15T16:00:00"/>
    <x v="6"/>
    <s v=" RegretfulMind    "/>
    <s v="RegretfulMind"/>
    <x v="0"/>
    <x v="0"/>
    <s v=" #Regret #PastChoices                        "/>
    <n v="12"/>
    <n v="25"/>
    <s v=" USA          "/>
    <x v="0"/>
    <n v="2018"/>
    <x v="11"/>
    <n v="15"/>
    <n v="16"/>
    <x v="0"/>
  </r>
  <r>
    <s v=" Disgust at the corruption that stains society.     "/>
    <s v="Disgust at the corruption that stains society.."/>
    <s v=" Disgust         "/>
    <x v="6"/>
    <d v="2016-07-01T09:45:00"/>
    <x v="5"/>
    <s v=" CorruptedHeart   "/>
    <s v="CorruptedHeart"/>
    <x v="1"/>
    <x v="1"/>
    <s v=" #Disgust #Corruption                        "/>
    <n v="7"/>
    <n v="15"/>
    <s v=" UK            "/>
    <x v="2"/>
    <n v="2016"/>
    <x v="9"/>
    <n v="1"/>
    <n v="9"/>
    <x v="0"/>
  </r>
  <r>
    <s v=" Sinking in despair, each day darker than the last. "/>
    <s v="Sinking in despair, each day darker than the last.."/>
    <s v=" Despair         "/>
    <x v="40"/>
    <d v="2020-08-20T20:20:00"/>
    <x v="4"/>
    <s v=" DrowningSoul     "/>
    <s v="DrowningSoul"/>
    <x v="2"/>
    <x v="2"/>
    <s v=" #Despair #DarkDays                          "/>
    <n v="10"/>
    <n v="20"/>
    <s v=" India         "/>
    <x v="4"/>
    <n v="2020"/>
    <x v="4"/>
    <n v="20"/>
    <n v="20"/>
    <x v="0"/>
  </r>
  <r>
    <s v=" Grief overwhelms, a storm of emotions within.      "/>
    <s v="Grief overwhelms, a storm of emotions within.."/>
    <s v=" Grief           "/>
    <x v="41"/>
    <d v="2021-02-25T15:30:00"/>
    <x v="4"/>
    <s v=" StormyHeart      "/>
    <s v="StormyHeart"/>
    <x v="0"/>
    <x v="0"/>
    <s v=" #Grief #EmotionalStorm                      "/>
    <n v="12"/>
    <n v="25"/>
    <s v=" Canada        "/>
    <x v="1"/>
    <n v="2021"/>
    <x v="1"/>
    <n v="25"/>
    <n v="15"/>
    <x v="0"/>
  </r>
  <r>
    <s v=" Loneliness echoes in empty spaces, yearning for connection."/>
    <s v="Loneliness echoes in empty spaces, yearning for connection.."/>
    <s v=" Loneliness "/>
    <x v="42"/>
    <d v="2019-09-12T18:10:00"/>
    <x v="4"/>
    <s v=" EchoingSoul     "/>
    <s v="EchoingSoul"/>
    <x v="1"/>
    <x v="1"/>
    <s v=" #Loneliness #YearningForConnection         "/>
    <n v="15"/>
    <n v="30"/>
    <s v=" Australia     "/>
    <x v="3"/>
    <n v="2019"/>
    <x v="8"/>
    <n v="12"/>
    <n v="18"/>
    <x v="0"/>
  </r>
  <r>
    <s v=" Jealousy poisons my thoughts, resentment brewing within."/>
    <s v="Jealousy poisons my thoughts, resentment brewing within.."/>
    <s v=" Jealousy    "/>
    <x v="43"/>
    <d v="2018-08-05T16:30:00"/>
    <x v="0"/>
    <s v=" PoisonedMind    "/>
    <s v="PoisonedMind"/>
    <x v="2"/>
    <x v="2"/>
    <s v=" #Jealousy #Resentment                       "/>
    <n v="8"/>
    <n v="15"/>
    <s v=" USA           "/>
    <x v="0"/>
    <n v="2018"/>
    <x v="4"/>
    <n v="5"/>
    <n v="16"/>
    <x v="0"/>
  </r>
  <r>
    <s v=" Resentment festers, a wound that refuses to heal.  "/>
    <s v="Resentment festers, a wound that refuses to heal.."/>
    <s v=" Resentment      "/>
    <x v="44"/>
    <d v="2017-01-12T12:00:00"/>
    <x v="4"/>
    <s v=" UnforgivingSoul  "/>
    <s v="UnforgivingSoul"/>
    <x v="0"/>
    <x v="0"/>
    <s v=" #Resentment #Unforgiving                    "/>
    <n v="10"/>
    <n v="20"/>
    <s v=" India         "/>
    <x v="4"/>
    <n v="2017"/>
    <x v="0"/>
    <n v="12"/>
    <n v="12"/>
    <x v="0"/>
  </r>
  <r>
    <s v=" Frustration escalates, a thunderstorm of emotions. "/>
    <s v="Frustration escalates, a thunderstorm of emotions.."/>
    <s v=" Frustration     "/>
    <x v="45"/>
    <d v="2022-04-05T14:45:00"/>
    <x v="2"/>
    <s v=" ThunderingMind   "/>
    <s v="ThunderingMind"/>
    <x v="1"/>
    <x v="1"/>
    <s v=" #Frustration #EmotionalOutburst            "/>
    <n v="12"/>
    <n v="25"/>
    <s v=" UK            "/>
    <x v="2"/>
    <n v="2022"/>
    <x v="7"/>
    <n v="5"/>
    <n v="14"/>
    <x v="0"/>
  </r>
  <r>
    <s v=" Boredom lingers, a stagnant pool of indifference.  "/>
    <s v="Boredom lingers, a stagnant pool of indifference.."/>
    <s v=" Boredom         "/>
    <x v="46"/>
    <d v="2021-10-02T19:00:00"/>
    <x v="6"/>
    <s v=" StagnantHeart    "/>
    <s v="StagnantHeart"/>
    <x v="2"/>
    <x v="2"/>
    <s v=" #Boredom #Stagnation                        "/>
    <n v="7"/>
    <n v="15"/>
    <s v=" Canada        "/>
    <x v="1"/>
    <n v="2021"/>
    <x v="10"/>
    <n v="2"/>
    <n v="19"/>
    <x v="0"/>
  </r>
  <r>
    <s v=" Embarking on a journey of discovery, fueled by curiosity and a thirst for knowledge. "/>
    <s v="Embarking on a journey of discovery, fueled by curiosity and a thirst for knowledge.."/>
    <s v=" Curiosity       "/>
    <x v="52"/>
    <d v="2023-04-15T10:15:00"/>
    <x v="6"/>
    <s v=" InquisitiveMind   "/>
    <s v="InquisitiveMind"/>
    <x v="0"/>
    <x v="0"/>
    <s v=" #Curiosity #Learning                        "/>
    <n v="15"/>
    <n v="30"/>
    <s v=" USA          "/>
    <x v="0"/>
    <n v="2023"/>
    <x v="7"/>
    <n v="15"/>
    <n v="10"/>
    <x v="0"/>
  </r>
  <r>
    <s v=" Lost in the vast sea of information, an indifferent wave in the digital ocean. "/>
    <s v="Lost in the vast sea of information, an indifferent wave in the digital ocean.."/>
    <s v=" Indifference    "/>
    <x v="53"/>
    <d v="2022-11-28T17:30:00"/>
    <x v="1"/>
    <s v=" ApatheticObserver "/>
    <s v="ApatheticObserver"/>
    <x v="1"/>
    <x v="1"/>
    <s v=" #Indifference #DigitalOverload              "/>
    <n v="7"/>
    <n v="15"/>
    <s v=" Canada          "/>
    <x v="1"/>
    <n v="2022"/>
    <x v="6"/>
    <n v="28"/>
    <n v="17"/>
    <x v="0"/>
  </r>
  <r>
    <s v=" The complex puzzle of life leaves me in a state of perpetual confusion, seeking answers in the chaos. "/>
    <s v="The complex puzzle of life leaves me in a state of perpetual confusion, seeking answers in the chaos.."/>
    <s v=" Confusion       "/>
    <x v="22"/>
    <d v="2020-04-02T09:45:00"/>
    <x v="4"/>
    <s v=" SeekingClarity    "/>
    <s v="SeekingClarity"/>
    <x v="2"/>
    <x v="2"/>
    <s v=" #Confusion #LifePuzzle                     "/>
    <n v="10"/>
    <n v="20"/>
    <s v=" UK           "/>
    <x v="2"/>
    <n v="2020"/>
    <x v="7"/>
    <n v="2"/>
    <n v="9"/>
    <x v="0"/>
  </r>
  <r>
    <s v=" A numbness settles over me, a shield against the overwhelming emotions life throws my way. "/>
    <s v="A numbness settles over me, a shield against the overwhelming emotions life throws my way.."/>
    <s v=" Numbness        "/>
    <x v="54"/>
    <d v="2021-08-10T14:00:00"/>
    <x v="2"/>
    <s v=" EmotionallyDistant "/>
    <s v="EmotionallyDistant"/>
    <x v="0"/>
    <x v="0"/>
    <s v=" #Numbness #EmotionalShield                 "/>
    <n v="8"/>
    <n v="15"/>
    <s v=" India        "/>
    <x v="4"/>
    <n v="2021"/>
    <x v="4"/>
    <n v="10"/>
    <n v="14"/>
    <x v="0"/>
  </r>
  <r>
    <s v=" Gazing at the sunset, a melancholic longing for moments that slip through the fingers of time. "/>
    <s v="Gazing at the sunset, a melancholic longing for moments that slip through the fingers of time.."/>
    <s v=" Melancholy      "/>
    <x v="55"/>
    <d v="2019-06-18T20:45:00"/>
    <x v="2"/>
    <s v=" SunsetDreamer     "/>
    <s v="SunsetDreamer"/>
    <x v="1"/>
    <x v="1"/>
    <s v=" #Melancholy #SunsetMoments                 "/>
    <n v="12"/>
    <n v="25"/>
    <s v=" Australia     "/>
    <x v="3"/>
    <n v="2019"/>
    <x v="5"/>
    <n v="18"/>
    <n v="20"/>
    <x v="0"/>
  </r>
  <r>
    <s v=" Revisiting old photographs, caught in the embrace of nostalgia's bittersweet symphony. "/>
    <s v="Revisiting old photographs, caught in the embrace of nostalgia's bittersweet symphony.."/>
    <s v=" Nostalgia       "/>
    <x v="56"/>
    <d v="2018-02-05T15:15:00"/>
    <x v="1"/>
    <s v=" MemoryLaneTraveler "/>
    <s v="MemoryLaneTraveler"/>
    <x v="2"/>
    <x v="2"/>
    <s v=" #Nostalgia #MemoryLane                     "/>
    <n v="10"/>
    <n v="20"/>
    <s v=" USA          "/>
    <x v="0"/>
    <n v="2018"/>
    <x v="1"/>
    <n v="5"/>
    <n v="15"/>
    <x v="0"/>
  </r>
  <r>
    <s v=" Torn between conflicting emotions, an ambivalence that paints my decisions in shades of uncertainty. "/>
    <s v="Torn between conflicting emotions, an ambivalence that paints my decisions in shades of uncertainty.."/>
    <s v=" Ambivalence     "/>
    <x v="57"/>
    <d v="2022-05-30T11:30:00"/>
    <x v="1"/>
    <s v=" MixedFeelings     "/>
    <s v="MixedFeelings"/>
    <x v="0"/>
    <x v="0"/>
    <s v=" #Ambivalence #UncertainChoices             "/>
    <n v="12"/>
    <n v="25"/>
    <s v=" Canada        "/>
    <x v="1"/>
    <n v="2022"/>
    <x v="3"/>
    <n v="30"/>
    <n v="11"/>
    <x v="0"/>
  </r>
  <r>
    <s v=" Embracing the ebb and flow of life, finding acceptance in the dance of existence. "/>
    <s v="Embracing the ebb and flow of life, finding acceptance in the dance of existence.."/>
    <s v=" Acceptance      "/>
    <x v="17"/>
    <d v="2023-01-10T16:20:00"/>
    <x v="2"/>
    <s v=" ZenLifestyle      "/>
    <s v="ZenLifestyle"/>
    <x v="1"/>
    <x v="1"/>
    <s v=" #Acceptance #LifeJourney                   "/>
    <n v="15"/>
    <n v="30"/>
    <s v=" UK           "/>
    <x v="2"/>
    <n v="2023"/>
    <x v="0"/>
    <n v="10"/>
    <n v="16"/>
    <x v="0"/>
  </r>
  <r>
    <s v=" Facing challenges head-on, a determination that fuels the fire within to achieve the impossible. "/>
    <s v="Facing challenges head-on, a determination that fuels the fire within to achieve the impossible.."/>
    <s v=" Determination   "/>
    <x v="58"/>
    <d v="2020-09-18T13:45:00"/>
    <x v="5"/>
    <s v=" ResilientSpirit   "/>
    <s v="ResilientSpirit"/>
    <x v="2"/>
    <x v="2"/>
    <s v=" #Determination #AchieveTheImpossible       "/>
    <n v="10"/>
    <n v="20"/>
    <s v=" India        "/>
    <x v="4"/>
    <n v="2020"/>
    <x v="8"/>
    <n v="18"/>
    <n v="13"/>
    <x v="0"/>
  </r>
  <r>
    <s v=" Serenity found in the stillness of nature, a tranquil retreat from the chaos of the modern world. "/>
    <s v="Serenity found in the stillness of nature, a tranquil retreat from the chaos of the modern world.."/>
    <s v=" Serenity        "/>
    <x v="30"/>
    <d v="2021-07-03T19:00:00"/>
    <x v="6"/>
    <s v=" NatureSoul        "/>
    <s v="NatureSoul"/>
    <x v="0"/>
    <x v="0"/>
    <s v=" #Serenity #NatureRetreat                   "/>
    <n v="12"/>
    <n v="25"/>
    <s v=" Australia    "/>
    <x v="3"/>
    <n v="2021"/>
    <x v="9"/>
    <n v="3"/>
    <n v="19"/>
    <x v="0"/>
  </r>
  <r>
    <s v=" Curiosity leading me down the rabbit hole of knowledge, a perpetual student in life's classroom. "/>
    <s v="Curiosity leading me down the rabbit hole of knowledge, a perpetual student in life's classroom.."/>
    <s v=" Curiosity       "/>
    <x v="52"/>
    <d v="2022-10-08T08:15:00"/>
    <x v="6"/>
    <s v=" EternalLearner    "/>
    <s v="EternalLearner"/>
    <x v="1"/>
    <x v="1"/>
    <s v=" #Curiosity #KnowledgeQuest                "/>
    <n v="20"/>
    <n v="40"/>
    <s v=" USA          "/>
    <x v="0"/>
    <n v="2022"/>
    <x v="10"/>
    <n v="8"/>
    <n v="8"/>
    <x v="0"/>
  </r>
  <r>
    <s v=" Floating through the day with an air of indifference, detached from the mundane happenings around. "/>
    <s v="Floating through the day with an air of indifference, detached from the mundane happenings around.."/>
    <s v=" Indifference    "/>
    <x v="53"/>
    <d v="2023-03-22T16:30:00"/>
    <x v="3"/>
    <s v=" AloofObserver     "/>
    <s v="AloofObserver"/>
    <x v="2"/>
    <x v="2"/>
    <s v=" #Indifference #FloatingThroughLife        "/>
    <n v="10"/>
    <n v="20"/>
    <s v=" Canada        "/>
    <x v="1"/>
    <n v="2023"/>
    <x v="2"/>
    <n v="22"/>
    <n v="16"/>
    <x v="0"/>
  </r>
  <r>
    <s v=" Entangled in the web of thoughts, confusion reigning as I navigate the labyrinth of ideas. "/>
    <s v="Entangled in the web of thoughts, confusion reigning as I navigate the labyrinth of ideas.."/>
    <s v=" Confusion       "/>
    <x v="22"/>
    <d v="2021-05-15T11:45:00"/>
    <x v="6"/>
    <s v=" ThoughtExplorer   "/>
    <s v="ThoughtExplorer"/>
    <x v="0"/>
    <x v="0"/>
    <s v=" #Confusion #ThoughtLabyrinth              "/>
    <n v="15"/>
    <n v="30"/>
    <s v=" UK            "/>
    <x v="2"/>
    <n v="2021"/>
    <x v="3"/>
    <n v="15"/>
    <n v="11"/>
    <x v="0"/>
  </r>
  <r>
    <s v=" Numb to the chaos, emotions locked away, a stoic facade concealing the inner turmoil. "/>
    <s v="Numb to the chaos, emotions locked away, a stoic facade concealing the inner turmoil.."/>
    <s v=" Numbness        "/>
    <x v="54"/>
    <d v="2019-12-28T14:30:00"/>
    <x v="6"/>
    <s v=" StoicSoul         "/>
    <s v="StoicSoul"/>
    <x v="1"/>
    <x v="1"/>
    <s v=" #Numbness #StoicFacade                    "/>
    <n v="8"/>
    <n v="15"/>
    <s v=" Australia     "/>
    <x v="3"/>
    <n v="2019"/>
    <x v="11"/>
    <n v="28"/>
    <n v="14"/>
    <x v="0"/>
  </r>
  <r>
    <s v=" Melancholy whispers in the breeze, a silent conversation with the echoes of forgotten dreams. "/>
    <s v="Melancholy whispers in the breeze, a silent conversation with the echoes of forgotten dreams.."/>
    <s v=" Melancholy      "/>
    <x v="55"/>
    <d v="2020-03-01T19:00:00"/>
    <x v="0"/>
    <s v=" DreamerInSilence  "/>
    <s v="DreamerInSilence"/>
    <x v="2"/>
    <x v="2"/>
    <s v=" #Melancholy #WhispersInTheBreeze         "/>
    <n v="12"/>
    <n v="25"/>
    <s v=" India         "/>
    <x v="4"/>
    <n v="2020"/>
    <x v="2"/>
    <n v="1"/>
    <n v="19"/>
    <x v="0"/>
  </r>
  <r>
    <s v=" Stumbling upon an old journal, nostalgia flooding in waves, carrying me to moments long gone. "/>
    <s v="Stumbling upon an old journal, nostalgia flooding in waves, carrying me to moments long gone.."/>
    <s v=" Nostalgia       "/>
    <x v="56"/>
    <d v="2018-07-10T15:45:00"/>
    <x v="2"/>
    <s v=" JournalKeeper     "/>
    <s v="JournalKeeper"/>
    <x v="0"/>
    <x v="0"/>
    <s v=" #Nostalgia #JournalMoments               "/>
    <n v="10"/>
    <n v="20"/>
    <s v=" Canada        "/>
    <x v="1"/>
    <n v="2018"/>
    <x v="9"/>
    <n v="10"/>
    <n v="15"/>
    <x v="0"/>
  </r>
  <r>
    <s v=" A tapestry of conflicting feelings, weaving through uncertainty, caught in the threads of ambivalence. "/>
    <s v="A tapestry of conflicting feelings, weaving through uncertainty, caught in the threads of ambivalence.."/>
    <s v=" Ambivalence     "/>
    <x v="57"/>
    <d v="2022-01-05T10:30:00"/>
    <x v="3"/>
    <s v=" ThreadWeaver      "/>
    <s v="ThreadWeaver"/>
    <x v="1"/>
    <x v="1"/>
    <s v=" #Ambivalence #ConflictingFeelings        "/>
    <n v="12"/>
    <n v="25"/>
    <s v=" UK            "/>
    <x v="2"/>
    <n v="2022"/>
    <x v="0"/>
    <n v="5"/>
    <n v="10"/>
    <x v="0"/>
  </r>
  <r>
    <s v=" Embracing the flaws, finding acceptance in imperfection, a journey towards self-love. "/>
    <s v="Embracing the flaws, finding acceptance in imperfection, a journey towards self-love.."/>
    <s v=" Acceptance      "/>
    <x v="17"/>
    <d v="2021-08-20T16:20:00"/>
    <x v="5"/>
    <s v=" SelfLoveAdvocate  "/>
    <s v="SelfLoveAdvocate"/>
    <x v="2"/>
    <x v="2"/>
    <s v=" #Acceptance #SelfLoveJourney              "/>
    <n v="15"/>
    <n v="30"/>
    <s v=" Australia    "/>
    <x v="3"/>
    <n v="2021"/>
    <x v="4"/>
    <n v="20"/>
    <n v="16"/>
    <x v="0"/>
  </r>
  <r>
    <s v=" Determination burning like a wildfire, overcoming obstacles, turning dreams into reality. "/>
    <s v="Determination burning like a wildfire, overcoming obstacles, turning dreams into reality.."/>
    <s v=" Determination   "/>
    <x v="58"/>
    <d v="2019-11-03T13:45:00"/>
    <x v="0"/>
    <s v=" DreamChaser       "/>
    <s v="DreamChaser"/>
    <x v="0"/>
    <x v="0"/>
    <s v=" #Determination #DreamsIntoReality        "/>
    <n v="18"/>
    <n v="35"/>
    <s v=" USA          "/>
    <x v="0"/>
    <n v="2019"/>
    <x v="6"/>
    <n v="3"/>
    <n v="13"/>
    <x v="0"/>
  </r>
  <r>
    <s v=" Tranquil moments by the ocean, serenity washing over, a peaceful retreat within the waves' embrace. "/>
    <s v="Tranquil moments by the ocean, serenity washing over, a peaceful retreat within the waves' embrace.."/>
    <s v=" Serenity        "/>
    <x v="30"/>
    <d v="2020-04-12T19:30:00"/>
    <x v="0"/>
    <s v=" OceanSoul         "/>
    <s v="OceanSoul"/>
    <x v="1"/>
    <x v="1"/>
    <s v=" #Serenity #OceanRetreat                   "/>
    <n v="25"/>
    <n v="50"/>
    <s v=" Canada        "/>
    <x v="1"/>
    <n v="2020"/>
    <x v="7"/>
    <n v="12"/>
    <n v="19"/>
    <x v="0"/>
  </r>
  <r>
    <s v=" Exploring new horizons with the spark of curiosity, an adventurer in the vast landscape of knowledge. "/>
    <s v="Exploring new horizons with the spark of curiosity, an adventurer in the vast landscape of knowledge.."/>
    <s v=" Curiosity       "/>
    <x v="52"/>
    <d v="2022-04-15T08:45:00"/>
    <x v="5"/>
    <s v=" HorizonExplorer   "/>
    <s v="HorizonExplorer"/>
    <x v="2"/>
    <x v="2"/>
    <s v=" #Curiosity #NewHorizons                  "/>
    <n v="22"/>
    <n v="45"/>
    <s v=" India         "/>
    <x v="4"/>
    <n v="2022"/>
    <x v="7"/>
    <n v="15"/>
    <n v="8"/>
    <x v="0"/>
  </r>
  <r>
    <s v=" Drifting through the day with a nonchalant demeanor, embracing the art of indifference. "/>
    <s v="Drifting through the day with a nonchalant demeanor, embracing the art of indifference.."/>
    <s v=" Indifference    "/>
    <x v="53"/>
    <d v="2023-02-10T17:00:00"/>
    <x v="5"/>
    <s v=" NonchalantSpirit  "/>
    <s v="NonchalantSpirit"/>
    <x v="0"/>
    <x v="0"/>
    <s v=" #Indifference #DriftingThroughLife       "/>
    <n v="9"/>
    <n v="18"/>
    <s v=" UK            "/>
    <x v="2"/>
    <n v="2023"/>
    <x v="1"/>
    <n v="10"/>
    <n v="17"/>
    <x v="0"/>
  </r>
  <r>
    <s v=" Wrestling with thoughts, a perplexed mind lost in the labyrinth of life's complexities. "/>
    <s v="Wrestling with thoughts, a perplexed mind lost in the labyrinth of life's complexities.."/>
    <s v=" Confusion       "/>
    <x v="22"/>
    <d v="2020-08-05T12:15:00"/>
    <x v="3"/>
    <s v=" ComplexThinker    "/>
    <s v="ComplexThinker"/>
    <x v="1"/>
    <x v="1"/>
    <s v=" #Confusion #PerplexedMind                "/>
    <n v="14"/>
    <n v="28"/>
    <s v=" Australia    "/>
    <x v="3"/>
    <n v="2020"/>
    <x v="4"/>
    <n v="5"/>
    <n v="12"/>
    <x v="0"/>
  </r>
  <r>
    <s v=" Immersed in a state of emotional numbness, a shield against the storm of daily struggles. "/>
    <s v="Immersed in a state of emotional numbness, a shield against the storm of daily struggles.."/>
    <s v=" Numbness        "/>
    <x v="54"/>
    <d v="2021-12-01T15:30:00"/>
    <x v="3"/>
    <s v=" ShieldedHeart     "/>
    <s v="ShieldedHeart"/>
    <x v="2"/>
    <x v="2"/>
    <s v=" #Numbness #EmotionalShield               "/>
    <n v="10"/>
    <n v="20"/>
    <s v=" USA          "/>
    <x v="0"/>
    <n v="2021"/>
    <x v="11"/>
    <n v="1"/>
    <n v="15"/>
    <x v="0"/>
  </r>
  <r>
    <s v=" A melancholic symphony playing in the background, the soundtrack of a wistful heart. "/>
    <s v="A melancholic symphony playing in the background, the soundtrack of a wistful heart.."/>
    <s v=" Melancholy      "/>
    <x v="55"/>
    <d v="2019-03-25T21:00:00"/>
    <x v="1"/>
    <s v=" SymphonySoul      "/>
    <s v="SymphonySoul"/>
    <x v="0"/>
    <x v="0"/>
    <s v=" #Melancholy #WistfulHeart                "/>
    <n v="13"/>
    <n v="26"/>
    <s v=" Canada        "/>
    <x v="1"/>
    <n v="2019"/>
    <x v="2"/>
    <n v="25"/>
    <n v="21"/>
    <x v="0"/>
  </r>
  <r>
    <s v=" Flipping through the pages of an old yearbook, nostalgia painting smiles and tears on my face. "/>
    <s v="Flipping through the pages of an old yearbook, nostalgia painting smiles and tears on my face.."/>
    <s v=" Nostalgia       "/>
    <x v="56"/>
    <d v="2017-06-18T14:45:00"/>
    <x v="0"/>
    <s v=" YearbookExplorer  "/>
    <s v="YearbookExplorer"/>
    <x v="1"/>
    <x v="1"/>
    <s v=" #Nostalgia #YearbookMemories            "/>
    <n v="12"/>
    <n v="25"/>
    <s v=" India         "/>
    <x v="4"/>
    <n v="2017"/>
    <x v="5"/>
    <n v="18"/>
    <n v="14"/>
    <x v="0"/>
  </r>
  <r>
    <s v=" Torn between opposing emotions, an ambivalence that colors my decisions with shades of uncertainty. "/>
    <s v="Torn between opposing emotions, an ambivalence that colors my decisions with shades of uncertainty.."/>
    <s v=" Ambivalence     "/>
    <x v="57"/>
    <d v="2022-07-08T11:30:00"/>
    <x v="5"/>
    <s v=" DecisiveDilemma   "/>
    <s v="DecisiveDilemma"/>
    <x v="2"/>
    <x v="2"/>
    <s v=" #Ambivalence #ShadesOfUncertainty       "/>
    <n v="15"/>
    <n v="30"/>
    <s v=" Australia    "/>
    <x v="3"/>
    <n v="2022"/>
    <x v="9"/>
    <n v="8"/>
    <n v="11"/>
    <x v="0"/>
  </r>
  <r>
    <s v=" Embracing life's imperfections, finding acceptance in the journey, scars and all. "/>
    <s v="Embracing life's imperfections, finding acceptance in the journey, scars and all.."/>
    <s v=" Acceptance      "/>
    <x v="17"/>
    <d v="2023-05-15T16:20:00"/>
    <x v="1"/>
    <s v=" ImperfectHarmony  "/>
    <s v="ImperfectHarmony"/>
    <x v="0"/>
    <x v="0"/>
    <s v=" #Acceptance #ImperfectJourney            "/>
    <n v="18"/>
    <n v="36"/>
    <s v=" Canada        "/>
    <x v="1"/>
    <n v="2023"/>
    <x v="3"/>
    <n v="15"/>
    <n v="16"/>
    <x v="0"/>
  </r>
  <r>
    <s v=" A fiery determination burning within, fueled by the vision of reaching unparalleled heights. "/>
    <s v="A fiery determination burning within, fueled by the vision of reaching unparalleled heights.."/>
    <s v=" Determination   "/>
    <x v="58"/>
    <d v="2021-09-10T14:45:00"/>
    <x v="5"/>
    <s v=" VisionarySpirit   "/>
    <s v="VisionarySpirit"/>
    <x v="1"/>
    <x v="1"/>
    <s v=" #Determination #UnparalleledHeights      "/>
    <n v="20"/>
    <n v="40"/>
    <s v=" UK            "/>
    <x v="2"/>
    <n v="2021"/>
    <x v="8"/>
    <n v="10"/>
    <n v="14"/>
    <x v="0"/>
  </r>
  <r>
    <s v=" Basking in the serenity of a quiet forest, where the whispers of nature bring peace to the soul. "/>
    <s v="Basking in the serenity of a quiet forest, where the whispers of nature bring peace to the soul.."/>
    <s v=" Serenity        "/>
    <x v="30"/>
    <d v="2020-02-28T18:30:00"/>
    <x v="5"/>
    <s v=" ForestDreamer     "/>
    <s v="ForestDreamer"/>
    <x v="2"/>
    <x v="2"/>
    <s v=" #Serenity #NatureWhispers                "/>
    <n v="25"/>
    <n v="50"/>
    <s v=" USA          "/>
    <x v="0"/>
    <n v="2020"/>
    <x v="1"/>
    <n v="28"/>
    <n v="18"/>
    <x v="0"/>
  </r>
  <r>
    <s v=" Indifferent to the noise of the world, a silent observer in the midst of life's cacophony. "/>
    <s v="Indifferent to the noise of the world, a silent observer in the midst of life's cacophony.."/>
    <s v=" Indifference    "/>
    <x v="53"/>
    <d v="2023-03-10T16:30:00"/>
    <x v="5"/>
    <s v=" SilentSpectator   "/>
    <s v="SilentSpectator"/>
    <x v="1"/>
    <x v="1"/>
    <s v=" #Indifference #SilentObserver            "/>
    <n v="9"/>
    <n v="18"/>
    <s v=" India         "/>
    <x v="4"/>
    <n v="2023"/>
    <x v="2"/>
    <n v="10"/>
    <n v="16"/>
    <x v="0"/>
  </r>
  <r>
    <s v=" Navigating through the labyrinth of thoughts, confusion a constant companion in the maze of ideas. "/>
    <s v="Navigating through the labyrinth of thoughts, confusion a constant companion in the maze of ideas.."/>
    <s v=" Confusion       "/>
    <x v="22"/>
    <d v="2021-05-02T11:45:00"/>
    <x v="0"/>
    <s v=" MazeNavigator     "/>
    <s v="MazeNavigator"/>
    <x v="2"/>
    <x v="2"/>
    <s v=" #Confusion #ThoughtLabyrinth              "/>
    <n v="14"/>
    <n v="28"/>
    <s v=" Australia    "/>
    <x v="3"/>
    <n v="2021"/>
    <x v="3"/>
    <n v="2"/>
    <n v="11"/>
    <x v="0"/>
  </r>
  <r>
    <s v=" An impenetrable numbness shields me from the emotional storms, a fortress of stoic resilience. "/>
    <s v="An impenetrable numbness shields me from the emotional storms, a fortress of stoic resilience.."/>
    <s v=" Numbness        "/>
    <x v="54"/>
    <d v="2019-10-18T14:30:00"/>
    <x v="5"/>
    <s v=" ResilientFortress "/>
    <s v="ResilientFortress"/>
    <x v="0"/>
    <x v="0"/>
    <s v=" #Numbness #StoicResilience               "/>
    <n v="11"/>
    <n v="22"/>
    <s v=" UK            "/>
    <x v="2"/>
    <n v="2019"/>
    <x v="10"/>
    <n v="18"/>
    <n v="14"/>
    <x v="0"/>
  </r>
  <r>
    <s v=" Melancholy painting the world in hues of nostalgia, a canvas of bittersweet memories. "/>
    <s v="Melancholy painting the world in hues of nostalgia, a canvas of bittersweet memories.."/>
    <s v=" Melancholy      "/>
    <x v="55"/>
    <d v="2020-01-05T20:00:00"/>
    <x v="0"/>
    <s v=" CanvasDreamer     "/>
    <s v="CanvasDreamer"/>
    <x v="1"/>
    <x v="1"/>
    <s v=" #Melancholy #BittersweetMemories         "/>
    <n v="13"/>
    <n v="26"/>
    <s v=" USA          "/>
    <x v="0"/>
    <n v="2020"/>
    <x v="0"/>
    <n v="5"/>
    <n v="20"/>
    <x v="0"/>
  </r>
  <r>
    <s v=" A journey into the past, flipping through the pages of an old diary, nostalgia taking the lead. "/>
    <s v="A journey into the past, flipping through the pages of an old diary, nostalgia taking the lead.."/>
    <s v=" Nostalgia       "/>
    <x v="56"/>
    <d v="2018-08-10T15:45:00"/>
    <x v="5"/>
    <s v=" DiaryExplorer     "/>
    <s v="DiaryExplorer"/>
    <x v="2"/>
    <x v="2"/>
    <s v=" #Nostalgia #DiaryJourney                 "/>
    <n v="12"/>
    <n v="25"/>
    <s v=" Canada        "/>
    <x v="1"/>
    <n v="2018"/>
    <x v="4"/>
    <n v="10"/>
    <n v="15"/>
    <x v="0"/>
  </r>
  <r>
    <s v=" Ambivalence clouding decisions, caught in the crossroads of conflicting emotions. "/>
    <s v="Ambivalence clouding decisions, caught in the crossroads of conflicting emotions.."/>
    <s v=" Ambivalence     "/>
    <x v="57"/>
    <d v="2022-01-15T10:30:00"/>
    <x v="6"/>
    <s v=" CrossroadsTraveler "/>
    <s v="CrossroadsTraveler"/>
    <x v="0"/>
    <x v="0"/>
    <s v=" #Ambivalence #ConflictingEmotions        "/>
    <n v="15"/>
    <n v="30"/>
    <s v=" India         "/>
    <x v="4"/>
    <n v="2022"/>
    <x v="0"/>
    <n v="15"/>
    <n v="10"/>
    <x v="0"/>
  </r>
  <r>
    <s v=" Embracing imperfections, finding acceptance in the mosaic of life's beautiful chaos. "/>
    <s v="Embracing imperfections, finding acceptance in the mosaic of life's beautiful chaos.."/>
    <s v=" Acceptance      "/>
    <x v="17"/>
    <d v="2021-07-20T16:20:00"/>
    <x v="2"/>
    <s v=" MosaicDreamer     "/>
    <s v="MosaicDreamer"/>
    <x v="1"/>
    <x v="1"/>
    <s v=" #Acceptance #BeautifulChaos              "/>
    <n v="18"/>
    <n v="36"/>
    <s v=" Australia     "/>
    <x v="3"/>
    <n v="2021"/>
    <x v="9"/>
    <n v="20"/>
    <n v="16"/>
    <x v="0"/>
  </r>
  <r>
    <s v=" Determination as the driving force, propelling me forward on the path to extraordinary achievements. "/>
    <s v="Determination as the driving force, propelling me forward on the path to extraordinary achievements.."/>
    <s v=" Determination   "/>
    <x v="58"/>
    <d v="2019-12-03T13:45:00"/>
    <x v="2"/>
    <s v=" PathfinderSpirit  "/>
    <s v="PathfinderSpirit"/>
    <x v="2"/>
    <x v="2"/>
    <s v=" #Determination #ExtraordinaryPath        "/>
    <n v="20"/>
    <n v="40"/>
    <s v=" USA          "/>
    <x v="0"/>
    <n v="2019"/>
    <x v="11"/>
    <n v="3"/>
    <n v="13"/>
    <x v="0"/>
  </r>
  <r>
    <s v=" Seeking serenity in the melody of raindrops, a tranquil escape from the noise of everyday life. "/>
    <s v="Seeking serenity in the melody of raindrops, a tranquil escape from the noise of everyday life.."/>
    <s v=" Serenity        "/>
    <x v="30"/>
    <d v="2020-04-12T19:30:00"/>
    <x v="0"/>
    <s v=" RaindropHarmony   "/>
    <s v="RaindropHarmony"/>
    <x v="0"/>
    <x v="0"/>
    <s v=" #Serenity #RaindropMelody                "/>
    <n v="25"/>
    <n v="50"/>
    <s v=" Canada        "/>
    <x v="1"/>
    <n v="2020"/>
    <x v="7"/>
    <n v="12"/>
    <n v="19"/>
    <x v="0"/>
  </r>
  <r>
    <s v=" Curiosity driving the exploration of the unknown, a seeker of knowledge in uncharted territories. "/>
    <s v="Curiosity driving the exploration of the unknown, a seeker of knowledge in uncharted territories.."/>
    <s v=" Curiosity       "/>
    <x v="52"/>
    <d v="2022-05-08T08:45:00"/>
    <x v="0"/>
    <s v=" SeekerOfUnknowns  "/>
    <s v="SeekerOfUnknowns"/>
    <x v="1"/>
    <x v="1"/>
    <s v=" #Curiosity #SeekerOfKnowledge            "/>
    <n v="22"/>
    <n v="45"/>
    <s v=" UK            "/>
    <x v="2"/>
    <n v="2022"/>
    <x v="3"/>
    <n v="8"/>
    <n v="8"/>
    <x v="0"/>
  </r>
  <r>
    <s v=" Drifting through the day with an air of nonchalance, indifferent to the trivialities of life. "/>
    <s v="Drifting through the day with an air of nonchalance, indifferent to the trivialities of life.."/>
    <s v=" Indifference    "/>
    <x v="53"/>
    <d v="2023-02-22T17:00:00"/>
    <x v="3"/>
    <s v=" NonchalantWanderer"/>
    <s v="NonchalantWanderer"/>
    <x v="2"/>
    <x v="2"/>
    <s v=" #Indifference #DriftingThroughLife       "/>
    <n v="9"/>
    <n v="18"/>
    <s v=" India         "/>
    <x v="4"/>
    <n v="2023"/>
    <x v="1"/>
    <n v="22"/>
    <n v="17"/>
    <x v="0"/>
  </r>
  <r>
    <s v=" Lost in the labyrinth of thoughts, confusion casting shadows on the quest for clarity. "/>
    <s v="Lost in the labyrinth of thoughts, confusion casting shadows on the quest for clarity.."/>
    <s v=" Confusion       "/>
    <x v="22"/>
    <d v="2020-06-05T12:15:00"/>
    <x v="5"/>
    <s v=" ShadowedSeeker    "/>
    <s v="ShadowedSeeker"/>
    <x v="0"/>
    <x v="0"/>
    <s v=" #Confusion #LabyrinthOfThoughts          "/>
    <n v="14"/>
    <n v="28"/>
    <s v=" Australia    "/>
    <x v="3"/>
    <n v="2020"/>
    <x v="5"/>
    <n v="5"/>
    <n v="12"/>
    <x v="0"/>
  </r>
  <r>
    <s v=" Wrapped in the cloak of emotional numbness, a shield against the storms of life's turbulence. "/>
    <s v="Wrapped in the cloak of emotional numbness, a shield against the storms of life's turbulence.."/>
    <s v=" Numbness        "/>
    <x v="54"/>
    <d v="2021-11-30T15:30:00"/>
    <x v="2"/>
    <s v=" TurbulentShield   "/>
    <s v="TurbulentShield"/>
    <x v="1"/>
    <x v="1"/>
    <s v=" #Numbness #EmotionalStorms               "/>
    <n v="10"/>
    <n v="20"/>
    <s v=" Canada        "/>
    <x v="1"/>
    <n v="2021"/>
    <x v="6"/>
    <n v="30"/>
    <n v="15"/>
    <x v="0"/>
  </r>
  <r>
    <s v=" Melancholy as a companion, painting the canvas of life with the brushstrokes of wistful yearning. "/>
    <s v="Melancholy as a companion, painting the canvas of life with the brushstrokes of wistful yearning.."/>
    <s v=" Melancholy      "/>
    <x v="55"/>
    <d v="2019-02-25T21:00:00"/>
    <x v="1"/>
    <s v=" WistfulPainter    "/>
    <s v="WistfulPainter"/>
    <x v="2"/>
    <x v="2"/>
    <s v=" #Melancholy #WistfulYearning             "/>
    <n v="13"/>
    <n v="26"/>
    <s v=" UK            "/>
    <x v="2"/>
    <n v="2019"/>
    <x v="1"/>
    <n v="25"/>
    <n v="21"/>
    <x v="0"/>
  </r>
  <r>
    <s v=" Leafing through the pages of an old photo album, nostalgia weaving tales of laughter and tears. "/>
    <s v="Leafing through the pages of an old photo album, nostalgia weaving tales of laughter and tears.."/>
    <s v=" Nostalgia       "/>
    <x v="56"/>
    <d v="2017-05-18T14:45:00"/>
    <x v="4"/>
    <s v=" TaleWeaver        "/>
    <s v="TaleWeaver"/>
    <x v="0"/>
    <x v="0"/>
    <s v=" #Nostalgia #PhotoAlbumStories            "/>
    <n v="12"/>
    <n v="25"/>
    <s v=" USA          "/>
    <x v="0"/>
    <n v="2017"/>
    <x v="3"/>
    <n v="18"/>
    <n v="14"/>
    <x v="0"/>
  </r>
  <r>
    <s v=" Ambivalence in the air, caught between the crossroads of conflicting emotions and decisions. "/>
    <s v="Ambivalence in the air, caught between the crossroads of conflicting emotions and decisions.."/>
    <s v=" Ambivalence     "/>
    <x v="57"/>
    <d v="2022-08-05T11:30:00"/>
    <x v="5"/>
    <s v=" CrossroadsExplorer"/>
    <s v="CrossroadsExplorer"/>
    <x v="1"/>
    <x v="1"/>
    <s v=" #Ambivalence #CrossroadsConfusion        "/>
    <n v="15"/>
    <n v="30"/>
    <s v=" Canada        "/>
    <x v="1"/>
    <n v="2022"/>
    <x v="4"/>
    <n v="5"/>
    <n v="11"/>
    <x v="0"/>
  </r>
  <r>
    <s v=" Embracing the beauty in imperfections, finding acceptance in the mosaic of life's unpredictable art. "/>
    <s v="Embracing the beauty in imperfections, finding acceptance in the mosaic of life's unpredictable art.."/>
    <s v=" Acceptance      "/>
    <x v="17"/>
    <d v="2023-06-15T16:20:00"/>
    <x v="4"/>
    <s v=" MosaicArtist      "/>
    <s v="MosaicArtist"/>
    <x v="2"/>
    <x v="2"/>
    <s v=" #Acceptance #UnpredictableArt            "/>
    <n v="18"/>
    <n v="36"/>
    <s v=" Australia    "/>
    <x v="3"/>
    <n v="2023"/>
    <x v="5"/>
    <n v="15"/>
    <n v="16"/>
    <x v="0"/>
  </r>
  <r>
    <s v=" Determination ablaze, forging a path through challenges, sculpting dreams into tangible realities. "/>
    <s v="Determination ablaze, forging a path through challenges, sculpting dreams into tangible realities.."/>
    <s v=" Determination   "/>
    <x v="58"/>
    <d v="2021-10-10T14:45:00"/>
    <x v="0"/>
    <s v=" DreamSculptor     "/>
    <s v="DreamSculptor"/>
    <x v="0"/>
    <x v="0"/>
    <s v=" #Determination #SculptingDreams          "/>
    <n v="20"/>
    <n v="40"/>
    <s v=" UK            "/>
    <x v="2"/>
    <n v="2021"/>
    <x v="10"/>
    <n v="10"/>
    <n v="14"/>
    <x v="0"/>
  </r>
  <r>
    <s v=" Immerse in the serenity of a moonlit night, where the quiet whispers of nature bring peace to the soul. "/>
    <s v="Immerse in the serenity of a moonlit night, where the quiet whispers of nature bring peace to the soul.."/>
    <s v=" Serenity        "/>
    <x v="30"/>
    <d v="2020-05-12T19:30:00"/>
    <x v="2"/>
    <s v=" MoonlitSoul       "/>
    <s v="MoonlitSoul"/>
    <x v="1"/>
    <x v="1"/>
    <s v=" #Serenity #MoonlitPeace                  "/>
    <n v="25"/>
    <n v="50"/>
    <s v=" USA          "/>
    <x v="0"/>
    <n v="2020"/>
    <x v="3"/>
    <n v="12"/>
    <n v="19"/>
    <x v="0"/>
  </r>
  <r>
    <s v=" Fueled by curiosity, venturing into uncharted realms, a fearless explorer of the mysteries of the world. "/>
    <s v="Fueled by curiosity, venturing into uncharted realms, a fearless explorer of the mysteries of the world.."/>
    <s v=" Curiosity       "/>
    <x v="52"/>
    <d v="2022-12-01T09:15:00"/>
    <x v="4"/>
    <s v=" FearlessExplorer  "/>
    <s v="FearlessExplorer"/>
    <x v="2"/>
    <x v="2"/>
    <s v=" #Curiosity #FearlessExplorer              "/>
    <n v="22"/>
    <n v="44"/>
    <s v=" India         "/>
    <x v="4"/>
    <n v="2022"/>
    <x v="11"/>
    <n v="1"/>
    <n v="9"/>
    <x v="0"/>
  </r>
  <r>
    <s v="Wrapped in the cloak of emotional numbness, a shield against the storms of life's turbulence. "/>
    <s v="Wrapped in the cloak of emotional numbness, a shield against the storms of life's turbulence.."/>
    <s v=" Numbness "/>
    <x v="54"/>
    <d v="2021-11-30T15:30:00"/>
    <x v="2"/>
    <s v=" TurbulentShield "/>
    <s v="TurbulentShield"/>
    <x v="1"/>
    <x v="1"/>
    <s v=" #Numbness #EmotionalStorms "/>
    <n v="10"/>
    <n v="20"/>
    <s v=" Canada "/>
    <x v="1"/>
    <n v="2021"/>
    <x v="6"/>
    <n v="30"/>
    <n v="15"/>
    <x v="0"/>
  </r>
  <r>
    <s v=" Dancing through life with the exuberance of a carefree spirit, embracing joy and zest at every turn. "/>
    <s v="Dancing through life with the exuberance of a carefree spirit, embracing joy and zest at every turn.."/>
    <s v=" Zest "/>
    <x v="59"/>
    <d v="2018-07-12T17:45:00"/>
    <x v="4"/>
    <s v=" JoyfulDancer "/>
    <s v="JoyfulDancer"/>
    <x v="3"/>
    <x v="0"/>
    <s v=" #Zest #CarefreeSpirit "/>
    <n v="15"/>
    <n v="30"/>
    <s v=" USA "/>
    <x v="0"/>
    <n v="2018"/>
    <x v="9"/>
    <n v="12"/>
    <n v="17"/>
    <x v="0"/>
  </r>
  <r>
    <s v=" Basking in the golden glow of contentment, a serene river flowing through the landscape of the heart. "/>
    <s v="Basking in the golden glow of contentment, a serene river flowing through the landscape of the heart.."/>
    <s v=" Contentment "/>
    <x v="29"/>
    <d v="2020-09-05T20:10:00"/>
    <x v="6"/>
    <s v=" SereneBasker "/>
    <s v="SereneBasker"/>
    <x v="2"/>
    <x v="2"/>
    <s v=" #Contentment #GoldenGlow "/>
    <n v="18"/>
    <n v="36"/>
    <s v=" Australia "/>
    <x v="3"/>
    <n v="2020"/>
    <x v="8"/>
    <n v="5"/>
    <n v="20"/>
    <x v="0"/>
  </r>
  <r>
    <s v=" Gazing towards the horizon with hopeful eyes, painting a canvas of dreams illuminated by the sun of optimism. "/>
    <s v="Gazing towards the horizon with hopeful eyes, painting a canvas of dreams illuminated by the sun of optimism.."/>
    <s v=" Hopeful "/>
    <x v="60"/>
    <d v="2022-04-18T08:00:00"/>
    <x v="1"/>
    <s v=" DreamPainter "/>
    <s v="DreamPainter"/>
    <x v="1"/>
    <x v="1"/>
    <s v=" #Hopeful #CanvasOfDreams "/>
    <n v="12"/>
    <n v="24"/>
    <s v=" India "/>
    <x v="4"/>
    <n v="2022"/>
    <x v="7"/>
    <n v="18"/>
    <n v="8"/>
    <x v="0"/>
  </r>
  <r>
    <s v=" Standing tall, proud as an oak, the branches of achievement reaching towards the sky of accomplishment. "/>
    <s v="Standing tall, proud as an oak, the branches of achievement reaching towards the sky of accomplishment.."/>
    <s v=" Proud "/>
    <x v="61"/>
    <d v="2019-12-10T12:20:00"/>
    <x v="2"/>
    <s v=" OakAchiever "/>
    <s v="OakAchiever"/>
    <x v="3"/>
    <x v="0"/>
    <s v=" #Proud #BranchesOfAchievement "/>
    <n v="25"/>
    <n v="50"/>
    <s v=" Canada "/>
    <x v="1"/>
    <n v="2019"/>
    <x v="11"/>
    <n v="10"/>
    <n v="12"/>
    <x v="0"/>
  </r>
  <r>
    <s v=" A heart overflowing with gratitude, a garden where appreciation blooms in the soil of kindness and connection. "/>
    <s v="A heart overflowing with gratitude, a garden where appreciation blooms in the soil of kindness and connection.."/>
    <s v=" Grateful "/>
    <x v="62"/>
    <d v="2023-02-28T09:45:00"/>
    <x v="2"/>
    <s v=" HeartGardener "/>
    <s v="HeartGardener"/>
    <x v="2"/>
    <x v="2"/>
    <s v=" #Grateful #BlossomingConnection "/>
    <n v="20"/>
    <n v="40"/>
    <s v=" USA "/>
    <x v="0"/>
    <n v="2023"/>
    <x v="1"/>
    <n v="28"/>
    <n v="9"/>
    <x v="0"/>
  </r>
  <r>
    <s v=" Extending a hand, empathetic threads weaving a tapestry of understanding, embracing the joys and sorrows of others. "/>
    <s v="Extending a hand, empathetic threads weaving a tapestry of understanding, embracing the joys and sorrows of others.."/>
    <s v=" Empathetic "/>
    <x v="63"/>
    <d v="2018-04-03T14:15:00"/>
    <x v="2"/>
    <s v=" ThreadWeaver "/>
    <s v="ThreadWeaver"/>
    <x v="1"/>
    <x v="1"/>
    <s v=" #Empathetic #TapestryOfUnderstanding "/>
    <n v="15"/>
    <n v="30"/>
    <s v=" UK "/>
    <x v="2"/>
    <n v="2018"/>
    <x v="7"/>
    <n v="3"/>
    <n v="14"/>
    <x v="0"/>
  </r>
  <r>
    <s v=" Compassionate clouds, heavy with care, showering empathy on the parched grounds of human suffering. "/>
    <s v="Compassionate clouds, heavy with care, showering empathy on the parched grounds of human suffering.."/>
    <s v=" Compassionate "/>
    <x v="64"/>
    <d v="2022-06-20T10:30:00"/>
    <x v="1"/>
    <s v=" CloudCaretaker "/>
    <s v="CloudCaretaker"/>
    <x v="3"/>
    <x v="0"/>
    <s v=" #Compassionate #ShowerOfEmpathy "/>
    <n v="18"/>
    <n v="36"/>
    <s v=" Australia "/>
    <x v="3"/>
    <n v="2022"/>
    <x v="5"/>
    <n v="20"/>
    <n v="10"/>
    <x v="0"/>
  </r>
  <r>
    <s v=" Playfully dancing in the rain of laughter, a whimsical spirit twirling in the puddles of joy and lightheartedness. "/>
    <s v="Playfully dancing in the rain of laughter, a whimsical spirit twirling in the puddles of joy and lightheartedness.."/>
    <s v=" Playful "/>
    <x v="65"/>
    <d v="2020-07-08T18:00:00"/>
    <x v="3"/>
    <s v=" RainDancer "/>
    <s v="RainDancer"/>
    <x v="2"/>
    <x v="2"/>
    <s v=" #Playful #DanceInTheRain "/>
    <n v="22"/>
    <n v="44"/>
    <s v=" Canada "/>
    <x v="1"/>
    <n v="2020"/>
    <x v="9"/>
    <n v="8"/>
    <n v="18"/>
    <x v="0"/>
  </r>
  <r>
    <s v=" Soaring on the wings of a free spirit, unburdened by the chains of conformity, painting the sky with independence. "/>
    <s v="Soaring on the wings of a free spirit, unburdened by the chains of conformity, painting the sky with independence.."/>
    <s v=" Free-spirited "/>
    <x v="66"/>
    <d v="2021-08-15T11:10:00"/>
    <x v="0"/>
    <s v=" SkyPainter "/>
    <s v="SkyPainter"/>
    <x v="1"/>
    <x v="1"/>
    <s v=" #FreeSpirit #PaintingTheSky "/>
    <n v="20"/>
    <n v="40"/>
    <s v=" India "/>
    <x v="4"/>
    <n v="2021"/>
    <x v="4"/>
    <n v="15"/>
    <n v="11"/>
    <x v="0"/>
  </r>
  <r>
    <s v=" Bathed in the glow of inspiration, a creative phoenix rising from the ashes of ordinary thoughts to explore new realms. "/>
    <s v="Bathed in the glow of inspiration, a creative phoenix rising from the ashes of ordinary thoughts to explore new realms.."/>
    <s v=" Inspired "/>
    <x v="67"/>
    <d v="2019-10-25T16:50:00"/>
    <x v="5"/>
    <s v=" PhoenixExplorer "/>
    <s v="PhoenixExplorer"/>
    <x v="3"/>
    <x v="0"/>
    <s v=" #Inspired #CreativePhoenix "/>
    <n v="15"/>
    <n v="30"/>
    <s v=" UK "/>
    <x v="2"/>
    <n v="2019"/>
    <x v="10"/>
    <n v="25"/>
    <n v="16"/>
    <x v="0"/>
  </r>
  <r>
    <s v=" Navigating the sea of hope, sailing towards the sunrise of possibilities, confident in the ship of positive anticipation. "/>
    <s v="Navigating the sea of hope, sailing towards the sunrise of possibilities, confident in the ship of positive anticipation.."/>
    <s v=" Hopeful "/>
    <x v="60"/>
    <d v="2023-10-05T07:30:00"/>
    <x v="4"/>
    <s v=" SunriseNavigator "/>
    <s v="SunriseNavigator"/>
    <x v="2"/>
    <x v="2"/>
    <s v=" #Hopeful #SunriseOfPossibilities "/>
    <n v="12"/>
    <n v="24"/>
    <s v=" USA "/>
    <x v="0"/>
    <n v="2023"/>
    <x v="10"/>
    <n v="5"/>
    <n v="7"/>
    <x v="0"/>
  </r>
  <r>
    <s v=" Striding with confidence, footprints of self-assuredness imprinted on the sands of challenges conquered and victories claimed. "/>
    <s v="Striding with confidence, footprints of self-assuredness imprinted on the sands of challenges conquered and victories claimed.."/>
    <s v=" Confident "/>
    <x v="68"/>
    <d v="2022-02-15T13:15:00"/>
    <x v="2"/>
    <s v=" SandStrider "/>
    <s v="SandStrider"/>
    <x v="1"/>
    <x v="1"/>
    <s v=" #Confident #FootprintsOfAssuredness "/>
    <n v="25"/>
    <n v="50"/>
    <s v=" Australia "/>
    <x v="3"/>
    <n v="2022"/>
    <x v="1"/>
    <n v="15"/>
    <n v="13"/>
    <x v="0"/>
  </r>
  <r>
    <s v=" Lost in the symphony of the night, a moonlit serenade that whispers tales of wanderlust and moonlit dreams. "/>
    <s v="Lost in the symphony of the night, a moonlit serenade that whispers tales of wanderlust and moonlit dreams.."/>
    <s v=" Serenity "/>
    <x v="30"/>
    <d v="2021-05-08T22:00:00"/>
    <x v="6"/>
    <s v=" NightSerenader "/>
    <s v="NightSerenader"/>
    <x v="3"/>
    <x v="0"/>
    <s v=" #Serenity #MoonlitSerenade "/>
    <n v="13"/>
    <n v="26"/>
    <s v=" Canada "/>
    <x v="1"/>
    <n v="2021"/>
    <x v="3"/>
    <n v="8"/>
    <n v="22"/>
    <x v="0"/>
  </r>
  <r>
    <s v=" Unveiling the layers of curiosity, a labyrinth of questions leading to the treasure troves of undiscovered knowledge. "/>
    <s v="Unveiling the layers of curiosity, a labyrinth of questions leading to the treasure troves of undiscovered knowledge.."/>
    <s v=" Curiosity "/>
    <x v="52"/>
    <d v="2020-11-29T14:45:00"/>
    <x v="0"/>
    <s v=" KnowledgeSeeker "/>
    <s v="KnowledgeSeeker"/>
    <x v="1"/>
    <x v="1"/>
    <s v=" #Curiosity #LabyrinthOfQuestions "/>
    <n v="17"/>
    <n v="34"/>
    <s v=" USA "/>
    <x v="0"/>
    <n v="2020"/>
    <x v="6"/>
    <n v="29"/>
    <n v="14"/>
    <x v="0"/>
  </r>
  <r>
    <s v=" In the embrace of the autumn breeze, leaves of ambivalence dancing in a waltz between choices and uncertainties. "/>
    <s v="In the embrace of the autumn breeze, leaves of ambivalence dancing in a waltz between choices and uncertainties.."/>
    <s v=" Ambivalence "/>
    <x v="57"/>
    <d v="2019-09-14T10:20:00"/>
    <x v="6"/>
    <s v=" BreezeWaltzer "/>
    <s v="BreezeWaltzer"/>
    <x v="2"/>
    <x v="2"/>
    <s v=" #Ambivalence #AutumnWaltz "/>
    <n v="14"/>
    <n v="28"/>
    <s v=" UK "/>
    <x v="2"/>
    <n v="2019"/>
    <x v="8"/>
    <n v="14"/>
    <n v="10"/>
    <x v="0"/>
  </r>
  <r>
    <s v=" Gratitude as a guiding star, navigating the constellation of blessings in the vast universe of life's precious moments. "/>
    <s v="Gratitude as a guiding star, navigating the constellation of blessings in the vast universe of life's precious moments.."/>
    <s v=" Grateful "/>
    <x v="62"/>
    <d v="2022-03-12T19:55:00"/>
    <x v="6"/>
    <s v=" StarNavigator "/>
    <s v="StarNavigator"/>
    <x v="3"/>
    <x v="0"/>
    <s v=" #Grateful #GuidingStar "/>
    <n v="19"/>
    <n v="38"/>
    <s v=" Australia "/>
    <x v="3"/>
    <n v="2022"/>
    <x v="2"/>
    <n v="12"/>
    <n v="19"/>
    <x v="0"/>
  </r>
  <r>
    <s v=" With a zestful heart, sprinting through fields of enthusiasm, chasing sunbeams and laughter in the meadows of joy. "/>
    <s v="With a zestful heart, sprinting through fields of enthusiasm, chasing sunbeams and laughter in the meadows of joy.."/>
    <s v=" Zest "/>
    <x v="59"/>
    <d v="2023-03-30T16:30:00"/>
    <x v="4"/>
    <s v=" MeadowSprinter "/>
    <s v="MeadowSprinter"/>
    <x v="1"/>
    <x v="1"/>
    <s v=" #Zest #FieldsOfEnthusiasm "/>
    <n v="16"/>
    <n v="32"/>
    <s v=" India "/>
    <x v="4"/>
    <n v="2023"/>
    <x v="2"/>
    <n v="30"/>
    <n v="16"/>
    <x v="0"/>
  </r>
  <r>
    <s v=" A compassionate rain, tears of empathy falling gently, nurturing the seeds of kindness in the garden of human connections. "/>
    <s v="A compassionate rain, tears of empathy falling gently, nurturing the seeds of kindness in the garden of human connections.."/>
    <s v=" Compassionate "/>
    <x v="64"/>
    <d v="2021-07-01T12:10:00"/>
    <x v="4"/>
    <s v=" RainNurturer "/>
    <s v="RainNurturer"/>
    <x v="2"/>
    <x v="2"/>
    <s v=" #Compassionate #TearsOfEmpathy "/>
    <n v="21"/>
    <n v="42"/>
    <s v=" Canada "/>
    <x v="1"/>
    <n v="2021"/>
    <x v="9"/>
    <n v="1"/>
    <n v="12"/>
    <x v="0"/>
  </r>
  <r>
    <s v=" Proudly scaling the peaks of achievement, a mountaineer conquering challenges and planting the flag of success. "/>
    <s v="Proudly scaling the peaks of achievement, a mountaineer conquering challenges and planting the flag of success.."/>
    <s v=" Proud "/>
    <x v="61"/>
    <d v="2020-01-05T08:45:00"/>
    <x v="0"/>
    <s v=" PeakConqueror "/>
    <s v="PeakConqueror"/>
    <x v="3"/>
    <x v="0"/>
    <s v=" #Proud #ScalingPeaks "/>
    <n v="23"/>
    <n v="46"/>
    <s v=" USA "/>
    <x v="0"/>
    <n v="2020"/>
    <x v="0"/>
    <n v="5"/>
    <n v="8"/>
    <x v="0"/>
  </r>
  <r>
    <s v=" Embraced by the hopeful dawn, a gardener sowing seeds of optimism, tending to the blooms of a brighter tomorrow. "/>
    <s v="Embraced by the hopeful dawn, a gardener sowing seeds of optimism, tending to the blooms of a brighter tomorrow.."/>
    <s v=" Hopeful "/>
    <x v="60"/>
    <d v="2022-07-17T06:15:00"/>
    <x v="0"/>
    <s v=" DawnGardener "/>
    <s v="DawnGardener"/>
    <x v="1"/>
    <x v="1"/>
    <s v=" #Hopeful #SeedsOfOptimism "/>
    <n v="14"/>
    <n v="28"/>
    <s v=" UK "/>
    <x v="2"/>
    <n v="2022"/>
    <x v="9"/>
    <n v="17"/>
    <n v="6"/>
    <x v="0"/>
  </r>
  <r>
    <s v=" A playful escapade in the carnival of life, carousel laughter and cotton candy dreams swirling in the joyous atmosphere. "/>
    <s v="A playful escapade in the carnival of life, carousel laughter and cotton candy dreams swirling in the joyous atmosphere.."/>
    <s v=" Playful "/>
    <x v="65"/>
    <d v="2018-08-22T17:20:00"/>
    <x v="3"/>
    <s v=" CarnivalDreamer "/>
    <s v="CarnivalDreamer"/>
    <x v="2"/>
    <x v="2"/>
    <s v=" #Playful #CarnivalEscapade "/>
    <n v="24"/>
    <n v="48"/>
    <s v=" Australia "/>
    <x v="3"/>
    <n v="2018"/>
    <x v="4"/>
    <n v="22"/>
    <n v="17"/>
    <x v="0"/>
  </r>
  <r>
    <s v=" Floating on clouds of inspiration, an artist painting the sky with strokes of creativity, creating a masterpiece of dreams. "/>
    <s v="Floating on clouds of inspiration, an artist painting the sky with strokes of creativity, creating a masterpiece of dreams.."/>
    <s v=" Inspired "/>
    <x v="67"/>
    <d v="2021-12-08T14:30:00"/>
    <x v="3"/>
    <s v=" SkyArtist "/>
    <s v="SkyArtist"/>
    <x v="3"/>
    <x v="0"/>
    <s v=" #Inspired #CloudsOfCreativity "/>
    <n v="18"/>
    <n v="36"/>
    <s v=" India "/>
    <x v="4"/>
    <n v="2021"/>
    <x v="11"/>
    <n v="8"/>
    <n v="14"/>
    <x v="0"/>
  </r>
  <r>
    <s v=" Navigating the river of contentment, a serene boat cruise through the tranquil waters of inner peace and acceptance. "/>
    <s v="Navigating the river of contentment, a serene boat cruise through the tranquil waters of inner peace and acceptance.."/>
    <s v=" Contentment "/>
    <x v="29"/>
    <d v="2019-04-27T09:50:00"/>
    <x v="6"/>
    <s v=" RiverNavigator "/>
    <s v="RiverNavigator"/>
    <x v="1"/>
    <x v="1"/>
    <s v=" #Contentment #TranquilWaters "/>
    <n v="20"/>
    <n v="40"/>
    <s v=" Canada "/>
    <x v="1"/>
    <n v="2019"/>
    <x v="7"/>
    <n v="27"/>
    <n v="9"/>
    <x v="0"/>
  </r>
  <r>
    <s v=" With empathy as a lantern, wandering through the dark alleys of sorrow, illuminating the path with compassion and care. "/>
    <s v="With empathy as a lantern, wandering through the dark alleys of sorrow, illuminating the path with compassion and care.."/>
    <s v=" Empathetic "/>
    <x v="63"/>
    <d v="2023-09-03T21:40:00"/>
    <x v="0"/>
    <s v=" LanternWanderer "/>
    <s v="LanternWanderer"/>
    <x v="2"/>
    <x v="2"/>
    <s v=" #Empathetic #LanternOfCompassion "/>
    <n v="16"/>
    <n v="32"/>
    <s v=" USA "/>
    <x v="0"/>
    <n v="2023"/>
    <x v="8"/>
    <n v="3"/>
    <n v="21"/>
    <x v="0"/>
  </r>
  <r>
    <s v=" A free spirit soaring on the wings of dreams, leaving trails of independence in the azure sky of boundless possibilities. "/>
    <s v="A free spirit soaring on the wings of dreams, leaving trails of independence in the azure sky of boundless possibilities.."/>
    <s v=" Free-spirited "/>
    <x v="66"/>
    <d v="2020-06-10T10:05:00"/>
    <x v="3"/>
    <s v=" DreamSoarer "/>
    <s v="DreamSoarer"/>
    <x v="3"/>
    <x v="0"/>
    <s v=" #FreeSpirit #WingsOfDreams "/>
    <n v="22"/>
    <n v="44"/>
    <s v=" UK "/>
    <x v="2"/>
    <n v="2020"/>
    <x v="5"/>
    <n v="10"/>
    <n v="10"/>
    <x v="0"/>
  </r>
  <r>
    <s v=" Bathed in the golden hues of gratefulness, a sunset of appreciation casting its warm glow on the landscapes of the heart. "/>
    <s v="Bathed in the golden hues of gratefulness, a sunset of appreciation casting its warm glow on the landscapes of the heart.."/>
    <s v=" Grateful "/>
    <x v="62"/>
    <d v="2022-04-01T18:30:00"/>
    <x v="5"/>
    <s v=" SunsetAdmirer "/>
    <s v="SunsetAdmirer"/>
    <x v="1"/>
    <x v="1"/>
    <s v=" #Grateful #GoldenHues "/>
    <n v="19"/>
    <n v="38"/>
    <s v=" Australia "/>
    <x v="3"/>
    <n v="2022"/>
    <x v="7"/>
    <n v="1"/>
    <n v="18"/>
    <x v="0"/>
  </r>
  <r>
    <s v=" Confident strides in the dance of life, a ballroom where self-assuredness leads, twirling through challenges with grace. "/>
    <s v="Confident strides in the dance of life, a ballroom where self-assuredness leads, twirling through challenges with grace.."/>
    <s v=" Confident "/>
    <x v="68"/>
    <d v="2021-01-15T13:00:00"/>
    <x v="5"/>
    <s v=" DanceStrider "/>
    <s v="DanceStrider"/>
    <x v="2"/>
    <x v="2"/>
    <s v=" #Confident #DanceOfLife "/>
    <n v="23"/>
    <n v="46"/>
    <s v=" Canada "/>
    <x v="1"/>
    <n v="2021"/>
    <x v="0"/>
    <n v="15"/>
    <n v="13"/>
    <x v="0"/>
  </r>
  <r>
    <s v=" Hopeful whispers of wind, carrying the promises of a brighter tomorrow, a symphony of optimism in the air of possibilities. "/>
    <s v="Hopeful whispers of wind, carrying the promises of a brighter tomorrow, a symphony of optimism in the air of possibilities.."/>
    <s v=" Hopeful "/>
    <x v="60"/>
    <d v="2023-05-06T07:20:00"/>
    <x v="6"/>
    <s v=" WindWhisperer "/>
    <s v="WindWhisperer"/>
    <x v="3"/>
    <x v="0"/>
    <s v=" #Hopeful #BrighterTomorrows "/>
    <n v="15"/>
    <n v="30"/>
    <s v=" India "/>
    <x v="4"/>
    <n v="2023"/>
    <x v="3"/>
    <n v="6"/>
    <n v="7"/>
    <x v="0"/>
  </r>
  <r>
    <s v=" Playfully juggling responsibilities, a circus performer balancing the acts of work and joy, tossing laughter into the air. "/>
    <s v="Playfully juggling responsibilities, a circus performer balancing the acts of work and joy, tossing laughter into the air.."/>
    <s v=" Playful "/>
    <x v="65"/>
    <d v="2019-11-18T15:15:00"/>
    <x v="1"/>
    <s v=" JugglingArtist "/>
    <s v="JugglingArtist"/>
    <x v="1"/>
    <x v="1"/>
    <s v=" #Playful #JugglingResponsibilities "/>
    <n v="25"/>
    <n v="50"/>
    <s v=" USA "/>
    <x v="0"/>
    <n v="2019"/>
    <x v="6"/>
    <n v="18"/>
    <n v="15"/>
    <x v="0"/>
  </r>
  <r>
    <s v=" Whispering tales of inspiration to the stars, a storyteller crafting constellations from the threads of imagination. "/>
    <s v="Whispering tales of inspiration to the stars, a storyteller crafting constellations from the threads of imagination.."/>
    <s v=" Inspired "/>
    <x v="67"/>
    <d v="2020-08-29T20:45:00"/>
    <x v="6"/>
    <s v=" StarStoryteller "/>
    <s v="StarStoryteller"/>
    <x v="2"/>
    <x v="2"/>
    <s v=" #Inspired #TalesToTheStars "/>
    <n v="14"/>
    <n v="28"/>
    <s v=" UK "/>
    <x v="2"/>
    <n v="2020"/>
    <x v="4"/>
    <n v="29"/>
    <n v="20"/>
    <x v="0"/>
  </r>
  <r>
    <s v=" Charting a course through the waves of hopeful anticipation, a sailor steering towards the shores of dreams yet unexplored. "/>
    <s v="Charting a course through the waves of hopeful anticipation, a sailor steering towards the shores of dreams yet unexplored.."/>
    <s v=" Hopeful "/>
    <x v="60"/>
    <d v="2022-10-30T11:40:00"/>
    <x v="0"/>
    <s v=" WaveNavigator "/>
    <s v="WaveNavigator"/>
    <x v="3"/>
    <x v="0"/>
    <s v=" #Hopeful #SailorOfDreams "/>
    <n v="17"/>
    <n v="34"/>
    <s v=" Australia "/>
    <x v="3"/>
    <n v="2022"/>
    <x v="10"/>
    <n v="30"/>
    <n v="11"/>
    <x v="0"/>
  </r>
  <r>
    <s v=" A compassionate rain, tears of empathy falling gently, nurturing the seeds of kindness in the garden of human connections. "/>
    <s v="A compassionate rain, tears of empathy falling gently, nurturing the seeds of kindness in the garden of human connections.."/>
    <s v=" Compassionate "/>
    <x v="64"/>
    <d v="2021-07-01T12:10:00"/>
    <x v="4"/>
    <s v=" RainNurturer "/>
    <s v="RainNurturer"/>
    <x v="1"/>
    <x v="1"/>
    <s v=" #Compassionate #TearsOfEmpathy "/>
    <n v="21"/>
    <n v="42"/>
    <s v=" Canada "/>
    <x v="1"/>
    <n v="2021"/>
    <x v="9"/>
    <n v="1"/>
    <n v="12"/>
    <x v="0"/>
  </r>
  <r>
    <s v=" Proudly scaling the peaks of achievement, a mountaineer conquering challenges and planting the flag of success. "/>
    <s v="Proudly scaling the peaks of achievement, a mountaineer conquering challenges and planting the flag of success.."/>
    <s v=" Proud "/>
    <x v="61"/>
    <d v="2020-01-05T08:45:00"/>
    <x v="0"/>
    <s v=" PeakConqueror "/>
    <s v="PeakConqueror"/>
    <x v="3"/>
    <x v="0"/>
    <s v=" #Proud #ScalingPeaks "/>
    <n v="23"/>
    <n v="46"/>
    <s v=" USA "/>
    <x v="0"/>
    <n v="2020"/>
    <x v="0"/>
    <n v="5"/>
    <n v="8"/>
    <x v="0"/>
  </r>
  <r>
    <s v=" Embraced by the hopeful dawn, a gardener sowing seeds of optimism, tending to the blooms of a brighter tomorrow. "/>
    <s v="Embraced by the hopeful dawn, a gardener sowing seeds of optimism, tending to the blooms of a brighter tomorrow.."/>
    <s v=" Hopeful "/>
    <x v="60"/>
    <d v="2022-07-17T06:15:00"/>
    <x v="0"/>
    <s v=" DawnGardener "/>
    <s v="DawnGardener"/>
    <x v="1"/>
    <x v="1"/>
    <s v=" #Hopeful #SeedsOfOptimism "/>
    <n v="14"/>
    <n v="28"/>
    <s v=" UK "/>
    <x v="2"/>
    <n v="2022"/>
    <x v="9"/>
    <n v="17"/>
    <n v="6"/>
    <x v="0"/>
  </r>
  <r>
    <s v=" A playful escapade in the carnival of life, carousel laughter and cotton candy dreams swirling in the joyous atmosphere. "/>
    <s v="A playful escapade in the carnival of life, carousel laughter and cotton candy dreams swirling in the joyous atmosphere.."/>
    <s v=" Playful "/>
    <x v="65"/>
    <d v="2018-08-22T17:20:00"/>
    <x v="3"/>
    <s v=" CarnivalDreamer "/>
    <s v="CarnivalDreamer"/>
    <x v="2"/>
    <x v="2"/>
    <s v=" #Playful #CarnivalEscapade "/>
    <n v="24"/>
    <n v="48"/>
    <s v=" Australia "/>
    <x v="3"/>
    <n v="2018"/>
    <x v="4"/>
    <n v="22"/>
    <n v="17"/>
    <x v="0"/>
  </r>
  <r>
    <s v=" Floating on clouds of inspiration, an artist painting the sky with strokes of creativity, creating a masterpiece of dreams. "/>
    <s v="Floating on clouds of inspiration, an artist painting the sky with strokes of creativity, creating a masterpiece of dreams.."/>
    <s v=" Inspired "/>
    <x v="67"/>
    <d v="2021-12-08T14:30:00"/>
    <x v="3"/>
    <s v=" SkyArtist "/>
    <s v="SkyArtist"/>
    <x v="3"/>
    <x v="0"/>
    <s v=" #Inspired #CloudsOfCreativity "/>
    <n v="18"/>
    <n v="36"/>
    <s v=" India "/>
    <x v="4"/>
    <n v="2021"/>
    <x v="11"/>
    <n v="8"/>
    <n v="14"/>
    <x v="0"/>
  </r>
  <r>
    <s v=" Navigating the river of contentment, a serene boat cruise through the tranquil waters of inner peace and acceptance. "/>
    <s v="Navigating the river of contentment, a serene boat cruise through the tranquil waters of inner peace and acceptance.."/>
    <s v=" Contentment "/>
    <x v="29"/>
    <d v="2019-04-27T09:50:00"/>
    <x v="6"/>
    <s v=" RiverNavigator "/>
    <s v="RiverNavigator"/>
    <x v="1"/>
    <x v="1"/>
    <s v=" #Contentment #TranquilWaters "/>
    <n v="20"/>
    <n v="40"/>
    <s v=" Canada "/>
    <x v="1"/>
    <n v="2019"/>
    <x v="7"/>
    <n v="27"/>
    <n v="9"/>
    <x v="0"/>
  </r>
  <r>
    <s v=" With empathy as a lantern, wandering through the dark alleys of sorrow, illuminating the path with compassion and care. "/>
    <s v="With empathy as a lantern, wandering through the dark alleys of sorrow, illuminating the path with compassion and care.."/>
    <s v=" Empathetic "/>
    <x v="63"/>
    <d v="2023-09-03T21:40:00"/>
    <x v="0"/>
    <s v=" LanternWanderer "/>
    <s v="LanternWanderer"/>
    <x v="2"/>
    <x v="2"/>
    <s v=" #Empathetic #LanternOfCompassion "/>
    <n v="16"/>
    <n v="32"/>
    <s v=" USA "/>
    <x v="0"/>
    <n v="2023"/>
    <x v="8"/>
    <n v="3"/>
    <n v="21"/>
    <x v="0"/>
  </r>
  <r>
    <s v=" A free spirit soaring on the wings of dreams, leaving trails of independence in the azure sky of boundless possibilities. "/>
    <s v="A free spirit soaring on the wings of dreams, leaving trails of independence in the azure sky of boundless possibilities.."/>
    <s v=" Free-spirited "/>
    <x v="66"/>
    <d v="2020-06-10T10:05:00"/>
    <x v="3"/>
    <s v=" DreamSoarer "/>
    <s v="DreamSoarer"/>
    <x v="3"/>
    <x v="0"/>
    <s v=" #FreeSpirit #WingsOfDreams "/>
    <n v="22"/>
    <n v="44"/>
    <s v=" UK "/>
    <x v="2"/>
    <n v="2020"/>
    <x v="5"/>
    <n v="10"/>
    <n v="10"/>
    <x v="0"/>
  </r>
  <r>
    <s v=" Bathed in the golden hues of gratefulness, a sunset of appreciation casting its warm glow on the landscapes of the heart. "/>
    <s v="Bathed in the golden hues of gratefulness, a sunset of appreciation casting its warm glow on the landscapes of the heart.."/>
    <s v=" Grateful "/>
    <x v="62"/>
    <d v="2022-04-01T18:30:00"/>
    <x v="5"/>
    <s v=" SunsetAdmirer "/>
    <s v="SunsetAdmirer"/>
    <x v="1"/>
    <x v="1"/>
    <s v=" #Grateful #GoldenHues "/>
    <n v="19"/>
    <n v="38"/>
    <s v=" Australia "/>
    <x v="3"/>
    <n v="2022"/>
    <x v="7"/>
    <n v="1"/>
    <n v="18"/>
    <x v="0"/>
  </r>
  <r>
    <s v=" Confident strides in the dance of life, a ballroom where self-assuredness leads, twirling through challenges with grace. "/>
    <s v="Confident strides in the dance of life, a ballroom where self-assuredness leads, twirling through challenges with grace.."/>
    <s v=" Confident "/>
    <x v="68"/>
    <d v="2021-01-15T13:00:00"/>
    <x v="5"/>
    <s v=" DanceStrider "/>
    <s v="DanceStrider"/>
    <x v="2"/>
    <x v="2"/>
    <s v=" #Confident #DanceOfLife "/>
    <n v="23"/>
    <n v="46"/>
    <s v=" Canada "/>
    <x v="1"/>
    <n v="2021"/>
    <x v="0"/>
    <n v="15"/>
    <n v="13"/>
    <x v="0"/>
  </r>
  <r>
    <s v=" Hopeful whispers of wind, carrying the promises of a brighter tomorrow, a symphony of optimism in the air of possibilities. "/>
    <s v="Hopeful whispers of wind, carrying the promises of a brighter tomorrow, a symphony of optimism in the air of possibilities.."/>
    <s v=" Hopeful "/>
    <x v="60"/>
    <d v="2023-05-06T07:20:00"/>
    <x v="6"/>
    <s v=" WindWhisperer "/>
    <s v="WindWhisperer"/>
    <x v="3"/>
    <x v="0"/>
    <s v=" #Hopeful #BrighterTomorrows "/>
    <n v="15"/>
    <n v="30"/>
    <s v=" India "/>
    <x v="4"/>
    <n v="2023"/>
    <x v="3"/>
    <n v="6"/>
    <n v="7"/>
    <x v="0"/>
  </r>
  <r>
    <s v=" Playfully juggling responsibilities, a circus performer balancing the acts of work and joy, tossing laughter into the air. "/>
    <s v="Playfully juggling responsibilities, a circus performer balancing the acts of work and joy, tossing laughter into the air.."/>
    <s v=" Playful "/>
    <x v="65"/>
    <d v="2019-11-18T15:15:00"/>
    <x v="1"/>
    <s v=" JugglingArtist "/>
    <s v="JugglingArtist"/>
    <x v="1"/>
    <x v="1"/>
    <s v=" #Playful #JugglingResponsibilities "/>
    <n v="25"/>
    <n v="50"/>
    <s v=" USA "/>
    <x v="0"/>
    <n v="2019"/>
    <x v="6"/>
    <n v="18"/>
    <n v="15"/>
    <x v="0"/>
  </r>
  <r>
    <s v=" Whispering tales of inspiration to the stars, a storyteller crafting constellations from the threads of imagination. "/>
    <s v="Whispering tales of inspiration to the stars, a storyteller crafting constellations from the threads of imagination.."/>
    <s v=" Inspired "/>
    <x v="67"/>
    <d v="2020-08-29T20:45:00"/>
    <x v="6"/>
    <s v=" StarStoryteller "/>
    <s v="StarStoryteller"/>
    <x v="2"/>
    <x v="2"/>
    <s v=" #Inspired #TalesToTheStars "/>
    <n v="14"/>
    <n v="28"/>
    <s v=" UK "/>
    <x v="2"/>
    <n v="2020"/>
    <x v="4"/>
    <n v="29"/>
    <n v="20"/>
    <x v="0"/>
  </r>
  <r>
    <s v=" Charting a course through the waves of hopeful anticipation, a sailor steering towards the shores of dreams yet unexplored. "/>
    <s v="Charting a course through the waves of hopeful anticipation, a sailor steering towards the shores of dreams yet unexplored.."/>
    <s v=" Hopeful "/>
    <x v="60"/>
    <d v="2022-10-30T11:40:00"/>
    <x v="0"/>
    <s v=" WaveNavigator "/>
    <s v="WaveNavigator"/>
    <x v="3"/>
    <x v="0"/>
    <s v=" #Hopeful #SailorOfDreams "/>
    <n v="17"/>
    <n v="34"/>
    <s v=" Australia "/>
    <x v="3"/>
    <n v="2022"/>
    <x v="10"/>
    <n v="30"/>
    <n v="11"/>
    <x v="0"/>
  </r>
  <r>
    <s v=" A compassionate rain, tears of empathy falling gently, nurturing the seeds of kindness in the garden of human connections. "/>
    <s v="A compassionate rain, tears of empathy falling gently, nurturing the seeds of kindness in the garden of human connections.."/>
    <s v=" Compassionate "/>
    <x v="64"/>
    <d v="2021-07-01T12:10:00"/>
    <x v="4"/>
    <s v=" RainNurturer "/>
    <s v="RainNurturer"/>
    <x v="1"/>
    <x v="1"/>
    <s v=" #Compassionate #TearsOfEmpathy "/>
    <n v="21"/>
    <n v="42"/>
    <s v=" Canada "/>
    <x v="1"/>
    <n v="2021"/>
    <x v="9"/>
    <n v="1"/>
    <n v="12"/>
    <x v="0"/>
  </r>
  <r>
    <s v=" Proudly scaling the peaks of achievement, a mountaineer conquering challenges and planting the flag of success. "/>
    <s v="Proudly scaling the peaks of achievement, a mountaineer conquering challenges and planting the flag of success.."/>
    <s v=" Proud "/>
    <x v="61"/>
    <d v="2020-01-05T08:45:00"/>
    <x v="0"/>
    <s v=" PeakConqueror "/>
    <s v="PeakConqueror"/>
    <x v="3"/>
    <x v="0"/>
    <s v=" #Proud #ScalingPeaks "/>
    <n v="23"/>
    <n v="46"/>
    <s v=" USA "/>
    <x v="0"/>
    <n v="2020"/>
    <x v="0"/>
    <n v="5"/>
    <n v="8"/>
    <x v="0"/>
  </r>
  <r>
    <s v=" Embraced by the hopeful dawn, a gardener sowing seeds of optimism, tending to the blooms of a brighter tomorrow. "/>
    <s v="Embraced by the hopeful dawn, a gardener sowing seeds of optimism, tending to the blooms of a brighter tomorrow.."/>
    <s v=" Hopeful "/>
    <x v="60"/>
    <d v="2022-07-17T06:15:00"/>
    <x v="0"/>
    <s v=" DawnGardener "/>
    <s v="DawnGardener"/>
    <x v="1"/>
    <x v="1"/>
    <s v=" #Hopeful #SeedsOfOptimism "/>
    <n v="14"/>
    <n v="28"/>
    <s v=" India "/>
    <x v="4"/>
    <n v="2022"/>
    <x v="9"/>
    <n v="17"/>
    <n v="6"/>
    <x v="0"/>
  </r>
  <r>
    <s v=" A playful escapade in the carnival of life, carousel laughter and cotton candy dreams swirling in the joyous atmosphere. "/>
    <s v="A playful escapade in the carnival of life, carousel laughter and cotton candy dreams swirling in the joyous atmosphere.."/>
    <s v=" Playful "/>
    <x v="65"/>
    <d v="2018-08-22T17:20:00"/>
    <x v="3"/>
    <s v=" CarnivalDreamer "/>
    <s v="CarnivalDreamer"/>
    <x v="2"/>
    <x v="2"/>
    <s v=" #Playful #CarnivalEscapade "/>
    <n v="24"/>
    <n v="48"/>
    <s v=" Australia "/>
    <x v="3"/>
    <n v="2018"/>
    <x v="4"/>
    <n v="22"/>
    <n v="17"/>
    <x v="0"/>
  </r>
  <r>
    <s v=" Drowning in the abyss of despair, a heart shattered into fragments, lost in the echoing silence of hopelessness. "/>
    <s v="Drowning in the abyss of despair, a heart shattered into fragments, lost in the echoing silence of hopelessness.."/>
    <s v=" Despair "/>
    <x v="40"/>
    <d v="2021-09-15T16:00:00"/>
    <x v="3"/>
    <s v=" ShatteredHeart "/>
    <s v="ShatteredHeart"/>
    <x v="1"/>
    <x v="1"/>
    <s v=" #Despair #EchoingSilence "/>
    <n v="8"/>
    <n v="16"/>
    <s v=" Canada "/>
    <x v="1"/>
    <n v="2021"/>
    <x v="8"/>
    <n v="15"/>
    <n v="16"/>
    <x v="0"/>
  </r>
  <r>
    <s v=" Bitterness festering like a venomous vine, entwining the soul in a web of resentment, poisoning the garden of peace. "/>
    <s v="Bitterness festering like a venomous vine, entwining the soul in a web of resentment, poisoning the garden of peace.."/>
    <s v=" Bitterness "/>
    <x v="69"/>
    <d v="2019-03-08T14:20:00"/>
    <x v="5"/>
    <s v=" VenomousSoul "/>
    <s v="VenomousSoul"/>
    <x v="2"/>
    <x v="2"/>
    <s v=" #Bitterness #ResentmentWeb "/>
    <n v="12"/>
    <n v="24"/>
    <s v=" UK "/>
    <x v="2"/>
    <n v="2019"/>
    <x v="2"/>
    <n v="8"/>
    <n v="14"/>
    <x v="0"/>
  </r>
  <r>
    <s v=" Wandering through the desert of loneliness, each step a heavy sigh, mirages of connection shimmering but never materializing. "/>
    <s v="Wandering through the desert of loneliness, each step a heavy sigh, mirages of connection shimmering but never materializing.."/>
    <s v=" Loneliness "/>
    <x v="42"/>
    <d v="2017-07-20T11:45:00"/>
    <x v="4"/>
    <s v=" DesertWanderer "/>
    <s v="DesertWanderer"/>
    <x v="3"/>
    <x v="0"/>
    <s v=" #Loneliness #MiragesOfConnection "/>
    <n v="15"/>
    <n v="30"/>
    <s v=" USA "/>
    <x v="0"/>
    <n v="2017"/>
    <x v="9"/>
    <n v="20"/>
    <n v="11"/>
    <x v="0"/>
  </r>
  <r>
    <s v=" Yearning for a touch that's not there, echoes of a distant warmth haunting the heart in the cold embrace of solitude. "/>
    <s v="Yearning for a touch that's not there, echoes of a distant warmth haunting the heart in the cold embrace of solitude.."/>
    <s v=" Yearning "/>
    <x v="70"/>
    <d v="2020-11-02T19:30:00"/>
    <x v="1"/>
    <s v=" ColdEmbrace "/>
    <s v="ColdEmbrace"/>
    <x v="1"/>
    <x v="1"/>
    <s v=" #Yearning #DistantWarmth "/>
    <n v="10"/>
    <n v="20"/>
    <s v=" Australia "/>
    <x v="3"/>
    <n v="2020"/>
    <x v="6"/>
    <n v="2"/>
    <n v="19"/>
    <x v="0"/>
  </r>
  <r>
    <s v=" Eyes wide open in the night, fearful shadows dancing on the walls, the mind a prisoner of imagined horrors. "/>
    <s v="Eyes wide open in the night, fearful shadows dancing on the walls, the mind a prisoner of imagined horrors.."/>
    <s v=" Fearful "/>
    <x v="71"/>
    <d v="2022-05-12T02:00:00"/>
    <x v="4"/>
    <s v=" NightPrisoner "/>
    <s v="NightPrisoner"/>
    <x v="2"/>
    <x v="2"/>
    <s v=" #Fearful #ImaginedHorrors "/>
    <n v="18"/>
    <n v="36"/>
    <s v=" India "/>
    <x v="4"/>
    <n v="2022"/>
    <x v="3"/>
    <n v="12"/>
    <n v="2"/>
    <x v="0"/>
  </r>
  <r>
    <s v=" Apprehensive steps on the tightrope of uncertainty, a balancing act where the fall seems inevitable, anxiety a constant companion. "/>
    <s v="Apprehensive steps on the tightrope of uncertainty, a balancing act where the fall seems inevitable, anxiety a constant companion.."/>
    <s v=" Apprehensive "/>
    <x v="72"/>
    <d v="2023-04-08T13:15:00"/>
    <x v="6"/>
    <s v=" TightropeWalker "/>
    <s v="TightropeWalker"/>
    <x v="3"/>
    <x v="0"/>
    <s v=" #Apprehensive #BalancingAct "/>
    <n v="14"/>
    <n v="28"/>
    <s v=" UK "/>
    <x v="2"/>
    <n v="2023"/>
    <x v="7"/>
    <n v="8"/>
    <n v="13"/>
    <x v="0"/>
  </r>
  <r>
    <s v=" Overwhelmed by the weight of the world, Atlas with trembling shoulders, each responsibility a boulder in the landscape of exhaustion. "/>
    <s v="Overwhelmed by the weight of the world, Atlas with trembling shoulders, each responsibility a boulder in the landscape of exhaustion.."/>
    <s v=" Overwhelmed "/>
    <x v="73"/>
    <d v="2021-06-25T17:50:00"/>
    <x v="5"/>
    <s v=" AtlasBearer "/>
    <s v="AtlasBearer"/>
    <x v="1"/>
    <x v="1"/>
    <s v=" #Overwhelmed #BouldersOfExhaustion "/>
    <n v="22"/>
    <n v="44"/>
    <s v=" Canada "/>
    <x v="1"/>
    <n v="2021"/>
    <x v="5"/>
    <n v="25"/>
    <n v="17"/>
    <x v="0"/>
  </r>
  <r>
    <s v=" Jealousy, a green-eyed monster, lurking in the shadows, casting a dark cloud over the sunshine of others' success. "/>
    <s v="Jealousy, a green-eyed monster, lurking in the shadows, casting a dark cloud over the sunshine of others' success.."/>
    <s v=" Jealous "/>
    <x v="74"/>
    <d v="2019-08-30T10:10:00"/>
    <x v="5"/>
    <s v=" GreenMonster "/>
    <s v="GreenMonster"/>
    <x v="2"/>
    <x v="2"/>
    <s v=" #Jealous #GreenEyedMonster "/>
    <n v="16"/>
    <n v="32"/>
    <s v=" USA "/>
    <x v="0"/>
    <n v="2019"/>
    <x v="4"/>
    <n v="30"/>
    <n v="10"/>
    <x v="0"/>
  </r>
  <r>
    <s v=" Devastated by the storm of betrayal, the wreckage of trust scattered like debris, a heart torn by the winds of broken promises. "/>
    <s v="Devastated by the storm of betrayal, the wreckage of trust scattered like debris, a heart torn by the winds of broken promises.."/>
    <s v=" Devastated "/>
    <x v="75"/>
    <d v="2022-08-03T15:30:00"/>
    <x v="3"/>
    <s v=" StormSurvivor "/>
    <s v="StormSurvivor"/>
    <x v="3"/>
    <x v="0"/>
    <s v=" #Devastated #WindsOfBrokenPromises "/>
    <n v="25"/>
    <n v="50"/>
    <s v=" Australia "/>
    <x v="3"/>
    <n v="2022"/>
    <x v="4"/>
    <n v="3"/>
    <n v="15"/>
    <x v="0"/>
  </r>
  <r>
    <s v=" Frustrated fingers tapping on the keyboard, a symphony of annoyance composing an unsolvable puzzle of unmet expectations. "/>
    <s v="Frustrated fingers tapping on the keyboard, a symphony of annoyance composing an unsolvable puzzle of unmet expectations.."/>
    <s v=" Frustrated "/>
    <x v="76"/>
    <d v="2020-12-17T09:20:00"/>
    <x v="4"/>
    <s v=" PuzzleComposer "/>
    <s v="PuzzleComposer"/>
    <x v="1"/>
    <x v="1"/>
    <s v=" #Frustrated #UnsolvablePuzzle "/>
    <n v="12"/>
    <n v="24"/>
    <s v=" India "/>
    <x v="4"/>
    <n v="2020"/>
    <x v="11"/>
    <n v="17"/>
    <n v="9"/>
    <x v="0"/>
  </r>
  <r>
    <s v=" Envious eyes fixated on the gilded prize, a heartache fueled by the painful desire for possessions that seem forever out of reach. "/>
    <s v="Envious eyes fixated on the gilded prize, a heartache fueled by the painful desire for possessions that seem forever out of reach.."/>
    <s v=" Envious "/>
    <x v="77"/>
    <d v="2021-02-28T22:45:00"/>
    <x v="0"/>
    <s v=" GildedHeartache "/>
    <s v="GildedHeartache"/>
    <x v="2"/>
    <x v="2"/>
    <s v=" #Envious #GildedPrize "/>
    <n v="20"/>
    <n v="40"/>
    <s v=" USA "/>
    <x v="0"/>
    <n v="2021"/>
    <x v="1"/>
    <n v="28"/>
    <n v="22"/>
    <x v="0"/>
  </r>
  <r>
    <s v=" Dismissive glances, a fortress built with indifference, walls impenetrable to the pleas of understanding and recognition. "/>
    <s v="Dismissive glances, a fortress built with indifference, walls impenetrable to the pleas of understanding and recognition.."/>
    <s v=" Dismissive "/>
    <x v="78"/>
    <d v="2018-05-10T14:00:00"/>
    <x v="4"/>
    <s v=" IndifferentFort "/>
    <s v="IndifferentFort"/>
    <x v="3"/>
    <x v="0"/>
    <s v=" #Dismissive #ImpenetrableWalls "/>
    <n v="14"/>
    <n v="28"/>
    <s v=" UK "/>
    <x v="2"/>
    <n v="2018"/>
    <x v="3"/>
    <n v="10"/>
    <n v="14"/>
    <x v="0"/>
  </r>
  <r>
    <s v=" Shattered dreams lie on the floor like fragments of glass, a mosaic of disappointment crafted by the hands of frustration. "/>
    <s v="Shattered dreams lie on the floor like fragments of glass, a mosaic of disappointment crafted by the hands of frustration.."/>
    <s v=" Frustrated "/>
    <x v="76"/>
    <d v="2022-01-07T11:10:00"/>
    <x v="5"/>
    <s v=" DreamMosaic "/>
    <s v="DreamMosaic"/>
    <x v="1"/>
    <x v="1"/>
    <s v=" #Frustrated #MosaicOfDisappointment "/>
    <n v="15"/>
    <n v="30"/>
    <s v=" Canada "/>
    <x v="1"/>
    <n v="2022"/>
    <x v="0"/>
    <n v="7"/>
    <n v="11"/>
    <x v="0"/>
  </r>
  <r>
    <s v=" Loneliness, a silent companion in the night, the only echo in the chamber of solitude, a heart's solitary nocturne. "/>
    <s v="Loneliness, a silent companion in the night, the only echo in the chamber of solitude, a heart's solitary nocturne.."/>
    <s v=" Loneliness "/>
    <x v="42"/>
    <d v="2019-09-19T03:30:00"/>
    <x v="4"/>
    <s v=" NocturnalEcho "/>
    <s v="NocturnalEcho"/>
    <x v="2"/>
    <x v="2"/>
    <s v=" #Loneliness #SolitaryNocturne "/>
    <n v="18"/>
    <n v="36"/>
    <s v=" Australia "/>
    <x v="3"/>
    <n v="2019"/>
    <x v="8"/>
    <n v="19"/>
    <n v="3"/>
    <x v="0"/>
  </r>
  <r>
    <s v=" Fearful whispers in the dark, the mind haunted by the specter of the unknown, shadows dancing to the rhythm of anxiety's tune. "/>
    <s v="Fearful whispers in the dark, the mind haunted by the specter of the unknown, shadows dancing to the rhythm of anxiety's tune.."/>
    <s v=" Fearful "/>
    <x v="71"/>
    <d v="2023-07-14T23:00:00"/>
    <x v="5"/>
    <s v=" DarkWhispers "/>
    <s v="DarkWhispers"/>
    <x v="3"/>
    <x v="0"/>
    <s v=" #Fearful #SpecterOfTheUnknown "/>
    <n v="13"/>
    <n v="26"/>
    <s v=" UK "/>
    <x v="2"/>
    <n v="2023"/>
    <x v="9"/>
    <n v="14"/>
    <n v="23"/>
    <x v="0"/>
  </r>
  <r>
    <s v=" Bitterness, a bitter aftertaste lingering on the tongue, each word a reminder of wounds that refuse to heal with the passing of time. "/>
    <s v="Bitterness, a bitter aftertaste lingering on the tongue, each word a reminder of wounds that refuse to heal with the passing of time.."/>
    <s v=" Bitterness "/>
    <x v="69"/>
    <d v="2020-04-05T16:20:00"/>
    <x v="0"/>
    <s v=" LingeringTaste "/>
    <s v="LingeringTaste"/>
    <x v="1"/>
    <x v="1"/>
    <s v=" #Bitterness #BitterAftertaste "/>
    <n v="10"/>
    <n v="20"/>
    <s v=" India "/>
    <x v="4"/>
    <n v="2020"/>
    <x v="7"/>
    <n v="5"/>
    <n v="16"/>
    <x v="0"/>
  </r>
  <r>
    <s v=" Overwhelmed by the cacophony of expectations, a drowning soul in the tempest of pressure, struggling to stay afloat. "/>
    <s v="Overwhelmed by the cacophony of expectations, a drowning soul in the tempest of pressure, struggling to stay afloat.."/>
    <s v=" Overwhelmed "/>
    <x v="73"/>
    <d v="2021-11-29T08:45:00"/>
    <x v="1"/>
    <s v=" TempestSurvivor "/>
    <s v="TempestSurvivor"/>
    <x v="2"/>
    <x v="2"/>
    <s v=" #Overwhelmed #DrowningSoul "/>
    <n v="20"/>
    <n v="40"/>
    <s v=" USA "/>
    <x v="0"/>
    <n v="2021"/>
    <x v="6"/>
    <n v="29"/>
    <n v="8"/>
    <x v="0"/>
  </r>
  <r>
    <s v=" Jealousy, a venom that seeps through the veins, poisoning the heart and turning it into a breeding ground for discontent. "/>
    <s v="Jealousy, a venom that seeps through the veins, poisoning the heart and turning it into a breeding ground for discontent.."/>
    <s v=" Jealous "/>
    <x v="74"/>
    <d v="2019-12-12T17:00:00"/>
    <x v="4"/>
    <s v=" VenomousHeart "/>
    <s v="VenomousHeart"/>
    <x v="3"/>
    <x v="0"/>
    <s v=" #Jealous #HeartOfDiscontent "/>
    <n v="16"/>
    <n v="32"/>
    <s v=" Australia "/>
    <x v="3"/>
    <n v="2019"/>
    <x v="11"/>
    <n v="12"/>
    <n v="17"/>
    <x v="0"/>
  </r>
  <r>
    <s v=" Devastated by the revelation of betrayal, the trust shattered like fragile glass, leaving shards of pain in its wake. "/>
    <s v="Devastated by the revelation of betrayal, the trust shattered like fragile glass, leaving shards of pain in its wake.."/>
    <s v=" Devastated "/>
    <x v="75"/>
    <d v="2022-05-20T14:50:00"/>
    <x v="5"/>
    <s v=" FragileTrust "/>
    <s v="FragileTrust"/>
    <x v="1"/>
    <x v="1"/>
    <s v=" #Devastated #ShatteredTrust "/>
    <n v="25"/>
    <n v="50"/>
    <s v=" Canada "/>
    <x v="1"/>
    <n v="2022"/>
    <x v="3"/>
    <n v="20"/>
    <n v="14"/>
    <x v="0"/>
  </r>
  <r>
    <s v=" Frustrated attempts to mend a broken connection, the threads of understanding slipping through the fingers like grains of sand. "/>
    <s v="Frustrated attempts to mend a broken connection, the threads of understanding slipping through the fingers like grains of sand.."/>
    <s v=" Frustrated "/>
    <x v="76"/>
    <d v="2020-09-03T12:15:00"/>
    <x v="4"/>
    <s v=" BrokenThreads "/>
    <s v="BrokenThreads"/>
    <x v="2"/>
    <x v="2"/>
    <s v=" #Frustrated #SlippingThreads "/>
    <n v="14"/>
    <n v="28"/>
    <s v=" UK "/>
    <x v="2"/>
    <n v="2020"/>
    <x v="8"/>
    <n v="3"/>
    <n v="12"/>
    <x v="0"/>
  </r>
  <r>
    <s v=" Envious gazes cast upon the podium of success, a bitter pill swallowed, the taste lingering as a constant reminder of unattained heights. "/>
    <s v="Envious gazes cast upon the podium of success, a bitter pill swallowed, the taste lingering as a constant reminder of unattained heights.."/>
    <s v=" Envious "/>
    <x v="77"/>
    <d v="2021-02-10T19:30:00"/>
    <x v="3"/>
    <s v=" SuccessPill "/>
    <s v="SuccessPill"/>
    <x v="3"/>
    <x v="0"/>
    <s v=" #Envious #BitterPill "/>
    <n v="20"/>
    <n v="40"/>
    <s v=" USA "/>
    <x v="0"/>
    <n v="2021"/>
    <x v="1"/>
    <n v="10"/>
    <n v="19"/>
    <x v="0"/>
  </r>
  <r>
    <s v=" Dismissive gestures, a curtain drawn to shield the vulnerability, a stage where emotions take a backseat to the performance of indifference. "/>
    <s v="Dismissive gestures, a curtain drawn to shield the vulnerability, a stage where emotions take a backseat to the performance of indifference.."/>
    <s v=" Dismissive "/>
    <x v="78"/>
    <d v="2018-08-18T14:40:00"/>
    <x v="6"/>
    <s v=" CurtainShield "/>
    <s v="CurtainShield"/>
    <x v="1"/>
    <x v="1"/>
    <s v=" #Dismissive #IndifferencePerformance "/>
    <n v="12"/>
    <n v="24"/>
    <s v=" Australia "/>
    <x v="3"/>
    <n v="2018"/>
    <x v="4"/>
    <n v="18"/>
    <n v="14"/>
    <x v="0"/>
  </r>
  <r>
    <s v=" Despair like a heavy fog, enveloping every thought, blurring the path ahead, a journey in the labyrinth of utter hopelessness. "/>
    <s v="Despair like a heavy fog, enveloping every thought, blurring the path ahead, a journey in the labyrinth of utter hopelessness.."/>
    <s v=" Despair "/>
    <x v="40"/>
    <d v="2022-02-28T21:00:00"/>
    <x v="1"/>
    <s v=" FoggyLabyrinth "/>
    <s v="FoggyLabyrinth"/>
    <x v="2"/>
    <x v="2"/>
    <s v=" #Despair #LabyrinthOfHopelessness "/>
    <n v="8"/>
    <n v="16"/>
    <s v=" Canada "/>
    <x v="1"/>
    <n v="2022"/>
    <x v="1"/>
    <n v="28"/>
    <n v="21"/>
    <x v="0"/>
  </r>
  <r>
    <s v=" Bitterness, a bitter chill in the air, freezing moments into icicles of resentment that dangle precariously over the landscape of memory. "/>
    <s v="Bitterness, a bitter chill in the air, freezing moments into icicles of resentment that dangle precariously over the landscape of memory.."/>
    <s v=" Bitterness "/>
    <x v="69"/>
    <d v="2019-10-15T10:30:00"/>
    <x v="2"/>
    <s v=" IcyResentment "/>
    <s v="IcyResentment"/>
    <x v="3"/>
    <x v="0"/>
    <s v=" #Bitterness #IciclesOfResentment "/>
    <n v="15"/>
    <n v="30"/>
    <s v=" UK "/>
    <x v="2"/>
    <n v="2019"/>
    <x v="10"/>
    <n v="15"/>
    <n v="10"/>
    <x v="0"/>
  </r>
  <r>
    <s v=" Loneliness, a solitary moon in a starless sky, casting a cold glow on the landscape of isolation, where echoes bounce in empty spaces. "/>
    <s v="Loneliness, a solitary moon in a starless sky, casting a cold glow on the landscape of isolation, where echoes bounce in empty spaces.."/>
    <s v=" Loneliness "/>
    <x v="42"/>
    <d v="2017-12-01T18:50:00"/>
    <x v="5"/>
    <s v=" SolitaryMoon "/>
    <s v="SolitaryMoon"/>
    <x v="1"/>
    <x v="1"/>
    <s v=" #Loneliness #StarlessSky "/>
    <n v="18"/>
    <n v="36"/>
    <s v=" USA "/>
    <x v="0"/>
    <n v="2017"/>
    <x v="11"/>
    <n v="1"/>
    <n v="18"/>
    <x v="0"/>
  </r>
  <r>
    <s v=" Yearning for the warmth of a vanished sun, a heartache painted in the hues of a sunset that never graced the horizon. "/>
    <s v="Yearning for the warmth of a vanished sun, a heartache painted in the hues of a sunset that never graced the horizon.."/>
    <s v=" Yearning "/>
    <x v="70"/>
    <d v="2020-04-18T16:15:00"/>
    <x v="6"/>
    <s v=" VanishedSunset "/>
    <s v="VanishedSunset"/>
    <x v="2"/>
    <x v="2"/>
    <s v=" #Yearning #HuesOfSunset "/>
    <n v="10"/>
    <n v="20"/>
    <s v=" Australia "/>
    <x v="3"/>
    <n v="2020"/>
    <x v="7"/>
    <n v="18"/>
    <n v="16"/>
    <x v="0"/>
  </r>
  <r>
    <s v=" Fearful eyes scanning the shadows, a prisoner of the night, terrorized by the lurking monsters born from the mind's darkest corners. "/>
    <s v="Fearful eyes scanning the shadows, a prisoner of the night, terrorized by the lurking monsters born from the mind's darkest corners.."/>
    <s v=" Fearful "/>
    <x v="71"/>
    <d v="2023-01-07T03:30:00"/>
    <x v="6"/>
    <s v=" NightPrisoner "/>
    <s v="NightPrisoner"/>
    <x v="3"/>
    <x v="0"/>
    <s v=" #Fearful #LurkingMonsters "/>
    <n v="18"/>
    <n v="36"/>
    <s v=" India "/>
    <x v="4"/>
    <n v="2023"/>
    <x v="0"/>
    <n v="7"/>
    <n v="3"/>
    <x v="0"/>
  </r>
  <r>
    <s v=" Apprehensive whispers in the wind, a forecast of uncertainty, the mind's weather vane spinning wildly in the storm of doubt. "/>
    <s v="Apprehensive whispers in the wind, a forecast of uncertainty, the mind's weather vane spinning wildly in the storm of doubt.."/>
    <s v=" Apprehensive "/>
    <x v="72"/>
    <d v="2021-06-10T10:00:00"/>
    <x v="4"/>
    <s v=" WindWhisperer "/>
    <s v="WindWhisperer"/>
    <x v="1"/>
    <x v="1"/>
    <s v=" #Apprehensive #StormOfDoubt "/>
    <n v="14"/>
    <n v="28"/>
    <s v=" Canada "/>
    <x v="1"/>
    <n v="2021"/>
    <x v="5"/>
    <n v="10"/>
    <n v="10"/>
    <x v="0"/>
  </r>
  <r>
    <s v=" Overwhelmed by the maze of expectations, a minotaur of pressure lurking in the labyrinth, waiting to devour the spirit of resilience. "/>
    <s v="Overwhelmed by the maze of expectations, a minotaur of pressure lurking in the labyrinth, waiting to devour the spirit of resilience.."/>
    <s v=" Overwhelmed "/>
    <x v="73"/>
    <d v="2020-02-22T15:20:00"/>
    <x v="6"/>
    <s v=" MazeExplorer "/>
    <s v="MazeExplorer"/>
    <x v="2"/>
    <x v="2"/>
    <s v=" #Overwhelmed #MinotaurOfPressure "/>
    <n v="22"/>
    <n v="44"/>
    <s v=" USA "/>
    <x v="0"/>
    <n v="2020"/>
    <x v="1"/>
    <n v="22"/>
    <n v="15"/>
    <x v="0"/>
  </r>
  <r>
    <s v=" Jealousy, a festering wound, the pain intensifying with each glance at the garden of others' achievements, blooming beyond the fence. "/>
    <s v="Jealousy, a festering wound, the pain intensifying with each glance at the garden of others' achievements, blooming beyond the fence.."/>
    <s v=" Jealous "/>
    <x v="74"/>
    <d v="2018-03-17T14:45:00"/>
    <x v="6"/>
    <s v=" WoundedGarden "/>
    <s v="WoundedGarden"/>
    <x v="3"/>
    <x v="0"/>
    <s v=" #Jealous #BloomingAchievements "/>
    <n v="16"/>
    <n v="32"/>
    <s v=" UK "/>
    <x v="2"/>
    <n v="2018"/>
    <x v="2"/>
    <n v="17"/>
    <n v="14"/>
    <x v="0"/>
  </r>
  <r>
    <s v=" Devastated, a heart in ruins, the echoes of shattered dreams reverberating in the chambers, a requiem for what once was whole. "/>
    <s v="Devastated, a heart in ruins, the echoes of shattered dreams reverberating in the chambers, a requiem for what once was whole.."/>
    <s v=" Devastated "/>
    <x v="75"/>
    <d v="2022-10-28T11:15:00"/>
    <x v="5"/>
    <s v=" RuinedHeart "/>
    <s v="RuinedHeart"/>
    <x v="1"/>
    <x v="1"/>
    <s v=" #Devastated #EchoesOfShatteredDreams "/>
    <n v="25"/>
    <n v="50"/>
    <s v=" Australia "/>
    <x v="3"/>
    <n v="2022"/>
    <x v="10"/>
    <n v="28"/>
    <n v="11"/>
    <x v="0"/>
  </r>
  <r>
    <s v=" Frustrated attempts to untangle the knot of confusion, the threads of understanding slipping further into the labyrinth of miscommunication. "/>
    <s v="Frustrated attempts to untangle the knot of confusion, the threads of understanding slipping further into the labyrinth of miscommunication.."/>
    <s v=" Frustrated "/>
    <x v="76"/>
    <d v="2020-11-01T12:30:00"/>
    <x v="0"/>
    <s v=" KnotUntangler "/>
    <s v="KnotUntangler"/>
    <x v="2"/>
    <x v="2"/>
    <s v=" #Frustrated #LabyrinthOfMiscommunication "/>
    <n v="14"/>
    <n v="28"/>
    <s v=" India "/>
    <x v="4"/>
    <n v="2020"/>
    <x v="6"/>
    <n v="1"/>
    <n v="12"/>
    <x v="0"/>
  </r>
  <r>
    <s v=" Envious eyes locked on the treasure chest of opportunities, a heartache fueled by the desire for keys that seem forever elusive. "/>
    <s v="Envious eyes locked on the treasure chest of opportunities, a heartache fueled by the desire for keys that seem forever elusive.."/>
    <s v=" Envious "/>
    <x v="77"/>
    <d v="2021-01-15T22:10:00"/>
    <x v="5"/>
    <s v=" ElusiveKeys "/>
    <s v="ElusiveKeys"/>
    <x v="3"/>
    <x v="0"/>
    <s v=" #Envious #DesireForKeys "/>
    <n v="20"/>
    <n v="40"/>
    <s v=" USA "/>
    <x v="0"/>
    <n v="2021"/>
    <x v="0"/>
    <n v="15"/>
    <n v="22"/>
    <x v="0"/>
  </r>
  <r>
    <s v=" Dismissive gestures, a curtain drawn to shield the vulnerability, a stage where emotions take a backseat to the performance of indifference. "/>
    <s v="Dismissive gestures, a curtain drawn to shield the vulnerability, a stage where emotions take a backseat to the performance of indifference.."/>
    <s v=" Dismissive "/>
    <x v="78"/>
    <d v="2018-08-18T14:00:00"/>
    <x v="6"/>
    <s v=" IndifferentFort "/>
    <s v="IndifferentFort"/>
    <x v="1"/>
    <x v="1"/>
    <s v=" #Dismissive #IndifferencePerformance "/>
    <n v="12"/>
    <n v="24"/>
    <s v=" Australia "/>
    <x v="3"/>
    <n v="2018"/>
    <x v="4"/>
    <n v="18"/>
    <n v="14"/>
    <x v="0"/>
  </r>
  <r>
    <s v=" Shattered dreams lie on the floor like fragments of glass, a mosaic of disappointment crafted by the hands of frustration. "/>
    <s v="Shattered dreams lie on the floor like fragments of glass, a mosaic of disappointment crafted by the hands of frustration.."/>
    <s v=" Frustrated "/>
    <x v="76"/>
    <d v="2022-01-07T11:10:00"/>
    <x v="5"/>
    <s v=" DreamMosaic "/>
    <s v="DreamMosaic"/>
    <x v="3"/>
    <x v="0"/>
    <s v=" #Frustrated #MosaicOfDisappointment "/>
    <n v="15"/>
    <n v="30"/>
    <s v=" Canada "/>
    <x v="1"/>
    <n v="2022"/>
    <x v="0"/>
    <n v="7"/>
    <n v="11"/>
    <x v="0"/>
  </r>
  <r>
    <s v=" Loneliness, a silent companion in the night, the only echo in the chamber of solitude, a heart's solitary nocturne. "/>
    <s v="Loneliness, a silent companion in the night, the only echo in the chamber of solitude, a heart's solitary nocturne.."/>
    <s v=" Loneliness "/>
    <x v="42"/>
    <d v="2019-09-19T03:30:00"/>
    <x v="4"/>
    <s v=" NocturnalEcho "/>
    <s v="NocturnalEcho"/>
    <x v="2"/>
    <x v="2"/>
    <s v=" #Loneliness #SolitaryNocturne "/>
    <n v="18"/>
    <n v="36"/>
    <s v=" Australia "/>
    <x v="3"/>
    <n v="2019"/>
    <x v="8"/>
    <n v="19"/>
    <n v="3"/>
    <x v="0"/>
  </r>
  <r>
    <s v="Awe-struck by the breathtaking sunrise over the mountains.      "/>
    <s v="Awe-struck by the breathtaking sunrise over the mountains.."/>
    <s v=" Awe           "/>
    <x v="14"/>
    <d v="2022-04-03T06:15:00"/>
    <x v="0"/>
    <s v=" NatureAdmirer  "/>
    <s v="NatureAdmirer"/>
    <x v="1"/>
    <x v="1"/>
    <s v=" #Awe #BreathtakingSunrise                   "/>
    <n v="28"/>
    <n v="55"/>
    <s v=" USA               "/>
    <x v="0"/>
    <n v="2022"/>
    <x v="7"/>
    <n v="3"/>
    <n v="6"/>
    <x v="0"/>
  </r>
  <r>
    <s v="Navigating through the challenges with determination.          "/>
    <s v="Navigating through the challenges with determination.."/>
    <s v=" Determination "/>
    <x v="58"/>
    <d v="2023-10-12T10:30:00"/>
    <x v="4"/>
    <s v=" GoalPursuer    "/>
    <s v="GoalPursuer"/>
    <x v="0"/>
    <x v="0"/>
    <s v=" #Determination #Challenges                  "/>
    <n v="15"/>
    <n v="30"/>
    <s v=" Canada            "/>
    <x v="1"/>
    <n v="2023"/>
    <x v="10"/>
    <n v="12"/>
    <n v="10"/>
    <x v="0"/>
  </r>
  <r>
    <s v="Nostalgia hits while flipping through an old photo album.     "/>
    <s v="Nostalgia hits while flipping through an old photo album.."/>
    <s v=" Nostalgia      "/>
    <x v="56"/>
    <d v="2019-06-28T19:00:00"/>
    <x v="5"/>
    <s v=" MemoryLane     "/>
    <s v="MemoryLane"/>
    <x v="2"/>
    <x v="2"/>
    <s v=" #Nostalgia #OldMemories                     "/>
    <n v="22"/>
    <n v="45"/>
    <s v=" UK                "/>
    <x v="2"/>
    <n v="2019"/>
    <x v="5"/>
    <n v="28"/>
    <n v="19"/>
    <x v="0"/>
  </r>
  <r>
    <s v="Thrilled to witness the grandeur of a cultural festival.       "/>
    <s v="Thrilled to witness the grandeur of a cultural festival.."/>
    <s v=" Thrill        "/>
    <x v="79"/>
    <d v="2020-09-15T14:45:00"/>
    <x v="2"/>
    <s v=" CultureEnthusiast "/>
    <s v="CultureEnthusiast"/>
    <x v="1"/>
    <x v="1"/>
    <s v=" #Thrill #CulturalCelebration              "/>
    <n v="40"/>
    <n v="80"/>
    <s v=" India              "/>
    <x v="4"/>
    <n v="2020"/>
    <x v="8"/>
    <n v="15"/>
    <n v="14"/>
    <x v="0"/>
  </r>
  <r>
    <s v="Calmness found in the rhythm of raindrops on the windowpane.   "/>
    <s v="Calmness found in the rhythm of raindrops on the windowpane.."/>
    <s v=" Calmness      "/>
    <x v="21"/>
    <d v="2017-11-08T21:20:00"/>
    <x v="3"/>
    <s v=" RainWatcher    "/>
    <s v="RainWatcher"/>
    <x v="0"/>
    <x v="0"/>
    <s v=" #Calmness #RainyDays                        "/>
    <n v="18"/>
    <n v="35"/>
    <s v=" Australia          "/>
    <x v="3"/>
    <n v="2017"/>
    <x v="6"/>
    <n v="8"/>
    <n v="21"/>
    <x v="0"/>
  </r>
  <r>
    <s v="Overwhelmed by the support received during a personal challenge."/>
    <s v="Overwhelmed by the support received during a personal challenge.."/>
    <s v=" Overwhelmed   "/>
    <x v="73"/>
    <d v="2021-05-20T17:30:00"/>
    <x v="4"/>
    <s v=" PersonalJourney "/>
    <s v="PersonalJourney"/>
    <x v="2"/>
    <x v="2"/>
    <s v=" #Overwhelmed #SupportiveCommunity          "/>
    <n v="25"/>
    <n v="50"/>
    <s v=" USA               "/>
    <x v="0"/>
    <n v="2021"/>
    <x v="3"/>
    <n v="20"/>
    <n v="17"/>
    <x v="0"/>
  </r>
  <r>
    <s v="Excitement builds as the countdown to a long-awaited vacation begins. "/>
    <s v="Excitement builds as the countdown to a long-awaited vacation begins.."/>
    <s v=" Excitement "/>
    <x v="23"/>
    <d v="2023-01-10T12:00:00"/>
    <x v="2"/>
    <s v=" VacationDreamer "/>
    <s v="VacationDreamer"/>
    <x v="1"/>
    <x v="1"/>
    <s v=" #Excitement #VacationCountdown        "/>
    <n v="30"/>
    <n v="60"/>
    <s v=" France            "/>
    <x v="5"/>
    <n v="2023"/>
    <x v="0"/>
    <n v="10"/>
    <n v="12"/>
    <x v="0"/>
  </r>
  <r>
    <s v="Reflecting on life's journey, grateful for the lessons learned. "/>
    <s v="Reflecting on life's journey, grateful for the lessons learned.."/>
    <s v=" Gratitude   "/>
    <x v="31"/>
    <d v="2018-12-05T08:45:00"/>
    <x v="3"/>
    <s v=" LifeLearner   "/>
    <s v="LifeLearner"/>
    <x v="0"/>
    <x v="0"/>
    <s v=" #Gratitude #LifeLessons                    "/>
    <n v="35"/>
    <n v="70"/>
    <s v=" Brazil            "/>
    <x v="6"/>
    <n v="2018"/>
    <x v="11"/>
    <n v="5"/>
    <n v="8"/>
    <x v="0"/>
  </r>
  <r>
    <s v="Bittersweet emotions arise while bidding farewell to a dear friend. "/>
    <s v="Bittersweet emotions arise while bidding farewell to a dear friend.."/>
    <s v=" Bittersweet "/>
    <x v="80"/>
    <d v="2020-03-15T18:30:00"/>
    <x v="0"/>
    <s v=" FarewellSender "/>
    <s v="FarewellSender"/>
    <x v="1"/>
    <x v="1"/>
    <s v=" #Bittersweet #Farewell                     "/>
    <n v="20"/>
    <n v="40"/>
    <s v=" Japan             "/>
    <x v="7"/>
    <n v="2020"/>
    <x v="2"/>
    <n v="15"/>
    <n v="18"/>
    <x v="0"/>
  </r>
  <r>
    <s v="Curiosity sparked by exploring a mysterious ancient ruin.      "/>
    <s v="Curiosity sparked by exploring a mysterious ancient ruin.."/>
    <s v=" Curiosity     "/>
    <x v="52"/>
    <d v="2016-08-22T15:10:00"/>
    <x v="1"/>
    <s v=" HistoryExplorer "/>
    <s v="HistoryExplorer"/>
    <x v="2"/>
    <x v="2"/>
    <s v=" #Curiosity #AncientDiscovery          "/>
    <n v="18"/>
    <n v="35"/>
    <s v=" Greece            "/>
    <x v="8"/>
    <n v="2016"/>
    <x v="4"/>
    <n v="22"/>
    <n v="15"/>
    <x v="0"/>
  </r>
  <r>
    <s v="Admiration for the intricate details of a handcrafted masterpiece. "/>
    <s v="Admiration for the intricate details of a handcrafted masterpiece.."/>
    <s v=" Admiration    "/>
    <x v="12"/>
    <d v="2019-08-20T16:00:00"/>
    <x v="2"/>
    <s v=" CraftEnthusiast "/>
    <s v="CraftEnthusiast"/>
    <x v="1"/>
    <x v="1"/>
    <s v=" #Admiration #HandcraftedArt               "/>
    <n v="25"/>
    <n v="50"/>
    <s v=" USA               "/>
    <x v="0"/>
    <n v="2019"/>
    <x v="4"/>
    <n v="20"/>
    <n v="16"/>
    <x v="0"/>
  </r>
  <r>
    <s v="Overjoyed by the warmth of a cozy fireplace on a winter evening.   "/>
    <s v="Overjoyed by the warmth of a cozy fireplace on a winter evening.."/>
    <s v=" Overjoyed     "/>
    <x v="81"/>
    <d v="2021-12-08T19:30:00"/>
    <x v="3"/>
    <s v=" WinterLover     "/>
    <s v="WinterLover"/>
    <x v="0"/>
    <x v="0"/>
    <s v=" #Overjoyed #WinterWarmth                  "/>
    <n v="18"/>
    <n v="35"/>
    <s v=" Canada            "/>
    <x v="1"/>
    <n v="2021"/>
    <x v="11"/>
    <n v="8"/>
    <n v="19"/>
    <x v="0"/>
  </r>
  <r>
    <s v="Inspiration strikes while observing the colors of a vibrant sunset."/>
    <s v="Inspiration strikes while observing the colors of a vibrant sunset.."/>
    <s v=" Inspiration   "/>
    <x v="82"/>
    <d v="2020-06-10T20:45:00"/>
    <x v="3"/>
    <s v=" SunsetWatcher   "/>
    <s v="SunsetWatcher"/>
    <x v="1"/>
    <x v="1"/>
    <s v=" #Inspiration #ColorfulSunset             "/>
    <n v="30"/>
    <n v="60"/>
    <s v=" UK                "/>
    <x v="2"/>
    <n v="2020"/>
    <x v="5"/>
    <n v="10"/>
    <n v="20"/>
    <x v="0"/>
  </r>
  <r>
    <s v="Motivated to achieve fitness goals after an invigorating workout.  "/>
    <s v="Motivated to achieve fitness goals after an invigorating workout.."/>
    <s v=" Motivation    "/>
    <x v="83"/>
    <d v="2022-02-28T07:15:00"/>
    <x v="1"/>
    <s v=" FitnessJunkie   "/>
    <s v="FitnessJunkie"/>
    <x v="2"/>
    <x v="2"/>
    <s v=" #Motivation #FitnessGoals                 "/>
    <n v="40"/>
    <n v="80"/>
    <s v=" Australia          "/>
    <x v="3"/>
    <n v="2022"/>
    <x v="1"/>
    <n v="28"/>
    <n v="7"/>
    <x v="0"/>
  </r>
  <r>
    <s v="Gratitude for the simple joys found in a cup of morning coffee.    "/>
    <s v="Gratitude for the simple joys found in a cup of morning coffee.."/>
    <s v=" Gratitude     "/>
    <x v="31"/>
    <d v="2017-04-15T08:00:00"/>
    <x v="6"/>
    <s v=" CoffeeLover     "/>
    <s v="CoffeeLover"/>
    <x v="0"/>
    <x v="0"/>
    <s v=" #Gratitude #MorningCoffee                 "/>
    <n v="22"/>
    <n v="45"/>
    <s v=" India             "/>
    <x v="4"/>
    <n v="2017"/>
    <x v="7"/>
    <n v="15"/>
    <n v="8"/>
    <x v="0"/>
  </r>
  <r>
    <s v="Feeling empowered after conquering a challenging hiking trail.     "/>
    <s v="Feeling empowered after conquering a challenging hiking trail.."/>
    <s v=" Empowerment   "/>
    <x v="33"/>
    <d v="2018-09-05T14:20:00"/>
    <x v="3"/>
    <s v=" HikingExplorer  "/>
    <s v="HikingExplorer"/>
    <x v="1"/>
    <x v="1"/>
    <s v=" #Empowerment #HikingAdventure             "/>
    <n v="35"/>
    <n v="70"/>
    <s v=" USA               "/>
    <x v="0"/>
    <n v="2018"/>
    <x v="8"/>
    <n v="5"/>
    <n v="14"/>
    <x v="0"/>
  </r>
  <r>
    <s v="Amused by the antics of playful kittens during playtime.           "/>
    <s v="Amused by the antics of playful kittens during playtime.."/>
    <s v=" Amusement     "/>
    <x v="10"/>
    <d v="2022-10-22T12:45:00"/>
    <x v="6"/>
    <s v=" KittyObserver   "/>
    <s v="KittyObserver"/>
    <x v="2"/>
    <x v="2"/>
    <s v=" #Amusement #PlayfulKittens               "/>
    <n v="15"/>
    <n v="30"/>
    <s v=" Canada            "/>
    <x v="1"/>
    <n v="2022"/>
    <x v="10"/>
    <n v="22"/>
    <n v="12"/>
    <x v="0"/>
  </r>
  <r>
    <s v="Contemplating life's mysteries under the starry night sky.         "/>
    <s v="Contemplating life's mysteries under the starry night sky.."/>
    <s v=" Contemplation "/>
    <x v="84"/>
    <d v="2016-07-02T23:30:00"/>
    <x v="6"/>
    <s v=" Stargazer       "/>
    <s v="Stargazer"/>
    <x v="0"/>
    <x v="0"/>
    <s v=" #Contemplation #StarryNight               "/>
    <n v="28"/>
    <n v="55"/>
    <s v=" UK                "/>
    <x v="2"/>
    <n v="2016"/>
    <x v="9"/>
    <n v="2"/>
    <n v="23"/>
    <x v="0"/>
  </r>
  <r>
    <s v="Joyful reunion with long-lost friends after years of separation.   "/>
    <s v="Joyful reunion with long-lost friends after years of separation.."/>
    <s v=" JoyfulReunion "/>
    <x v="85"/>
    <d v="2020-11-18T17:10:00"/>
    <x v="3"/>
    <s v=" FriendshipRenewal "/>
    <s v="FriendshipRenewal"/>
    <x v="1"/>
    <x v="1"/>
    <s v=" #JoyfulReunion #Friendship               "/>
    <n v="20"/>
    <n v="40"/>
    <s v=" India             "/>
    <x v="4"/>
    <n v="2020"/>
    <x v="6"/>
    <n v="18"/>
    <n v="17"/>
    <x v="0"/>
  </r>
  <r>
    <s v="Excitement builds while preparing for a surprise celebration.     "/>
    <s v="Excitement builds while preparing for a surprise celebration.."/>
    <s v=" Excitement    "/>
    <x v="23"/>
    <d v="2023-03-05T15:00:00"/>
    <x v="0"/>
    <s v=" CelebrationPlanner "/>
    <s v="CelebrationPlanner"/>
    <x v="2"/>
    <x v="2"/>
    <s v=" #Excitement #SurpriseCelebration         "/>
    <n v="30"/>
    <n v="60"/>
    <s v=" Australia          "/>
    <x v="3"/>
    <n v="2023"/>
    <x v="2"/>
    <n v="5"/>
    <n v="15"/>
    <x v="0"/>
  </r>
  <r>
    <s v="Satisfaction derived from successfully completing a DIY project.  "/>
    <s v="Satisfaction derived from successfully completing a DIY project.."/>
    <s v=" Satisfaction  "/>
    <x v="86"/>
    <d v="2015-12-01T11:30:00"/>
    <x v="2"/>
    <s v=" DIYEnthusiast   "/>
    <s v="DIYEnthusiast"/>
    <x v="0"/>
    <x v="0"/>
    <s v=" #Satisfaction #DIYProject                 "/>
    <n v="25"/>
    <n v="50"/>
    <s v=" USA               "/>
    <x v="0"/>
    <n v="2015"/>
    <x v="11"/>
    <n v="1"/>
    <n v="11"/>
    <x v="0"/>
  </r>
  <r>
    <s v="Feeling blessed for the supportive community in times of need.    "/>
    <s v="Feeling blessed for the supportive community in times of need.."/>
    <s v=" Blessed       "/>
    <x v="87"/>
    <d v="2021-09-10T09:45:00"/>
    <x v="5"/>
    <s v=" CommunityHelper "/>
    <s v="CommunityHelper"/>
    <x v="1"/>
    <x v="1"/>
    <s v=" #Blessed #SupportiveCommunity            "/>
    <n v="18"/>
    <n v="35"/>
    <s v=" UK                "/>
    <x v="2"/>
    <n v="2021"/>
    <x v="8"/>
    <n v="10"/>
    <n v="9"/>
    <x v="0"/>
  </r>
  <r>
    <s v="Captivated by the serenity of a tranquil garden in full bloom.     "/>
    <s v="Captivated by the serenity of a tranquil garden in full bloom.."/>
    <s v=" Serenity      "/>
    <x v="30"/>
    <d v="2018-05-12T14:20:00"/>
    <x v="6"/>
    <s v=" GardenEnthusiast "/>
    <s v="GardenEnthusiast"/>
    <x v="2"/>
    <x v="2"/>
    <s v=" #Serenity #TranquilGarden                "/>
    <n v="22"/>
    <n v="45"/>
    <s v=" Canada            "/>
    <x v="1"/>
    <n v="2018"/>
    <x v="3"/>
    <n v="12"/>
    <n v="14"/>
    <x v="0"/>
  </r>
  <r>
    <s v="Anticipation for an upcoming adventure in an exotic destination.   "/>
    <s v="Anticipation for an upcoming adventure in an exotic destination.."/>
    <s v=" Anticipation  "/>
    <x v="19"/>
    <d v="2022-07-25T10:00:00"/>
    <x v="1"/>
    <s v=" Wanderlust      "/>
    <s v="Wanderlust"/>
    <x v="0"/>
    <x v="0"/>
    <s v=" #Anticipation #AdventureAwaits           "/>
    <n v="40"/>
    <n v="80"/>
    <s v=" India             "/>
    <x v="4"/>
    <n v="2022"/>
    <x v="9"/>
    <n v="25"/>
    <n v="10"/>
    <x v="0"/>
  </r>
  <r>
    <s v="Reflecting on personal growth achieved through life experiences.  "/>
    <s v="Reflecting on personal growth achieved through life experiences.."/>
    <s v=" Reflection    "/>
    <x v="88"/>
    <d v="2019-03-08T18:30:00"/>
    <x v="5"/>
    <s v=" GrowthSeeker    "/>
    <s v="GrowthSeeker"/>
    <x v="1"/>
    <x v="1"/>
    <s v=" #Reflection #PersonalGrowth              "/>
    <n v="35"/>
    <n v="70"/>
    <s v=" USA               "/>
    <x v="0"/>
    <n v="2019"/>
    <x v="2"/>
    <n v="8"/>
    <n v="18"/>
    <x v="0"/>
  </r>
  <r>
    <s v="Nostalgic memories flood in while revisiting childhood favorites. "/>
    <s v="Nostalgic memories flood in while revisiting childhood favorites.."/>
    <s v=" Nostalgia     "/>
    <x v="56"/>
    <d v="2017-01-28T21:15:00"/>
    <x v="6"/>
    <s v=" ChildhoodMemories "/>
    <s v="ChildhoodMemories"/>
    <x v="2"/>
    <x v="2"/>
    <s v=" #Nostalgia #ChildhoodFavorites           "/>
    <n v="20"/>
    <n v="40"/>
    <s v=" Australia          "/>
    <x v="3"/>
    <n v="2017"/>
    <x v="0"/>
    <n v="28"/>
    <n v="21"/>
    <x v="0"/>
  </r>
  <r>
    <s v="Appreciation for the vibrant culture experienced during travel.   "/>
    <s v="Appreciation for the vibrant culture experienced during travel.."/>
    <s v=" Appreciation  "/>
    <x v="89"/>
    <d v="2016-11-14T13:45:00"/>
    <x v="1"/>
    <s v=" CultureExplorer "/>
    <s v="CultureExplorer"/>
    <x v="0"/>
    <x v="0"/>
    <s v=" #Appreciation #CulturalExperience        "/>
    <n v="28"/>
    <n v="55"/>
    <s v=" UK                "/>
    <x v="2"/>
    <n v="2016"/>
    <x v="6"/>
    <n v="14"/>
    <n v="13"/>
    <x v="0"/>
  </r>
  <r>
    <s v="Confidence soars after overcoming public speaking anxiety.       "/>
    <s v="Confidence soars after overcoming public speaking anxiety.."/>
    <s v=" Confidence    "/>
    <x v="90"/>
    <d v="2020-04-02T17:30:00"/>
    <x v="4"/>
    <s v=" PublicSpeaker   "/>
    <s v="PublicSpeaker"/>
    <x v="1"/>
    <x v="1"/>
    <s v=" #Confidence #OvercomingAnxiety          "/>
    <n v="15"/>
    <n v="30"/>
    <s v=" USA               "/>
    <x v="0"/>
    <n v="2020"/>
    <x v="7"/>
    <n v="2"/>
    <n v="17"/>
    <x v="0"/>
  </r>
  <r>
    <s v="Contentment in the midst of a family gathering filled with laughter. "/>
    <s v="Contentment in the midst of a family gathering filled with laughter.."/>
    <s v=" Contentment   "/>
    <x v="29"/>
    <d v="2023-01-15T19:00:00"/>
    <x v="0"/>
    <s v=" FamilyCelebration "/>
    <s v="FamilyCelebration"/>
    <x v="2"/>
    <x v="2"/>
    <s v=" #Contentment #FamilyLaughter             "/>
    <n v="25"/>
    <n v="50"/>
    <s v=" Canada            "/>
    <x v="1"/>
    <n v="2023"/>
    <x v="0"/>
    <n v="15"/>
    <n v="19"/>
    <x v="0"/>
  </r>
  <r>
    <s v="Enthusiasm for learning new skills and expanding knowledge.      "/>
    <s v="Enthusiasm for learning new skills and expanding knowledge.."/>
    <s v=" Enthusiasm    "/>
    <x v="37"/>
    <d v="2018-08-07T12:15:00"/>
    <x v="2"/>
    <s v=" LifelongLearner "/>
    <s v="LifelongLearner"/>
    <x v="0"/>
    <x v="0"/>
    <s v=" #Enthusiasm #SkillBuilding               "/>
    <n v="30"/>
    <n v="60"/>
    <s v=" India             "/>
    <x v="4"/>
    <n v="2018"/>
    <x v="4"/>
    <n v="7"/>
    <n v="12"/>
    <x v="0"/>
  </r>
  <r>
    <s v="Surprise and delight at discovering a hidden gem in the city.    "/>
    <s v="Surprise and delight at discovering a hidden gem in the city.."/>
    <s v=" Surprise      "/>
    <x v="16"/>
    <d v="2019-10-18T16:45:00"/>
    <x v="5"/>
    <s v=" CityExplorer    "/>
    <s v="CityExplorer"/>
    <x v="1"/>
    <x v="1"/>
    <s v=" #Surprise #HiddenGem                      "/>
    <n v="18"/>
    <n v="35"/>
    <s v=" UK                "/>
    <x v="2"/>
    <n v="2019"/>
    <x v="10"/>
    <n v="18"/>
    <n v="16"/>
    <x v="0"/>
  </r>
  <r>
    <s v="A sense of accomplishment after completing a challenging workout."/>
    <s v="A sense of accomplishment after completing a challenging workout.."/>
    <s v=" Accomplishment "/>
    <x v="91"/>
    <d v="2022-06-30T07:00:00"/>
    <x v="4"/>
    <s v=" FitnessAchiever "/>
    <s v="FitnessAchiever"/>
    <x v="2"/>
    <x v="2"/>
    <s v=" #Accomplishment #FitnessSuccess         "/>
    <n v="22"/>
    <n v="45"/>
    <s v=" Australia          "/>
    <x v="3"/>
    <n v="2022"/>
    <x v="5"/>
    <n v="30"/>
    <n v="7"/>
    <x v="0"/>
  </r>
  <r>
    <s v="Wonderment at the beauty of a double rainbow after the rain.     "/>
    <s v="Wonderment at the beauty of a double rainbow after the rain.."/>
    <s v=" Wonderment    "/>
    <x v="92"/>
    <d v="2017-06-12T18:20:00"/>
    <x v="1"/>
    <s v=" RainbowChaser   "/>
    <s v="RainbowChaser"/>
    <x v="0"/>
    <x v="0"/>
    <s v=" #Wonderment #DoubleRainbow               "/>
    <n v="35"/>
    <n v="70"/>
    <s v=" USA               "/>
    <x v="0"/>
    <n v="2017"/>
    <x v="5"/>
    <n v="12"/>
    <n v="18"/>
    <x v="0"/>
  </r>
  <r>
    <s v="Optimism for a bright future amidst challenging times.           "/>
    <s v="Optimism for a bright future amidst challenging times.."/>
    <s v=" Optimism      "/>
    <x v="93"/>
    <d v="2021-07-05T09:30:00"/>
    <x v="1"/>
    <s v=" FutureOptimist  "/>
    <s v="FutureOptimist"/>
    <x v="1"/>
    <x v="1"/>
    <s v=" #Optimism #BrightFuture                  "/>
    <n v="20"/>
    <n v="40"/>
    <s v=" Canada            "/>
    <x v="1"/>
    <n v="2021"/>
    <x v="9"/>
    <n v="5"/>
    <n v="9"/>
    <x v="0"/>
  </r>
  <r>
    <s v="Pride in achieving a personal milestone in career progression.   "/>
    <s v="Pride in achieving a personal milestone in career progression.."/>
    <s v=" Pride         "/>
    <x v="25"/>
    <d v="2016-04-15T14:50:00"/>
    <x v="5"/>
    <s v=" CareerAchiever  "/>
    <s v="CareerAchiever"/>
    <x v="2"/>
    <x v="2"/>
    <s v=" #Pride #CareerMilestone                  "/>
    <n v="28"/>
    <n v="55"/>
    <s v=" UK                "/>
    <x v="2"/>
    <n v="2016"/>
    <x v="7"/>
    <n v="15"/>
    <n v="14"/>
    <x v="0"/>
  </r>
  <r>
    <s v="Happiness blooms like flowers in a garden on a sunny day.        "/>
    <s v="Happiness blooms like flowers in a garden on a sunny day.."/>
    <s v=" Happiness     "/>
    <x v="7"/>
    <d v="2020-02-10T11:15:00"/>
    <x v="1"/>
    <s v=" SunnyDayEnthusiast "/>
    <s v="SunnyDayEnthusiast"/>
    <x v="0"/>
    <x v="0"/>
    <s v=" #Happiness #SunnyDay                      "/>
    <n v="15"/>
    <n v="30"/>
    <s v=" India             "/>
    <x v="4"/>
    <n v="2020"/>
    <x v="1"/>
    <n v="10"/>
    <n v="11"/>
    <x v="0"/>
  </r>
  <r>
    <s v="Elation over discovering a rare book in a quaint bookstore.      "/>
    <s v="Elation over discovering a rare book in a quaint bookstore.."/>
    <s v=" Elation       "/>
    <x v="27"/>
    <d v="2018-09-22T16:30:00"/>
    <x v="6"/>
    <s v=" Bookworm        "/>
    <s v="Bookworm"/>
    <x v="1"/>
    <x v="1"/>
    <s v=" #Elation #RareBookDiscovery              "/>
    <n v="40"/>
    <n v="80"/>
    <s v=" USA               "/>
    <x v="0"/>
    <n v="2018"/>
    <x v="8"/>
    <n v="22"/>
    <n v="16"/>
    <x v="0"/>
  </r>
  <r>
    <s v="Curiosity piqued by the mysteries of an ancient archaeological site."/>
    <s v="Curiosity piqued by the mysteries of an ancient archaeological site.."/>
    <s v=" Curiosity   "/>
    <x v="52"/>
    <d v="2015-11-08T10:00:00"/>
    <x v="0"/>
    <s v=" ArchaeologyEnthusiast "/>
    <s v="ArchaeologyEnthusiast"/>
    <x v="2"/>
    <x v="2"/>
    <s v=" #Curiosity #AncientMysteries            "/>
    <n v="18"/>
    <n v="35"/>
    <s v=" Australia          "/>
    <x v="3"/>
    <n v="2015"/>
    <x v="6"/>
    <n v="8"/>
    <n v="10"/>
    <x v="0"/>
  </r>
  <r>
    <s v="Mesmerized by the cosmic dance of fireflies on a moonlit night.    "/>
    <s v="Mesmerized by the cosmic dance of fireflies on a moonlit night.."/>
    <s v=" Enchantment   "/>
    <x v="94"/>
    <d v="2022-08-10T22:00:00"/>
    <x v="3"/>
    <s v=" NightSkyObserver "/>
    <s v="NightSkyObserver"/>
    <x v="1"/>
    <x v="1"/>
    <s v=" #Enchantment #CosmicFireflies             "/>
    <n v="25"/>
    <n v="50"/>
    <s v=" Brazil           "/>
    <x v="6"/>
    <n v="2022"/>
    <x v="4"/>
    <n v="10"/>
    <n v="22"/>
    <x v="0"/>
  </r>
  <r>
    <s v="Intrigued by the symphony of colors in an abstract art exhibition. "/>
    <s v="Intrigued by the symphony of colors in an abstract art exhibition.."/>
    <s v=" Intrigue      "/>
    <x v="95"/>
    <d v="2019-04-05T17:30:00"/>
    <x v="5"/>
    <s v=" ArtConnoisseur  "/>
    <s v="ArtConnoisseur"/>
    <x v="0"/>
    <x v="0"/>
    <s v=" #Intrigue #AbstractArt                   "/>
    <n v="18"/>
    <n v="35"/>
    <s v=" France           "/>
    <x v="5"/>
    <n v="2019"/>
    <x v="7"/>
    <n v="5"/>
    <n v="17"/>
    <x v="0"/>
  </r>
  <r>
    <s v="Giggles and joy echo in the air during a children's playdate.      "/>
    <s v="Giggles and joy echo in the air during a children's playdate.."/>
    <s v=" PlayfulJoy    "/>
    <x v="96"/>
    <d v="2020-12-15T15:45:00"/>
    <x v="2"/>
    <s v=" PlayfulParent   "/>
    <s v="PlayfulParent"/>
    <x v="2"/>
    <x v="2"/>
    <s v=" #PlayfulJoy #ChildrensPlaydate           "/>
    <n v="22"/>
    <n v="45"/>
    <s v=" Japan            "/>
    <x v="7"/>
    <n v="2020"/>
    <x v="11"/>
    <n v="15"/>
    <n v="15"/>
    <x v="0"/>
  </r>
  <r>
    <s v="Enveloped in serenity while practicing mindfulness by the lake.    "/>
    <s v="Enveloped in serenity while practicing mindfulness by the lake.."/>
    <s v=" Mindfulness   "/>
    <x v="97"/>
    <d v="2017-10-20T08:15:00"/>
    <x v="5"/>
    <s v=" ZenSeeker       "/>
    <s v="ZenSeeker"/>
    <x v="1"/>
    <x v="1"/>
    <s v=" #Mindfulness #LakeTranquility            "/>
    <n v="35"/>
    <n v="70"/>
    <s v=" Canada           "/>
    <x v="1"/>
    <n v="2017"/>
    <x v="10"/>
    <n v="20"/>
    <n v="8"/>
    <x v="0"/>
  </r>
  <r>
    <s v="Chasing dreams like a kite soaring high in the vast open sky.      "/>
    <s v="Chasing dreams like a kite soaring high in the vast open sky.."/>
    <s v=" DreamChaser   "/>
    <x v="98"/>
    <d v="2021-02-28T13:00:00"/>
    <x v="0"/>
    <s v=" SkyDreamer      "/>
    <s v="SkyDreamer"/>
    <x v="0"/>
    <x v="0"/>
    <s v=" #DreamChaser #SkyHighDreams              "/>
    <n v="30"/>
    <n v="60"/>
    <s v=" Australia         "/>
    <x v="3"/>
    <n v="2021"/>
    <x v="1"/>
    <n v="28"/>
    <n v="13"/>
    <x v="0"/>
  </r>
  <r>
    <s v="Spellbound by the elegance of a ballroom dance under crystal chandeliers. "/>
    <s v="Spellbound by the elegance of a ballroom dance under crystal chandeliers.."/>
    <s v=" Elegance "/>
    <x v="99"/>
    <d v="2018-06-12T20:30:00"/>
    <x v="2"/>
    <s v=" DanceEnthusiast "/>
    <s v="DanceEnthusiast"/>
    <x v="2"/>
    <x v="2"/>
    <s v=" #Elegance #BallroomDance                "/>
    <n v="28"/>
    <n v="55"/>
    <s v=" UK               "/>
    <x v="2"/>
    <n v="2018"/>
    <x v="5"/>
    <n v="12"/>
    <n v="20"/>
    <x v="0"/>
  </r>
  <r>
    <s v="Whimsical delight in a world of fairy tales and magical creatures.  "/>
    <s v="Whimsical delight in a world of fairy tales and magical creatures.."/>
    <s v=" Whimsy        "/>
    <x v="100"/>
    <d v="2016-03-08T14:20:00"/>
    <x v="2"/>
    <s v=" FairyTaleExplorer "/>
    <s v="FairyTaleExplorer"/>
    <x v="1"/>
    <x v="1"/>
    <s v=" #Whimsy #MagicalWorld                    "/>
    <n v="20"/>
    <n v="40"/>
    <s v=" USA             "/>
    <x v="0"/>
    <n v="2016"/>
    <x v="2"/>
    <n v="8"/>
    <n v="14"/>
    <x v="0"/>
  </r>
  <r>
    <s v="Pensive contemplation amid the ancient ruins of a forgotten civilization. "/>
    <s v="Pensive contemplation amid the ancient ruins of a forgotten civilization.."/>
    <s v=" Pensive "/>
    <x v="101"/>
    <d v="2023-04-18T17:10:00"/>
    <x v="2"/>
    <s v=" RuinsExplorer   "/>
    <s v="RuinsExplorer"/>
    <x v="0"/>
    <x v="0"/>
    <s v=" #Pensive #AncientCivilization           "/>
    <n v="18"/>
    <n v="35"/>
    <s v=" Greece           "/>
    <x v="8"/>
    <n v="2023"/>
    <x v="7"/>
    <n v="18"/>
    <n v="17"/>
    <x v="0"/>
  </r>
  <r>
    <s v="Embracing the thrill of speed on a rollercoaster's exhilarating twists. "/>
    <s v="Embracing the thrill of speed on a rollercoaster's exhilarating twists.."/>
    <s v=" Thrill      "/>
    <x v="79"/>
    <d v="2020-07-25T12:45:00"/>
    <x v="6"/>
    <s v=" RollercoasterFan "/>
    <s v="RollercoasterFan"/>
    <x v="2"/>
    <x v="2"/>
    <s v=" #Thrill #RollercoasterAdventure        "/>
    <n v="22"/>
    <n v="45"/>
    <s v=" Germany         "/>
    <x v="9"/>
    <n v="2020"/>
    <x v="9"/>
    <n v="25"/>
    <n v="12"/>
    <x v="0"/>
  </r>
  <r>
    <s v="Harmony resonates as musicians play a melody of unity and togetherness. "/>
    <s v="Harmony resonates as musicians play a melody of unity and togetherness.."/>
    <s v=" Harmony    "/>
    <x v="102"/>
    <d v="2019-11-30T19:30:00"/>
    <x v="6"/>
    <s v=" MusicHarmonist  "/>
    <s v="MusicHarmonist"/>
    <x v="1"/>
    <x v="1"/>
    <s v=" #Harmony #MusicalUnity                   "/>
    <n v="35"/>
    <n v="70"/>
    <s v=" Sweden          "/>
    <x v="10"/>
    <n v="2019"/>
    <x v="6"/>
    <n v="30"/>
    <n v="19"/>
    <x v="0"/>
  </r>
  <r>
    <s v="A burst of creativity in the quiet solitude of an artist's studio.  "/>
    <s v="A burst of creativity in the quiet solitude of an artist's studio.."/>
    <s v=" Creativity   "/>
    <x v="103"/>
    <d v="2015-09-01T16:00:00"/>
    <x v="2"/>
    <s v=" StudioArtist    "/>
    <s v="StudioArtist"/>
    <x v="0"/>
    <x v="0"/>
    <s v=" #Creativity #ArtistsHaven               "/>
    <n v="15"/>
    <n v="30"/>
    <s v=" Italy           "/>
    <x v="11"/>
    <n v="2015"/>
    <x v="8"/>
    <n v="1"/>
    <n v="16"/>
    <x v="0"/>
  </r>
  <r>
    <s v="Radiant joy akin to blooming flowers on a sun-kissed spring morning. "/>
    <s v="Radiant joy akin to blooming flowers on a sun-kissed spring morning.."/>
    <s v=" Radiance    "/>
    <x v="104"/>
    <d v="2022-05-05T10:15:00"/>
    <x v="4"/>
    <s v=" SpringEnthusiast "/>
    <s v="SpringEnthusiast"/>
    <x v="2"/>
    <x v="2"/>
    <s v=" #Radiance #SpringBlooms                 "/>
    <n v="25"/>
    <n v="50"/>
    <s v=" Netherlands     "/>
    <x v="12"/>
    <n v="2022"/>
    <x v="3"/>
    <n v="5"/>
    <n v="10"/>
    <x v="0"/>
  </r>
  <r>
    <s v="A sense of wonder at the vastness of the cosmos on a stargazing night. "/>
    <s v="A sense of wonder at the vastness of the cosmos on a stargazing night.."/>
    <s v=" Wonder     "/>
    <x v="105"/>
    <d v="2018-07-08T23:00:00"/>
    <x v="0"/>
    <s v=" CosmosExplorer  "/>
    <s v="CosmosExplorer"/>
    <x v="1"/>
    <x v="1"/>
    <s v=" #Wonder #StargazingAdventure            "/>
    <n v="40"/>
    <n v="80"/>
    <s v=" South Africa    "/>
    <x v="13"/>
    <n v="2018"/>
    <x v="9"/>
    <n v="8"/>
    <n v="23"/>
    <x v="0"/>
  </r>
  <r>
    <s v="Rejuvenated by the salty breeze and the sound of waves at the seaside. "/>
    <s v="Rejuvenated by the salty breeze and the sound of waves at the seaside.."/>
    <s v=" Rejuvenation "/>
    <x v="106"/>
    <d v="2021-09-20T14:30:00"/>
    <x v="1"/>
    <s v=" SeaBreezeLover "/>
    <s v="SeaBreezeLover"/>
    <x v="0"/>
    <x v="0"/>
    <s v=" #Rejuvenation #SeasideEscape            "/>
    <n v="18"/>
    <n v="35"/>
    <s v=" Spain           "/>
    <x v="14"/>
    <n v="2021"/>
    <x v="8"/>
    <n v="20"/>
    <n v="14"/>
    <x v="0"/>
  </r>
  <r>
    <s v="Whispers of inspiration from the rustling leaves in a serene forest. "/>
    <s v="Whispers of inspiration from the rustling leaves in a serene forest.."/>
    <s v=" Inspiration "/>
    <x v="82"/>
    <d v="2016-11-15T11:45:00"/>
    <x v="2"/>
    <s v=" ForestDreamer   "/>
    <s v="ForestDreamer"/>
    <x v="2"/>
    <x v="2"/>
    <s v=" #Inspiration #ForestWhispers            "/>
    <n v="28"/>
    <n v="55"/>
    <s v=" Portugal        "/>
    <x v="15"/>
    <n v="2016"/>
    <x v="6"/>
    <n v="15"/>
    <n v="11"/>
    <x v="0"/>
  </r>
  <r>
    <s v="Savoring the warmth of a cup of cocoa on a chilly winter evening.   "/>
    <s v="Savoring the warmth of a cup of cocoa on a chilly winter evening.."/>
    <s v=" Coziness     "/>
    <x v="107"/>
    <d v="2020-01-12T18:00:00"/>
    <x v="0"/>
    <s v=" WinterWarmth    "/>
    <s v="WinterWarmth"/>
    <x v="1"/>
    <x v="1"/>
    <s v=" #Coziness #WarmWinterEvening           "/>
    <n v="30"/>
    <n v="60"/>
    <s v=" Switzerland     "/>
    <x v="16"/>
    <n v="2020"/>
    <x v="0"/>
    <n v="12"/>
    <n v="18"/>
    <x v="0"/>
  </r>
  <r>
    <s v="Heartfelt gratitude for the laughter shared during a family reunion. "/>
    <s v="Heartfelt gratitude for the laughter shared during a family reunion.."/>
    <s v=" Gratitude  "/>
    <x v="31"/>
    <d v="2017-12-28T19:15:00"/>
    <x v="4"/>
    <s v=" FamilyGatherer "/>
    <s v="FamilyGatherer"/>
    <x v="2"/>
    <x v="2"/>
    <s v=" #Gratitude #FamilyLaughter              "/>
    <n v="22"/>
    <n v="45"/>
    <s v=" Austria         "/>
    <x v="17"/>
    <n v="2017"/>
    <x v="11"/>
    <n v="28"/>
    <n v="19"/>
    <x v="0"/>
  </r>
  <r>
    <s v="Embarking on a culinary adventure, savoring exotic flavors around the world. "/>
    <s v="Embarking on a culinary adventure, savoring exotic flavors around the world.."/>
    <s v=" Adventure "/>
    <x v="108"/>
    <d v="2019-03-02T20:20:00"/>
    <x v="6"/>
    <s v=" CulinaryExplorer "/>
    <s v="CulinaryExplorer"/>
    <x v="0"/>
    <x v="0"/>
    <s v=" #Adventure #CulinaryJourney             "/>
    <n v="35"/>
    <n v="70"/>
    <s v=" Belgium         "/>
    <x v="18"/>
    <n v="2019"/>
    <x v="2"/>
    <n v="2"/>
    <n v="20"/>
    <x v="0"/>
  </r>
  <r>
    <s v="Euphoria floods in as the final puzzle piece clicks into place.       "/>
    <s v="Euphoria floods in as the final puzzle piece clicks into place.."/>
    <s v=" Euphoria   "/>
    <x v="28"/>
    <d v="2022-06-08T15:30:00"/>
    <x v="3"/>
    <s v=" PuzzleSolver    "/>
    <s v="PuzzleSolver"/>
    <x v="1"/>
    <x v="1"/>
    <s v=" #Euphoria #PuzzleCompletion            "/>
    <n v="20"/>
    <n v="40"/>
    <s v=" Denmark         "/>
    <x v="19"/>
    <n v="2022"/>
    <x v="5"/>
    <n v="8"/>
    <n v="15"/>
    <x v="0"/>
  </r>
  <r>
    <s v="Awe-inspired by the grandeur of an ancient cathedral's intricate architecture. "/>
    <s v="Awe-inspired by the grandeur of an ancient cathedral's intricate architecture.."/>
    <s v=" Awe    "/>
    <x v="14"/>
    <d v="2018-08-18T14:45:00"/>
    <x v="6"/>
    <s v=" CathedralVisitor "/>
    <s v="CathedralVisitor"/>
    <x v="2"/>
    <x v="2"/>
    <s v=" #Awe #ArchitecturalGrandeur            "/>
    <n v="18"/>
    <n v="35"/>
    <s v=" Czech Republic  "/>
    <x v="20"/>
    <n v="2018"/>
    <x v="4"/>
    <n v="18"/>
    <n v="14"/>
    <x v="0"/>
  </r>
  <r>
    <s v="Captivated by the ethereal beauty of a field filled with fireflies. "/>
    <s v="Captivated by the ethereal beauty of a field filled with fireflies.."/>
    <s v=" Enchantment   "/>
    <x v="94"/>
    <d v="2022-08-10T22:00:00"/>
    <x v="3"/>
    <s v=" NightSkyObserver "/>
    <s v="NightSkyObserver"/>
    <x v="1"/>
    <x v="1"/>
    <s v=" #Enchantment #FireflyField              "/>
    <n v="25"/>
    <n v="50"/>
    <s v=" Brazil           "/>
    <x v="6"/>
    <n v="2022"/>
    <x v="4"/>
    <n v="10"/>
    <n v="22"/>
    <x v="0"/>
  </r>
  <r>
    <s v="Immersed in the enchanting melodies of a street musician's violin. "/>
    <s v="Immersed in the enchanting melodies of a street musician's violin.."/>
    <s v=" Melodic       "/>
    <x v="109"/>
    <d v="2019-04-05T17:30:00"/>
    <x v="5"/>
    <s v=" MusicLover      "/>
    <s v="MusicLover"/>
    <x v="0"/>
    <x v="0"/>
    <s v=" #Melodic #StreetMusic                   "/>
    <n v="18"/>
    <n v="35"/>
    <s v=" France           "/>
    <x v="5"/>
    <n v="2019"/>
    <x v="7"/>
    <n v="5"/>
    <n v="17"/>
    <x v="0"/>
  </r>
  <r>
    <s v="Joyful laughter resonates through a lively summer carnival.         "/>
    <s v="Joyful laughter resonates through a lively summer carnival.."/>
    <s v=" FestiveJoy    "/>
    <x v="110"/>
    <d v="2020-12-15T15:45:00"/>
    <x v="2"/>
    <s v=" CarnivalGoer    "/>
    <s v="CarnivalGoer"/>
    <x v="2"/>
    <x v="2"/>
    <s v=" #FestiveJoy #SummerCarnival             "/>
    <n v="22"/>
    <n v="45"/>
    <s v=" Japan            "/>
    <x v="7"/>
    <n v="2020"/>
    <x v="11"/>
    <n v="15"/>
    <n v="15"/>
    <x v="0"/>
  </r>
  <r>
    <s v="Exploring the universe within during a mindful meditation session. "/>
    <s v="Exploring the universe within during a mindful meditation session.."/>
    <s v=" InnerJourney  "/>
    <x v="111"/>
    <d v="2017-10-20T08:15:00"/>
    <x v="5"/>
    <s v=" MindfulExplorer "/>
    <s v="MindfulExplorer"/>
    <x v="1"/>
    <x v="1"/>
    <s v=" #InnerJourney #MeditationBliss          "/>
    <n v="35"/>
    <n v="70"/>
    <s v=" Canada           "/>
    <x v="1"/>
    <n v="2017"/>
    <x v="10"/>
    <n v="20"/>
    <n v="8"/>
    <x v="0"/>
  </r>
  <r>
    <s v="Soaring like a free spirit on the winds of a coastal cliff.        "/>
    <s v="Soaring like a free spirit on the winds of a coastal cliff.."/>
    <s v=" Freedom       "/>
    <x v="112"/>
    <d v="2021-02-28T13:00:00"/>
    <x v="0"/>
    <s v=" CoastalExplorer "/>
    <s v="CoastalExplorer"/>
    <x v="0"/>
    <x v="0"/>
    <s v=" #Freedom #CoastalAdventure              "/>
    <n v="30"/>
    <n v="60"/>
    <s v=" Australia         "/>
    <x v="3"/>
    <n v="2021"/>
    <x v="1"/>
    <n v="28"/>
    <n v="13"/>
    <x v="0"/>
  </r>
  <r>
    <s v="Dazzled by the elegance of a masquerade ball's dazzling costumes. "/>
    <s v="Dazzled by the elegance of a masquerade ball's dazzling costumes.."/>
    <s v=" Dazzle        "/>
    <x v="113"/>
    <d v="2018-06-12T20:30:00"/>
    <x v="2"/>
    <s v=" MasqueradeAttendee "/>
    <s v="MasqueradeAttendee"/>
    <x v="2"/>
    <x v="2"/>
    <s v=" #Dazzle #MasqueradeElegance            "/>
    <n v="28"/>
    <n v="55"/>
    <s v=" UK               "/>
    <x v="2"/>
    <n v="2018"/>
    <x v="5"/>
    <n v="12"/>
    <n v="20"/>
    <x v="0"/>
  </r>
  <r>
    <s v="Whimsical delight in a world of whimsical fairy tales.             "/>
    <s v="Whimsical delight in a world of whimsical fairy tales.."/>
    <s v=" Whimsy        "/>
    <x v="100"/>
    <d v="2016-03-08T14:20:00"/>
    <x v="2"/>
    <s v=" FairyTaleAdventurer "/>
    <s v="FairyTaleAdventurer"/>
    <x v="1"/>
    <x v="1"/>
    <s v=" #Whimsy #FairyTaleMagic                 "/>
    <n v="20"/>
    <n v="40"/>
    <s v=" USA             "/>
    <x v="0"/>
    <n v="2016"/>
    <x v="2"/>
    <n v="8"/>
    <n v="14"/>
    <x v="0"/>
  </r>
  <r>
    <s v="Reflective contemplation amid the ruins of a forgotten era.        "/>
    <s v="Reflective contemplation amid the ruins of a forgotten era.."/>
    <s v=" Reflection    "/>
    <x v="88"/>
    <d v="2023-04-18T17:10:00"/>
    <x v="2"/>
    <s v=" RuinsExplorer   "/>
    <s v="RuinsExplorer"/>
    <x v="0"/>
    <x v="0"/>
    <s v=" #Reflection #ForgottenEra               "/>
    <n v="18"/>
    <n v="35"/>
    <s v=" Greece           "/>
    <x v="8"/>
    <n v="2023"/>
    <x v="7"/>
    <n v="18"/>
    <n v="17"/>
    <x v="0"/>
  </r>
  <r>
    <s v="Riding the adrenaline rush on a rollercoaster's wild twists.      "/>
    <s v="Riding the adrenaline rush on a rollercoaster's wild twists.."/>
    <s v=" Adrenaline     "/>
    <x v="114"/>
    <d v="2020-07-25T12:45:00"/>
    <x v="6"/>
    <s v=" ThrillSeeker    "/>
    <s v="ThrillSeeker"/>
    <x v="2"/>
    <x v="2"/>
    <s v=" #Adrenaline #RollercoasterThrills      "/>
    <n v="22"/>
    <n v="45"/>
    <s v=" Germany         "/>
    <x v="9"/>
    <n v="2020"/>
    <x v="9"/>
    <n v="25"/>
    <n v="12"/>
    <x v="0"/>
  </r>
  <r>
    <s v="Harmony resonates as musicians play a symphony of unity.           "/>
    <s v="Harmony resonates as musicians play a symphony of unity.."/>
    <s v=" Harmony       "/>
    <x v="102"/>
    <d v="2019-11-30T19:30:00"/>
    <x v="6"/>
    <s v=" MusicHarmonist  "/>
    <s v="MusicHarmonist"/>
    <x v="1"/>
    <x v="1"/>
    <s v=" #Harmony #MusicalUnity                   "/>
    <n v="35"/>
    <n v="70"/>
    <s v=" Sweden          "/>
    <x v="10"/>
    <n v="2019"/>
    <x v="6"/>
    <n v="30"/>
    <n v="19"/>
    <x v="0"/>
  </r>
  <r>
    <s v="A burst of artistic creativity in the quietude of an artist's studio. "/>
    <s v="A burst of artistic creativity in the quietude of an artist's studio.."/>
    <s v=" ArtisticBurst "/>
    <x v="115"/>
    <d v="2015-09-01T16:00:00"/>
    <x v="2"/>
    <s v=" StudioArtist    "/>
    <s v="StudioArtist"/>
    <x v="0"/>
    <x v="0"/>
    <s v=" #ArtisticBurst #StudioCreativity       "/>
    <n v="15"/>
    <n v="30"/>
    <s v=" Italy           "/>
    <x v="11"/>
    <n v="2015"/>
    <x v="8"/>
    <n v="1"/>
    <n v="16"/>
    <x v="0"/>
  </r>
  <r>
    <s v="Radiant joy akin to blossoming flowers on a sunlit spring morning. "/>
    <s v="Radiant joy akin to blossoming flowers on a sunlit spring morning.."/>
    <s v=" Radiance      "/>
    <x v="104"/>
    <d v="2022-05-05T10:15:00"/>
    <x v="4"/>
    <s v=" SpringEnthusiast "/>
    <s v="SpringEnthusiast"/>
    <x v="2"/>
    <x v="2"/>
    <s v=" #Radiance #SpringBlooms                 "/>
    <n v="25"/>
    <n v="50"/>
    <s v=" Netherlands     "/>
    <x v="12"/>
    <n v="2022"/>
    <x v="3"/>
    <n v="5"/>
    <n v="10"/>
    <x v="0"/>
  </r>
  <r>
    <s v="Awe-inspired by the vastness of the cosmos on a stargazing night.   "/>
    <s v="Awe-inspired by the vastness of the cosmos on a stargazing night.."/>
    <s v=" Wonder       "/>
    <x v="105"/>
    <d v="2018-07-08T23:00:00"/>
    <x v="0"/>
    <s v=" CosmosExplorer  "/>
    <s v="CosmosExplorer"/>
    <x v="1"/>
    <x v="1"/>
    <s v=" #Wonder #StargazingAdventure            "/>
    <n v="40"/>
    <n v="80"/>
    <s v=" South Africa    "/>
    <x v="13"/>
    <n v="2018"/>
    <x v="9"/>
    <n v="8"/>
    <n v="23"/>
    <x v="0"/>
  </r>
  <r>
    <s v="Rejuvenated by the salty breeze and the sound of waves at the seaside. "/>
    <s v="Rejuvenated by the salty breeze and the sound of waves at the seaside.."/>
    <s v=" Rejuvenation "/>
    <x v="106"/>
    <d v="2021-09-20T14:30:00"/>
    <x v="1"/>
    <s v=" SeaBreezeLover "/>
    <s v="SeaBreezeLover"/>
    <x v="0"/>
    <x v="0"/>
    <s v=" #Rejuvenation #SeasideEscape            "/>
    <n v="18"/>
    <n v="35"/>
    <s v=" Spain           "/>
    <x v="14"/>
    <n v="2021"/>
    <x v="8"/>
    <n v="20"/>
    <n v="14"/>
    <x v="0"/>
  </r>
  <r>
    <s v="Whispers of inspiration from the rustling leaves in a serene forest. "/>
    <s v="Whispers of inspiration from the rustling leaves in a serene forest.."/>
    <s v=" Inspiration  "/>
    <x v="82"/>
    <d v="2016-11-15T11:45:00"/>
    <x v="2"/>
    <s v=" ForestDreamer   "/>
    <s v="ForestDreamer"/>
    <x v="2"/>
    <x v="2"/>
    <s v=" #Inspiration #ForestWhispers            "/>
    <n v="28"/>
    <n v="55"/>
    <s v=" Portugal        "/>
    <x v="15"/>
    <n v="2016"/>
    <x v="6"/>
    <n v="15"/>
    <n v="11"/>
    <x v="0"/>
  </r>
  <r>
    <s v="Savoring the warmth of a cup of cocoa on a chilly winter evening.   "/>
    <s v="Savoring the warmth of a cup of cocoa on a chilly winter evening.."/>
    <s v=" Coziness     "/>
    <x v="107"/>
    <d v="2020-01-12T18:00:00"/>
    <x v="0"/>
    <s v=" WinterWarmth    "/>
    <s v="WinterWarmth"/>
    <x v="1"/>
    <x v="1"/>
    <s v=" #Coziness #WarmWinterEvening           "/>
    <n v="30"/>
    <n v="60"/>
    <s v=" Switzerland     "/>
    <x v="16"/>
    <n v="2020"/>
    <x v="0"/>
    <n v="12"/>
    <n v="18"/>
    <x v="0"/>
  </r>
  <r>
    <s v="Heartfelt gratitude for the laughter shared during a family reunion. "/>
    <s v="Heartfelt gratitude for the laughter shared during a family reunion.."/>
    <s v=" Gratitude  "/>
    <x v="31"/>
    <d v="2017-12-28T19:15:00"/>
    <x v="4"/>
    <s v=" FamilyGatherer "/>
    <s v="FamilyGatherer"/>
    <x v="2"/>
    <x v="2"/>
    <s v=" #Gratitude #FamilyLaughter              "/>
    <n v="22"/>
    <n v="45"/>
    <s v=" Austria         "/>
    <x v="17"/>
    <n v="2017"/>
    <x v="11"/>
    <n v="28"/>
    <n v="19"/>
    <x v="0"/>
  </r>
  <r>
    <s v="Embarking on a culinary odyssey, savoring flavors around the world. "/>
    <s v="Embarking on a culinary odyssey, savoring flavors around the world.."/>
    <s v=" CulinaryOdyssey "/>
    <x v="116"/>
    <d v="2019-03-02T20:20:00"/>
    <x v="6"/>
    <s v=" CulinaryExplorer "/>
    <s v="CulinaryExplorer"/>
    <x v="0"/>
    <x v="0"/>
    <s v=" #CulinaryOdyssey #FlavorsAroundTheWorld "/>
    <n v="35"/>
    <n v="70"/>
    <s v=" Belgium         "/>
    <x v="18"/>
    <n v="2019"/>
    <x v="2"/>
    <n v="2"/>
    <n v="20"/>
    <x v="0"/>
  </r>
  <r>
    <s v="Euphoria floods in as the final puzzle piece fits perfectly.       "/>
    <s v="Euphoria floods in as the final puzzle piece fits perfectly.."/>
    <s v=" Euphoria     "/>
    <x v="28"/>
    <d v="2022-06-08T15:30:00"/>
    <x v="3"/>
    <s v=" PuzzleSolver    "/>
    <s v="PuzzleSolver"/>
    <x v="1"/>
    <x v="1"/>
    <s v=" #Euphoria #PerfectPuzzle               "/>
    <n v="20"/>
    <n v="40"/>
    <s v=" Denmark         "/>
    <x v="19"/>
    <n v="2022"/>
    <x v="5"/>
    <n v="8"/>
    <n v="15"/>
    <x v="0"/>
  </r>
  <r>
    <s v="Awe-struck by the grandeur of an ancient cathedral's intricate architecture. "/>
    <s v="Awe-struck by the grandeur of an ancient cathedral's intricate architecture.."/>
    <s v=" Awe    "/>
    <x v="14"/>
    <d v="2018-08-18T14:45:00"/>
    <x v="6"/>
    <s v=" CathedralVisitor "/>
    <s v="CathedralVisitor"/>
    <x v="2"/>
    <x v="2"/>
    <s v=" #Awe #ArchitecturalGrandeur            "/>
    <n v="18"/>
    <n v="35"/>
    <s v=" Czech Republic  "/>
    <x v="20"/>
    <n v="2018"/>
    <x v="4"/>
    <n v="18"/>
    <n v="14"/>
    <x v="0"/>
  </r>
  <r>
    <s v="Curiosity awakened by the mysteries of an ancient archaeological site. "/>
    <s v="Curiosity awakened by the mysteries of an ancient archaeological site.."/>
    <s v=" Curiosity  "/>
    <x v="52"/>
    <d v="2015-11-08T10:00:00"/>
    <x v="0"/>
    <s v=" ArchaeologyEnthusiast "/>
    <s v="ArchaeologyEnthusiast"/>
    <x v="1"/>
    <x v="1"/>
    <s v=" #Curiosity #AncientMysteries          "/>
    <n v="18"/>
    <n v="35"/>
    <s v=" Australia "/>
    <x v="3"/>
    <n v="2015"/>
    <x v="6"/>
    <n v="8"/>
    <n v="10"/>
    <x v="0"/>
  </r>
  <r>
    <s v="Giddy with excitement as the first snowflakes dance from the sky. "/>
    <s v="Giddy with excitement as the first snowflakes dance from the sky.."/>
    <s v=" Excitement   "/>
    <x v="23"/>
    <d v="2020-12-02T17:30:00"/>
    <x v="3"/>
    <s v=" SnowfallEnthusiast "/>
    <s v="SnowfallEnthusiast"/>
    <x v="0"/>
    <x v="0"/>
    <s v=" #Excitement #SnowfallMagic             "/>
    <n v="22"/>
    <n v="45"/>
    <s v=" Canada         "/>
    <x v="1"/>
    <n v="2020"/>
    <x v="11"/>
    <n v="2"/>
    <n v="17"/>
    <x v="0"/>
  </r>
  <r>
    <s v="Contentment envelops as the aroma of freshly baked bread fills the air. "/>
    <s v="Contentment envelops as the aroma of freshly baked bread fills the air.."/>
    <s v=" Contentment "/>
    <x v="29"/>
    <d v="2017-06-10T12:15:00"/>
    <x v="6"/>
    <s v=" BreadLover     "/>
    <s v="BreadLover"/>
    <x v="1"/>
    <x v="1"/>
    <s v=" #Contentment #FreshBreadAroma          "/>
    <n v="28"/>
    <n v="55"/>
    <s v=" France          "/>
    <x v="5"/>
    <n v="2017"/>
    <x v="5"/>
    <n v="10"/>
    <n v="12"/>
    <x v="0"/>
  </r>
  <r>
    <s v="Inspired by the resilience of a lone tree standing tall in a storm. "/>
    <s v="Inspired by the resilience of a lone tree standing tall in a storm.."/>
    <s v=" Resilience   "/>
    <x v="117"/>
    <d v="2021-04-15T14:20:00"/>
    <x v="4"/>
    <s v=" NatureResilient "/>
    <s v="NatureResilient"/>
    <x v="2"/>
    <x v="2"/>
    <s v=" #Resilience #StandingTall              "/>
    <n v="35"/>
    <n v="70"/>
    <s v=" USA             "/>
    <x v="0"/>
    <n v="2021"/>
    <x v="7"/>
    <n v="15"/>
    <n v="14"/>
    <x v="0"/>
  </r>
  <r>
    <s v="Lost in the pages of a captivating novel, transported to another world. "/>
    <s v="Lost in the pages of a captivating novel, transported to another world.."/>
    <s v=" Immersion "/>
    <x v="118"/>
    <d v="2019-09-28T19:45:00"/>
    <x v="6"/>
    <s v=" Bookworm       "/>
    <s v="Bookworm"/>
    <x v="0"/>
    <x v="0"/>
    <s v=" #Immersion #CaptivatingNovel           "/>
    <n v="20"/>
    <n v="40"/>
    <s v=" UK              "/>
    <x v="2"/>
    <n v="2019"/>
    <x v="8"/>
    <n v="28"/>
    <n v="19"/>
    <x v="0"/>
  </r>
  <r>
    <s v="Drenched in nostalgia while flipping through an old family photo album. "/>
    <s v="Drenched in nostalgia while flipping through an old family photo album.."/>
    <s v=" Nostalgia "/>
    <x v="56"/>
    <d v="2016-12-05T21:00:00"/>
    <x v="1"/>
    <s v=" FamilyHistorian "/>
    <s v="FamilyHistorian"/>
    <x v="1"/>
    <x v="1"/>
    <s v=" #Nostalgia #FamilyPhotoAlbum           "/>
    <n v="25"/>
    <n v="50"/>
    <s v=" India          "/>
    <x v="4"/>
    <n v="2016"/>
    <x v="11"/>
    <n v="5"/>
    <n v="21"/>
    <x v="0"/>
  </r>
  <r>
    <s v="Spark of inspiration ignites like a shooting star in the night sky. "/>
    <s v="Spark of inspiration ignites like a shooting star in the night sky.."/>
    <s v=" Spark        "/>
    <x v="119"/>
    <d v="2018-02-10T23:30:00"/>
    <x v="6"/>
    <s v=" NightSkyWatcher "/>
    <s v="NightSkyWatcher"/>
    <x v="2"/>
    <x v="2"/>
    <s v=" #Spark #InspirationIgnited             "/>
    <n v="30"/>
    <n v="60"/>
    <s v=" Australia      "/>
    <x v="3"/>
    <n v="2018"/>
    <x v="1"/>
    <n v="10"/>
    <n v="23"/>
    <x v="0"/>
  </r>
  <r>
    <s v="Imbued with gratitude for the simple pleasure of a warm cup of tea. "/>
    <s v="Imbued with gratitude for the simple pleasure of a warm cup of tea.."/>
    <s v=" Gratitude    "/>
    <x v="31"/>
    <d v="2023-02-15T08:30:00"/>
    <x v="3"/>
    <s v=" TeaEnthusiast  "/>
    <s v="TeaEnthusiast"/>
    <x v="0"/>
    <x v="0"/>
    <s v=" #Gratitude #WarmTea                    "/>
    <n v="18"/>
    <n v="35"/>
    <s v=" Japan           "/>
    <x v="7"/>
    <n v="2023"/>
    <x v="1"/>
    <n v="15"/>
    <n v="8"/>
    <x v="0"/>
  </r>
  <r>
    <s v="Marveling at the kaleidoscope of colors in a vibrant street market. "/>
    <s v="Marveling at the kaleidoscope of colors in a vibrant street market.."/>
    <s v=" Marvel       "/>
    <x v="120"/>
    <d v="2015-08-22T15:00:00"/>
    <x v="6"/>
    <s v=" MarketExplorer "/>
    <s v="MarketExplorer"/>
    <x v="1"/>
    <x v="1"/>
    <s v=" #Marvel #ColorfulStreetMarket          "/>
    <n v="22"/>
    <n v="45"/>
    <s v=" Brazil          "/>
    <x v="6"/>
    <n v="2015"/>
    <x v="4"/>
    <n v="22"/>
    <n v="15"/>
    <x v="0"/>
  </r>
  <r>
    <s v="Awash with serenity as the sun sets over a tranquil lakeside retreat. "/>
    <s v="Awash with serenity as the sun sets over a tranquil lakeside retreat.."/>
    <s v=" Serenity   "/>
    <x v="30"/>
    <d v="2020-11-20T18:45:00"/>
    <x v="5"/>
    <s v=" LakesideRetreater "/>
    <s v="LakesideRetreater"/>
    <x v="2"/>
    <x v="2"/>
    <s v=" #Serenity #TranquilSunset              "/>
    <n v="28"/>
    <n v="55"/>
    <s v=" Germany       "/>
    <x v="9"/>
    <n v="2020"/>
    <x v="6"/>
    <n v="20"/>
    <n v="18"/>
    <x v="0"/>
  </r>
  <r>
    <s v="Drowning in sorrow as memories of lost love resurface.            "/>
    <s v="Drowning in sorrow as memories of lost love resurface.."/>
    <s v=" Heartbreak    "/>
    <x v="121"/>
    <d v="2019-08-05T21:00:00"/>
    <x v="1"/>
    <s v=" LostInLove      "/>
    <s v="LostInLove"/>
    <x v="1"/>
    <x v="1"/>
    <s v=" #Heartbreak #LostLove                    "/>
    <n v="15"/>
    <n v="30"/>
    <s v=" USA             "/>
    <x v="0"/>
    <n v="2019"/>
    <x v="4"/>
    <n v="5"/>
    <n v="21"/>
    <x v="0"/>
  </r>
  <r>
    <s v="Numbness sets in as the weight of loneliness grows heavier.       "/>
    <s v="Numbness sets in as the weight of loneliness grows heavier.."/>
    <s v=" Loneliness    "/>
    <x v="42"/>
    <d v="2021-02-12T16:45:00"/>
    <x v="5"/>
    <s v=" SolitudeSeeker "/>
    <s v="SolitudeSeeker"/>
    <x v="0"/>
    <x v="0"/>
    <s v=" #Loneliness #HeavyHeart                  "/>
    <n v="18"/>
    <n v="35"/>
    <s v=" Canada          "/>
    <x v="1"/>
    <n v="2021"/>
    <x v="1"/>
    <n v="12"/>
    <n v="16"/>
    <x v="0"/>
  </r>
  <r>
    <s v="Tears fall like raindrops, mourning the end of a cherished friendship. "/>
    <s v="Tears fall like raindrops, mourning the end of a cherished friendship.."/>
    <s v=" Grief      "/>
    <x v="41"/>
    <d v="2020-11-28T14:20:00"/>
    <x v="6"/>
    <s v=" FriendshipsEnd  "/>
    <s v="FriendshipsEnd"/>
    <x v="2"/>
    <x v="2"/>
    <s v=" #Grief #LostFriendship                  "/>
    <n v="22"/>
    <n v="45"/>
    <s v=" UK              "/>
    <x v="2"/>
    <n v="2020"/>
    <x v="6"/>
    <n v="28"/>
    <n v="14"/>
    <x v="0"/>
  </r>
  <r>
    <s v="Despair clouds the mind, feeling adrift in an endless sea of darkness. "/>
    <s v="Despair clouds the mind, feeling adrift in an endless sea of darkness.."/>
    <s v=" Despair   "/>
    <x v="40"/>
    <d v="2016-05-15T22:30:00"/>
    <x v="0"/>
    <s v=" LostInDarkness  "/>
    <s v="LostInDarkness"/>
    <x v="1"/>
    <x v="1"/>
    <s v=" #Despair #EndlessDarkness               "/>
    <n v="28"/>
    <n v="55"/>
    <s v=" Australia        "/>
    <x v="3"/>
    <n v="2016"/>
    <x v="3"/>
    <n v="15"/>
    <n v="22"/>
    <x v="0"/>
  </r>
  <r>
    <s v="Shattered by betrayal, trust crumbles like fragile glass.          "/>
    <s v="Shattered by betrayal, trust crumbles like fragile glass.."/>
    <s v=" Betrayal      "/>
    <x v="122"/>
    <d v="2018-09-10T13:15:00"/>
    <x v="1"/>
    <s v=" BrokenTrust     "/>
    <s v="BrokenTrust"/>
    <x v="0"/>
    <x v="0"/>
    <s v=" #Betrayal #ShatteredTrust               "/>
    <n v="22"/>
    <n v="45"/>
    <s v=" Germany         "/>
    <x v="9"/>
    <n v="2018"/>
    <x v="8"/>
    <n v="10"/>
    <n v="13"/>
    <x v="0"/>
  </r>
  <r>
    <s v="Aching heart, the symphony of pain plays in the silence of solitude. "/>
    <s v="Aching heart, the symphony of pain plays in the silence of solitude.."/>
    <s v=" Suffering "/>
    <x v="123"/>
    <d v="2022-03-20T19:30:00"/>
    <x v="0"/>
    <s v=" SilentSufferer  "/>
    <s v="SilentSufferer"/>
    <x v="2"/>
    <x v="2"/>
    <s v=" #Suffering #HeartacheSymphony          "/>
    <n v="25"/>
    <n v="50"/>
    <s v=" Brazil          "/>
    <x v="6"/>
    <n v="2022"/>
    <x v="2"/>
    <n v="20"/>
    <n v="19"/>
    <x v="0"/>
  </r>
  <r>
    <s v="Emotional storm, a whirlwind of sadness engulfs every thought.    "/>
    <s v="Emotional storm, a whirlwind of sadness engulfs every thought.."/>
    <s v=" EmotionalStorm "/>
    <x v="124"/>
    <d v="2017-07-18T17:45:00"/>
    <x v="2"/>
    <s v=" StormyFeelings  "/>
    <s v="StormyFeelings"/>
    <x v="1"/>
    <x v="1"/>
    <s v=" #EmotionalStorm #SadnessWhirlwind      "/>
    <n v="30"/>
    <n v="60"/>
    <s v=" India          "/>
    <x v="4"/>
    <n v="2017"/>
    <x v="9"/>
    <n v="18"/>
    <n v="17"/>
    <x v="0"/>
  </r>
  <r>
    <s v="Haunted by regrets, the ghost of the past lingers relentlessly.   "/>
    <s v="Haunted by regrets, the ghost of the past lingers relentlessly.."/>
    <s v=" Regret        "/>
    <x v="51"/>
    <d v="2018-12-15T10:00:00"/>
    <x v="6"/>
    <s v=" LingeringGhost  "/>
    <s v="LingeringGhost"/>
    <x v="0"/>
    <x v="0"/>
    <s v=" #Regret #HauntedPast                    "/>
    <n v="18"/>
    <n v="35"/>
    <s v=" France         "/>
    <x v="5"/>
    <n v="2018"/>
    <x v="11"/>
    <n v="15"/>
    <n v="10"/>
    <x v="0"/>
  </r>
  <r>
    <s v="Torn apart by grief, the echoes of loss reverberate through the soul. "/>
    <s v="Torn apart by grief, the echoes of loss reverberate through the soul.."/>
    <s v=" Grief      "/>
    <x v="41"/>
    <d v="2015-06-28T21:15:00"/>
    <x v="0"/>
    <s v=" EchoesOfLoss    "/>
    <s v="EchoesOfLoss"/>
    <x v="2"/>
    <x v="2"/>
    <s v=" #Grief #TornApart                       "/>
    <n v="28"/>
    <n v="55"/>
    <s v=" Italy         "/>
    <x v="11"/>
    <n v="2015"/>
    <x v="5"/>
    <n v="28"/>
    <n v="21"/>
    <x v="0"/>
  </r>
  <r>
    <s v="Isolation deepens, an emotional winter where warmth is but a distant memory. "/>
    <s v="Isolation deepens, an emotional winter where warmth is but a distant memory.."/>
    <s v=" Isolation "/>
    <x v="125"/>
    <d v="2020-04-02T14:20:00"/>
    <x v="4"/>
    <s v=" WinterOfEmotions "/>
    <s v="WinterOfEmotions"/>
    <x v="1"/>
    <x v="1"/>
    <s v=" #Isolation #EmotionalWinter            "/>
    <n v="35"/>
    <n v="70"/>
    <s v=" Japan       "/>
    <x v="7"/>
    <n v="2020"/>
    <x v="7"/>
    <n v="2"/>
    <n v="14"/>
    <x v="0"/>
  </r>
  <r>
    <s v="Soul-crushing disappointment, hopes shattered like fragile glass. "/>
    <s v="Soul-crushing disappointment, hopes shattered like fragile glass.."/>
    <s v=" Disappointment "/>
    <x v="126"/>
    <d v="2019-10-08T18:30:00"/>
    <x v="2"/>
    <s v=" ShatteredHopes  "/>
    <s v="ShatteredHopes"/>
    <x v="0"/>
    <x v="0"/>
    <s v=" #Disappointment #CrushedHopes          "/>
    <n v="20"/>
    <n v="40"/>
    <s v=" Spain        "/>
    <x v="14"/>
    <n v="2019"/>
    <x v="10"/>
    <n v="8"/>
    <n v="18"/>
    <x v="0"/>
  </r>
  <r>
    <s v="Painful echoes of a love once cherished, now lost in the abyss of time. "/>
    <s v="Painful echoes of a love once cherished, now lost in the abyss of time.."/>
    <s v=" LostLove "/>
    <x v="127"/>
    <d v="2016-11-22T09:45:00"/>
    <x v="2"/>
    <s v=" AbyssOfTime     "/>
    <s v="AbyssOfTime"/>
    <x v="2"/>
    <x v="2"/>
    <s v=" #LostLove #PainfulEchoes               "/>
    <n v="22"/>
    <n v="45"/>
    <s v=" Netherlands  "/>
    <x v="12"/>
    <n v="2016"/>
    <x v="6"/>
    <n v="22"/>
    <n v="9"/>
    <x v="0"/>
  </r>
  <r>
    <s v="Heartache deepens, a solitary journey through the abyss of despair. "/>
    <s v="Heartache deepens, a solitary journey through the abyss of despair.."/>
    <s v=" Despair   "/>
    <x v="40"/>
    <d v="2022-08-18T22:00:00"/>
    <x v="4"/>
    <s v=" SolitaryDescent "/>
    <s v="SolitaryDescent"/>
    <x v="1"/>
    <x v="1"/>
    <s v=" #Despair #AbyssOfHeartache             "/>
    <n v="40"/>
    <n v="80"/>
    <s v=" South Africa "/>
    <x v="13"/>
    <n v="2022"/>
    <x v="4"/>
    <n v="18"/>
    <n v="22"/>
    <x v="0"/>
  </r>
  <r>
    <s v="Melancholy lingers, a bittersweet serenade in the quietude of solitude. "/>
    <s v="Melancholy lingers, a bittersweet serenade in the quietude of solitude.."/>
    <s v=" Melancholy "/>
    <x v="55"/>
    <d v="2017-03-12T23:30:00"/>
    <x v="0"/>
    <s v=" SerenadeOfSolitude "/>
    <s v="SerenadeOfSolitude"/>
    <x v="3"/>
    <x v="0"/>
    <s v=" #Melancholy #QuietSerenade             "/>
    <n v="18"/>
    <n v="35"/>
    <s v=" UK         "/>
    <x v="2"/>
    <n v="2017"/>
    <x v="2"/>
    <n v="12"/>
    <n v="23"/>
    <x v="0"/>
  </r>
  <r>
    <s v="Bitterness like a poison, seeping into every crevice of the wounded heart. "/>
    <s v="Bitterness like a poison, seeping into every crevice of the wounded heart.."/>
    <s v=" Bitterness "/>
    <x v="69"/>
    <d v="2015-12-15T16:15:00"/>
    <x v="2"/>
    <s v=" PoisonedHeart   "/>
    <s v="PoisonedHeart"/>
    <x v="2"/>
    <x v="2"/>
    <s v=" #Bitterness #WoundedHeart              "/>
    <n v="25"/>
    <n v="50"/>
    <s v=" Australia   "/>
    <x v="3"/>
    <n v="2015"/>
    <x v="11"/>
    <n v="15"/>
    <n v="16"/>
    <x v="0"/>
  </r>
  <r>
    <s v="Emotional exhaustion, the weight of the world crushing weary shoulders. "/>
    <s v="Emotional exhaustion, the weight of the world crushing weary shoulders.."/>
    <s v=" Exhaustion "/>
    <x v="128"/>
    <d v="2021-09-05T13:30:00"/>
    <x v="0"/>
    <s v=" WearySoulCrushed "/>
    <s v="WearySoulCrushed"/>
    <x v="1"/>
    <x v="1"/>
    <s v=" #Exhaustion #CrushedSpirit             "/>
    <n v="35"/>
    <n v="70"/>
    <s v=" Canada     "/>
    <x v="1"/>
    <n v="2021"/>
    <x v="8"/>
    <n v="5"/>
    <n v="13"/>
    <x v="0"/>
  </r>
  <r>
    <s v="Sorrowful echoes, a symphony of pain played by the strings of loss. "/>
    <s v="Sorrowful echoes, a symphony of pain played by the strings of loss.."/>
    <s v=" Sorrow      "/>
    <x v="129"/>
    <d v="2018-05-22T20:45:00"/>
    <x v="2"/>
    <s v=" StringsOfSorrow "/>
    <s v="StringsOfSorrow"/>
    <x v="0"/>
    <x v="0"/>
    <s v=" #Sorrow #SymphonyOfLoss                "/>
    <n v="18"/>
    <n v="35"/>
    <s v=" Germany     "/>
    <x v="9"/>
    <n v="2018"/>
    <x v="3"/>
    <n v="22"/>
    <n v="20"/>
    <x v="0"/>
  </r>
  <r>
    <s v="Darkness descends, engulfing the soul in the shadows of despair.  "/>
    <s v="Darkness descends, engulfing the soul in the shadows of despair.."/>
    <s v=" Darkness     "/>
    <x v="130"/>
    <d v="2016-07-10T18:20:00"/>
    <x v="0"/>
    <s v=" SoulInShadow    "/>
    <s v="SoulInShadow"/>
    <x v="2"/>
    <x v="2"/>
    <s v=" #Darkness #SoulEngulfed                 "/>
    <n v="28"/>
    <n v="55"/>
    <s v=" USA         "/>
    <x v="0"/>
    <n v="2016"/>
    <x v="9"/>
    <n v="10"/>
    <n v="18"/>
    <x v="0"/>
  </r>
  <r>
    <s v="Desperation whispers, the silent plea for a glimmer of hope in the abyss. "/>
    <s v="Desperation whispers, the silent plea for a glimmer of hope in the abyss.."/>
    <s v=" Desperation "/>
    <x v="131"/>
    <d v="2019-04-30T14:00:00"/>
    <x v="2"/>
    <s v=" WhisperedDespair "/>
    <s v="WhisperedDespair"/>
    <x v="1"/>
    <x v="1"/>
    <s v=" #Desperation #GlimmerOfHope            "/>
    <n v="22"/>
    <n v="45"/>
    <s v=" France    "/>
    <x v="5"/>
    <n v="2019"/>
    <x v="7"/>
    <n v="30"/>
    <n v="14"/>
    <x v="0"/>
  </r>
  <r>
    <s v="Heart in ruins, the remnants of shattered dreams scattered in the wind. "/>
    <s v="Heart in ruins, the remnants of shattered dreams scattered in the wind.."/>
    <s v=" Ruins      "/>
    <x v="132"/>
    <d v="2022-01-08T11:30:00"/>
    <x v="6"/>
    <s v=" DreamsInWind    "/>
    <s v="DreamsInWind"/>
    <x v="0"/>
    <x v="0"/>
    <s v=" #Ruins #ShatteredDreams                "/>
    <n v="20"/>
    <n v="40"/>
    <s v=" Brazil     "/>
    <x v="6"/>
    <n v="2022"/>
    <x v="0"/>
    <n v="8"/>
    <n v="11"/>
    <x v="0"/>
  </r>
  <r>
    <s v="Shattered by the echoes of a shattered dream, fragments of hope scattered. "/>
    <s v="Shattered by the echoes of a shattered dream, fragments of hope scattered.."/>
    <s v=" Desolation "/>
    <x v="133"/>
    <d v="2017-09-10T19:15:00"/>
    <x v="0"/>
    <s v=" DreamEchoes "/>
    <s v="DreamEchoes"/>
    <x v="3"/>
    <x v="0"/>
    <s v=" #Desolation #ScatteredHope "/>
    <n v="20"/>
    <n v="40"/>
    <s v=" Australia "/>
    <x v="3"/>
    <n v="2017"/>
    <x v="8"/>
    <n v="10"/>
    <n v="19"/>
    <x v="0"/>
  </r>
  <r>
    <s v="Avoiding the thorns of regret, walking barefoot on the path of remorse. "/>
    <s v="Avoiding the thorns of regret, walking barefoot on the path of remorse.."/>
    <s v=" Regret "/>
    <x v="51"/>
    <d v="2022-04-18T11:30:00"/>
    <x v="1"/>
    <s v=" RemorseWalker "/>
    <s v="RemorseWalker"/>
    <x v="1"/>
    <x v="1"/>
    <s v=" #Regret #PathOfRemorse "/>
    <n v="25"/>
    <n v="50"/>
    <s v=" Canada "/>
    <x v="1"/>
    <n v="2022"/>
    <x v="7"/>
    <n v="18"/>
    <n v="11"/>
    <x v="0"/>
  </r>
  <r>
    <s v="In the labyrinth of grief, the walls echo with the footsteps of lost joy. "/>
    <s v="In the labyrinth of grief, the walls echo with the footsteps of lost joy.."/>
    <s v=" Grief "/>
    <x v="41"/>
    <d v="2018-12-05T21:45:00"/>
    <x v="3"/>
    <s v=" JoyLabyrinth "/>
    <s v="JoyLabyrinth"/>
    <x v="2"/>
    <x v="2"/>
    <s v=" #Grief #LostJoyFootsteps "/>
    <n v="18"/>
    <n v="35"/>
    <s v=" USA "/>
    <x v="0"/>
    <n v="2018"/>
    <x v="11"/>
    <n v="5"/>
    <n v="21"/>
    <x v="0"/>
  </r>
  <r>
    <s v="A soul adrift in the sea of solitude, waves of loneliness crashing relentlessly. "/>
    <s v="A soul adrift in the sea of solitude, waves of loneliness crashing relentlessly.."/>
    <s v=" Loneliness "/>
    <x v="42"/>
    <d v="2016-06-28T14:20:00"/>
    <x v="2"/>
    <s v=" SolitudeSeas "/>
    <s v="SolitudeSeas"/>
    <x v="3"/>
    <x v="0"/>
    <s v=" #Loneliness #CrashingWaves "/>
    <n v="22"/>
    <n v="45"/>
    <s v=" UK "/>
    <x v="2"/>
    <n v="2016"/>
    <x v="5"/>
    <n v="28"/>
    <n v="14"/>
    <x v="0"/>
  </r>
  <r>
    <s v="The bitterness of betrayal, a taste that lingers, staining the palate of trust. "/>
    <s v="The bitterness of betrayal, a taste that lingers, staining the palate of trust.."/>
    <s v=" Bitterness "/>
    <x v="69"/>
    <d v="2019-10-22T17:00:00"/>
    <x v="2"/>
    <s v=" PalateStainer "/>
    <s v="PalateStainer"/>
    <x v="1"/>
    <x v="1"/>
    <s v=" #Bitterness #StainedTrust "/>
    <n v="15"/>
    <n v="30"/>
    <s v=" Germany "/>
    <x v="9"/>
    <n v="2019"/>
    <x v="10"/>
    <n v="22"/>
    <n v="17"/>
    <x v="0"/>
  </r>
  <r>
    <s v="In the ruins of hope, echoes of shattered dreams whisper tales of loss. "/>
    <s v="In the ruins of hope, echoes of shattered dreams whisper tales of loss.."/>
    <s v=" Desolation "/>
    <x v="133"/>
    <d v="2021-03-15T22:45:00"/>
    <x v="1"/>
    <s v=" HopeRuins "/>
    <s v="HopeRuins"/>
    <x v="2"/>
    <x v="2"/>
    <s v=" #Desolation #WhisperedLoss "/>
    <n v="28"/>
    <n v="55"/>
    <s v=" Brazil "/>
    <x v="6"/>
    <n v="2021"/>
    <x v="2"/>
    <n v="15"/>
    <n v="22"/>
    <x v="0"/>
  </r>
  <r>
    <s v="Sinking like a stone in the ocean of heartbreak, each ripple a sigh of despair. "/>
    <s v="Sinking like a stone in the ocean of heartbreak, each ripple a sigh of despair.."/>
    <s v=" Heartbreak "/>
    <x v="121"/>
    <d v="2017-08-10T19:30:00"/>
    <x v="4"/>
    <s v=" OceanSinker "/>
    <s v="OceanSinker"/>
    <x v="3"/>
    <x v="0"/>
    <s v=" #Heartbreak #RippleOfDespair "/>
    <n v="22"/>
    <n v="45"/>
    <s v=" France "/>
    <x v="5"/>
    <n v="2017"/>
    <x v="4"/>
    <n v="10"/>
    <n v="19"/>
    <x v="0"/>
  </r>
  <r>
    <s v="Tears, the ink staining the pages of a journal, a testament to silent grief. "/>
    <s v="Tears, the ink staining the pages of a journal, a testament to silent grief.."/>
    <s v=" Grief "/>
    <x v="41"/>
    <d v="2023-01-28T14:30:00"/>
    <x v="6"/>
    <s v=" InkJournalist "/>
    <s v="InkJournalist"/>
    <x v="1"/>
    <x v="1"/>
    <s v=" #Grief #SilentTears "/>
    <n v="30"/>
    <n v="60"/>
    <s v=" India "/>
    <x v="4"/>
    <n v="2023"/>
    <x v="0"/>
    <n v="28"/>
    <n v="14"/>
    <x v="0"/>
  </r>
  <r>
    <s v="In the wasteland of lost trust, the echoes of broken promises reverberate. "/>
    <s v="In the wasteland of lost trust, the echoes of broken promises reverberate.."/>
    <s v=" Betrayal "/>
    <x v="122"/>
    <d v="2016-12-12T10:00:00"/>
    <x v="1"/>
    <s v=" TrustWasteland "/>
    <s v="TrustWasteland"/>
    <x v="2"/>
    <x v="2"/>
    <s v=" #Betrayal #ReverberatingPromises "/>
    <n v="25"/>
    <n v="50"/>
    <s v=" Italy "/>
    <x v="11"/>
    <n v="2016"/>
    <x v="11"/>
    <n v="12"/>
    <n v="10"/>
    <x v="0"/>
  </r>
  <r>
    <s v="Avoiding the shards of shattered dreams, walking the tightrope of resilience. "/>
    <s v="Avoiding the shards of shattered dreams, walking the tightrope of resilience.."/>
    <s v=" Resilience "/>
    <x v="117"/>
    <d v="2020-07-18T15:15:00"/>
    <x v="6"/>
    <s v=" DreamTightrope "/>
    <s v="DreamTightrope"/>
    <x v="3"/>
    <x v="0"/>
    <s v=" #Resilience #TightropeWalk "/>
    <n v="35"/>
    <n v="70"/>
    <s v=" Japan "/>
    <x v="7"/>
    <n v="2020"/>
    <x v="9"/>
    <n v="18"/>
    <n v="15"/>
    <x v="0"/>
  </r>
  <r>
    <s v="Suffocating in the silence of solitude, where echoes of laughter once thrived. "/>
    <s v="Suffocating in the silence of solitude, where echoes of laughter once thrived.."/>
    <s v=" Isolation "/>
    <x v="125"/>
    <d v="2022-05-20T20:30:00"/>
    <x v="5"/>
    <s v=" EchoedLaughter "/>
    <s v="EchoedLaughter"/>
    <x v="1"/>
    <x v="1"/>
    <s v=" #Isolation #SilentSolitude "/>
    <n v="30"/>
    <n v="60"/>
    <s v=" South Africa "/>
    <x v="13"/>
    <n v="2022"/>
    <x v="3"/>
    <n v="20"/>
    <n v="20"/>
    <x v="0"/>
  </r>
  <r>
    <s v="Haunted by the specter of lost possibilities, a ghost that refuses to fade away. "/>
    <s v="Haunted by the specter of lost possibilities, a ghost that refuses to fade away.."/>
    <s v=" Regret "/>
    <x v="51"/>
    <d v="2019-11-08T14:45:00"/>
    <x v="5"/>
    <s v=" PossibilityGhost "/>
    <s v="PossibilityGhost"/>
    <x v="3"/>
    <x v="0"/>
    <s v=" #Regret #FadingPossibilities "/>
    <n v="18"/>
    <n v="35"/>
    <s v=" Spain "/>
    <x v="14"/>
    <n v="2019"/>
    <x v="6"/>
    <n v="8"/>
    <n v="14"/>
    <x v="0"/>
  </r>
  <r>
    <s v="In the labyrinth of despair, the echoes of a broken heart reverberate endlessly. "/>
    <s v="In the labyrinth of despair, the echoes of a broken heart reverberate endlessly.."/>
    <s v=" Despair "/>
    <x v="40"/>
    <d v="2017-03-28T22:00:00"/>
    <x v="2"/>
    <s v=" EndlessLabyrinth "/>
    <s v="EndlessLabyrinth"/>
    <x v="2"/>
    <x v="2"/>
    <s v=" #Despair #EndlessReverberation "/>
    <n v="28"/>
    <n v="55"/>
    <s v=" Australia "/>
    <x v="3"/>
    <n v="2017"/>
    <x v="2"/>
    <n v="28"/>
    <n v="22"/>
    <x v="0"/>
  </r>
  <r>
    <s v="Sinking like autumn leaves in the river of sorrow, carried away by the current. "/>
    <s v="Sinking like autumn leaves in the river of sorrow, carried away by the current.."/>
    <s v=" Sorrow "/>
    <x v="129"/>
    <d v="2020-09-15T18:15:00"/>
    <x v="2"/>
    <s v=" RiverOfSorrow "/>
    <s v="RiverOfSorrow"/>
    <x v="1"/>
    <x v="1"/>
    <s v=" #Sorrow #AutumnLeaves "/>
    <n v="22"/>
    <n v="45"/>
    <s v=" Canada "/>
    <x v="1"/>
    <n v="2020"/>
    <x v="8"/>
    <n v="15"/>
    <n v="18"/>
    <x v="0"/>
  </r>
  <r>
    <s v="In the garden of broken dreams, petals fall, a silent testimony to shattered hopes. "/>
    <s v="In the garden of broken dreams, petals fall, a silent testimony to shattered hopes.."/>
    <s v=" Desolation "/>
    <x v="133"/>
    <d v="2018-06-10T13:30:00"/>
    <x v="0"/>
    <s v=" DreamGardener "/>
    <s v="DreamGardener"/>
    <x v="3"/>
    <x v="0"/>
    <s v=" #Desolation #ShatteredHopes "/>
    <n v="20"/>
    <n v="40"/>
    <s v=" UK "/>
    <x v="2"/>
    <n v="2018"/>
    <x v="5"/>
    <n v="10"/>
    <n v="13"/>
    <x v="0"/>
  </r>
  <r>
    <s v="Tears, the currency of grief, spent in the marketplace of lost love and longing. "/>
    <s v="Tears, the currency of grief, spent in the marketplace of lost love and longing.."/>
    <s v=" Grief "/>
    <x v="41"/>
    <d v="2016-12-22T21:45:00"/>
    <x v="4"/>
    <s v=" CurrencyOfTears "/>
    <s v="CurrencyOfTears"/>
    <x v="2"/>
    <x v="2"/>
    <s v=" #Grief #LostLoveLonging "/>
    <n v="25"/>
    <n v="50"/>
    <s v=" USA "/>
    <x v="0"/>
    <n v="2016"/>
    <x v="11"/>
    <n v="22"/>
    <n v="21"/>
    <x v="0"/>
  </r>
  <r>
    <s v="Wandering in the maze of betrayal, the walls closing in with every wrong turn. "/>
    <s v="Wandering in the maze of betrayal, the walls closing in with every wrong turn.."/>
    <s v=" Betrayal "/>
    <x v="122"/>
    <d v="2021-01-05T16:20:00"/>
    <x v="2"/>
    <s v=" MazeWanderer "/>
    <s v="MazeWanderer"/>
    <x v="1"/>
    <x v="1"/>
    <s v=" #Betrayal #ClosingWalls "/>
    <n v="15"/>
    <n v="30"/>
    <s v=" Germany "/>
    <x v="9"/>
    <n v="2021"/>
    <x v="0"/>
    <n v="5"/>
    <n v="16"/>
    <x v="0"/>
  </r>
  <r>
    <s v="A soul weathered by the storm of heartbreak, seeking refuge in the calm after. "/>
    <s v="A soul weathered by the storm of heartbreak, seeking refuge in the calm after.."/>
    <s v=" Heartbreak "/>
    <x v="121"/>
    <d v="2019-04-18T11:00:00"/>
    <x v="4"/>
    <s v=" StormSeeker "/>
    <s v="StormSeeker"/>
    <x v="3"/>
    <x v="0"/>
    <s v=" #Heartbreak #CalmAfterStorm "/>
    <n v="22"/>
    <n v="45"/>
    <s v=" Brazil "/>
    <x v="6"/>
    <n v="2019"/>
    <x v="7"/>
    <n v="18"/>
    <n v="11"/>
    <x v="0"/>
  </r>
  <r>
    <s v="In the tapestry of despair, threads of hope unravel, leaving a portrait of sorrow. "/>
    <s v="In the tapestry of despair, threads of hope unravel, leaving a portrait of sorrow.."/>
    <s v=" Despair "/>
    <x v="40"/>
    <d v="2017-08-28T19:30:00"/>
    <x v="1"/>
    <s v=" TapestrySorrow "/>
    <s v="TapestrySorrow"/>
    <x v="2"/>
    <x v="2"/>
    <s v=" #Despair #UnraveledHope "/>
    <n v="18"/>
    <n v="35"/>
    <s v=" India "/>
    <x v="4"/>
    <n v="2017"/>
    <x v="4"/>
    <n v="28"/>
    <n v="19"/>
    <x v="0"/>
  </r>
  <r>
    <s v="Like a withered rose in the garden of love, petals fall, a silent surrender to time. "/>
    <s v="Like a withered rose in the garden of love, petals fall, a silent surrender to time.."/>
    <s v=" Loss "/>
    <x v="134"/>
    <d v="2023-02-10T14:30:00"/>
    <x v="5"/>
    <s v=" WitheredRose "/>
    <s v="WitheredRose"/>
    <x v="1"/>
    <x v="1"/>
    <s v=" #Loss #SilentSurrender "/>
    <n v="28"/>
    <n v="55"/>
    <s v=" France "/>
    <x v="5"/>
    <n v="2023"/>
    <x v="1"/>
    <n v="10"/>
    <n v="14"/>
    <x v="0"/>
  </r>
  <r>
    <s v="In the void of heartache, echoes of a love song play, each note a pang of longing. "/>
    <s v="In the void of heartache, echoes of a love song play, each note a pang of longing.."/>
    <s v=" Heartache "/>
    <x v="135"/>
    <d v="2022-07-10T22:15:00"/>
    <x v="0"/>
    <s v=" LoveSongEcho "/>
    <s v="LoveSongEcho"/>
    <x v="1"/>
    <x v="1"/>
    <s v=" #Heartache #LoveSongLonging "/>
    <n v="30"/>
    <n v="60"/>
    <s v=" Japan "/>
    <x v="7"/>
    <n v="2022"/>
    <x v="9"/>
    <n v="10"/>
    <n v="22"/>
    <x v="0"/>
  </r>
  <r>
    <s v="Nostalgia, a bittersweet dance in the moonlit ballroom of cherished memories. "/>
    <s v="Nostalgia, a bittersweet dance in the moonlit ballroom of cherished memories.."/>
    <s v=" Nostalgia "/>
    <x v="56"/>
    <d v="2019-05-15T21:30:00"/>
    <x v="3"/>
    <s v=" MoonlitMemories "/>
    <s v="MoonlitMemories"/>
    <x v="3"/>
    <x v="0"/>
    <s v=" #Nostalgia #CherishedMemories "/>
    <n v="18"/>
    <n v="35"/>
    <s v=" Italy "/>
    <x v="11"/>
    <n v="2019"/>
    <x v="3"/>
    <n v="15"/>
    <n v="21"/>
    <x v="0"/>
  </r>
  <r>
    <s v="In the symphony of grief, each tear is a note, composing a melancholic melody. "/>
    <s v="In the symphony of grief, each tear is a note, composing a melancholic melody.."/>
    <s v=" Grief "/>
    <x v="41"/>
    <d v="2018-11-28T14:00:00"/>
    <x v="3"/>
    <s v=" SymphonyOfTears "/>
    <s v="SymphonyOfTears"/>
    <x v="2"/>
    <x v="2"/>
    <s v=" #Grief #MelancholicMelody "/>
    <n v="22"/>
    <n v="45"/>
    <s v=" Germany "/>
    <x v="9"/>
    <n v="2018"/>
    <x v="6"/>
    <n v="28"/>
    <n v="14"/>
    <x v="0"/>
  </r>
  <r>
    <s v="Betrayal, a venomous serpent slithering through the garden of trust, poisoning roots. "/>
    <s v="Betrayal, a venomous serpent slithering through the garden of trust, poisoning roots.."/>
    <s v=" Betrayal "/>
    <x v="122"/>
    <d v="2021-03-02T17:45:00"/>
    <x v="2"/>
    <s v=" VenomousGarden "/>
    <s v="VenomousGarden"/>
    <x v="1"/>
    <x v="1"/>
    <s v=" #Betrayal #PoisonedTrust "/>
    <n v="25"/>
    <n v="50"/>
    <s v=" Canada "/>
    <x v="1"/>
    <n v="2021"/>
    <x v="2"/>
    <n v="2"/>
    <n v="17"/>
    <x v="0"/>
  </r>
  <r>
    <s v="Sinking in the quicksand of despair, the harder you fight, the deeper you descend. "/>
    <s v="Sinking in the quicksand of despair, the harder you fight, the deeper you descend.."/>
    <s v=" Despair "/>
    <x v="40"/>
    <d v="2016-10-18T19:30:00"/>
    <x v="2"/>
    <s v=" QuicksandFighter "/>
    <s v="QuicksandFighter"/>
    <x v="3"/>
    <x v="0"/>
    <s v=" #Despair #DeepDescent "/>
    <n v="20"/>
    <n v="40"/>
    <s v=" USA "/>
    <x v="0"/>
    <n v="2016"/>
    <x v="10"/>
    <n v="18"/>
    <n v="19"/>
    <x v="0"/>
  </r>
  <r>
    <s v="Wandering through the cemetery of lost dreams, tombstones marking untold sorrows. "/>
    <s v="Wandering through the cemetery of lost dreams, tombstones marking untold sorrows.."/>
    <s v=" Desolation "/>
    <x v="133"/>
    <d v="2020-08-15T12:30:00"/>
    <x v="6"/>
    <s v=" DreamCemetery "/>
    <s v="DreamCemetery"/>
    <x v="2"/>
    <x v="2"/>
    <s v=" #Desolation #UntoldSorrows "/>
    <n v="28"/>
    <n v="55"/>
    <s v=" France "/>
    <x v="5"/>
    <n v="2020"/>
    <x v="4"/>
    <n v="15"/>
    <n v="12"/>
    <x v="0"/>
  </r>
  <r>
    <s v="Swept away by the river of regret, the currents of the past refusing to release. "/>
    <s v="Swept away by the river of regret, the currents of the past refusing to release.."/>
    <s v=" Regret "/>
    <x v="51"/>
    <d v="2017-04-28T16:20:00"/>
    <x v="5"/>
    <s v=" RegretRiver "/>
    <s v="RegretRiver"/>
    <x v="1"/>
    <x v="1"/>
    <s v=" #Regret #PastCurrents "/>
    <n v="18"/>
    <n v="35"/>
    <s v=" UK "/>
    <x v="2"/>
    <n v="2017"/>
    <x v="7"/>
    <n v="28"/>
    <n v="16"/>
    <x v="0"/>
  </r>
  <r>
    <s v="Whispers of lost love linger in the attic of the heart, forgotten but not erased. "/>
    <s v="Whispers of lost love linger in the attic of the heart, forgotten but not erased.."/>
    <s v=" Loss "/>
    <x v="134"/>
    <d v="2019-09-10T21:00:00"/>
    <x v="2"/>
    <s v=" HeartAttic "/>
    <s v="HeartAttic"/>
    <x v="3"/>
    <x v="0"/>
    <s v=" #Loss #ForgottenLove "/>
    <n v="22"/>
    <n v="45"/>
    <s v=" Australia "/>
    <x v="3"/>
    <n v="2019"/>
    <x v="8"/>
    <n v="10"/>
    <n v="21"/>
    <x v="0"/>
  </r>
  <r>
    <s v="In the gallery of broken promises, each shattered vow framed, a painful exhibition. "/>
    <s v="In the gallery of broken promises, each shattered vow framed, a painful exhibition.."/>
    <s v=" Betrayal "/>
    <x v="122"/>
    <d v="2022-01-28T13:45:00"/>
    <x v="5"/>
    <s v=" PromiseGallery "/>
    <s v="PromiseGallery"/>
    <x v="2"/>
    <x v="2"/>
    <s v=" #Betrayal #ShatteredVows "/>
    <n v="15"/>
    <n v="30"/>
    <s v=" Brazil "/>
    <x v="6"/>
    <n v="2022"/>
    <x v="0"/>
    <n v="28"/>
    <n v="13"/>
    <x v="0"/>
  </r>
  <r>
    <s v="The echoes of solitude, a silent conversation between a soul and its shadows. "/>
    <s v="The echoes of solitude, a silent conversation between a soul and its shadows.."/>
    <s v=" Solitude "/>
    <x v="136"/>
    <d v="2016-06-15T22:30:00"/>
    <x v="3"/>
    <s v=" EchoedConversation "/>
    <s v="EchoedConversation"/>
    <x v="1"/>
    <x v="1"/>
    <s v=" #Solitude #ShadowConversation "/>
    <n v="30"/>
    <n v="60"/>
    <s v=" Spain "/>
    <x v="14"/>
    <n v="2016"/>
    <x v="5"/>
    <n v="15"/>
    <n v="22"/>
    <x v="0"/>
  </r>
  <r>
    <s v="Dancing on sunshine, each step a celebration of the joy found in simple moments. "/>
    <s v="Dancing on sunshine, each step a celebration of the joy found in simple moments.."/>
    <s v=" Joy "/>
    <x v="8"/>
    <d v="2021-08-20T15:45:00"/>
    <x v="5"/>
    <s v=" SunshineDancer "/>
    <s v="SunshineDancer"/>
    <x v="1"/>
    <x v="1"/>
    <s v=" #Joy #SimpleMoments "/>
    <n v="40"/>
    <n v="80"/>
    <s v=" USA "/>
    <x v="0"/>
    <n v="2021"/>
    <x v="4"/>
    <n v="20"/>
    <n v="15"/>
    <x v="0"/>
  </r>
  <r>
    <s v="Laughter echoes in the air, a chorus of happiness that lifts the spirit higher. "/>
    <s v="Laughter echoes in the air, a chorus of happiness that lifts the spirit higher.."/>
    <s v=" Happiness "/>
    <x v="7"/>
    <d v="2018-04-12T18:30:00"/>
    <x v="4"/>
    <s v=" EchoedLaughter "/>
    <s v="EchoedLaughter"/>
    <x v="3"/>
    <x v="0"/>
    <s v=" #Happiness #SpiritLifter "/>
    <n v="35"/>
    <n v="70"/>
    <s v=" Canada "/>
    <x v="1"/>
    <n v="2018"/>
    <x v="7"/>
    <n v="12"/>
    <n v="18"/>
    <x v="0"/>
  </r>
  <r>
    <s v="In the garden of contentment, each bloom whispers tales of inner peace and joy. "/>
    <s v="In the garden of contentment, each bloom whispers tales of inner peace and joy.."/>
    <s v=" Contentment "/>
    <x v="29"/>
    <d v="2022-02-15T12:20:00"/>
    <x v="2"/>
    <s v=" GardenOfJoy "/>
    <s v="GardenOfJoy"/>
    <x v="2"/>
    <x v="2"/>
    <s v=" #Contentment #InnerPeace "/>
    <n v="25"/>
    <n v="50"/>
    <s v=" UK "/>
    <x v="2"/>
    <n v="2022"/>
    <x v="1"/>
    <n v="15"/>
    <n v="12"/>
    <x v="0"/>
  </r>
  <r>
    <s v="Chasing dreams under the vibrant sky, a journey fueled by hope and enthusiasm. "/>
    <s v="Chasing dreams under the vibrant sky, a journey fueled by hope and enthusiasm.."/>
    <s v=" Enthusiasm "/>
    <x v="37"/>
    <d v="2019-10-28T14:15:00"/>
    <x v="1"/>
    <s v=" DreamChaser "/>
    <s v="DreamChaser"/>
    <x v="1"/>
    <x v="1"/>
    <s v=" #Enthusiasm #HopefulJourney "/>
    <n v="30"/>
    <n v="60"/>
    <s v=" Australia "/>
    <x v="3"/>
    <n v="2019"/>
    <x v="10"/>
    <n v="28"/>
    <n v="14"/>
    <x v="0"/>
  </r>
  <r>
    <s v="Serenading the stars with a heart full of gratitude, a melody of thankfulness. "/>
    <s v="Serenading the stars with a heart full of gratitude, a melody of thankfulness.."/>
    <s v=" Gratitude "/>
    <x v="31"/>
    <d v="2017-12-22T21:00:00"/>
    <x v="5"/>
    <s v=" StarSerenader "/>
    <s v="StarSerenader"/>
    <x v="3"/>
    <x v="0"/>
    <s v=" #Gratitude #ThankfulMelody "/>
    <n v="22"/>
    <n v="45"/>
    <s v=" India "/>
    <x v="4"/>
    <n v="2017"/>
    <x v="11"/>
    <n v="22"/>
    <n v="21"/>
    <x v="0"/>
  </r>
  <r>
    <s v="Basking in the glow of accomplishment, each milestone a stepping stone to happiness. "/>
    <s v="Basking in the glow of accomplishment, each milestone a stepping stone to happiness.."/>
    <s v=" Accomplishment "/>
    <x v="91"/>
    <d v="2020-06-10T17:30:00"/>
    <x v="3"/>
    <s v=" GlowAchiever "/>
    <s v="GlowAchiever"/>
    <x v="2"/>
    <x v="2"/>
    <s v=" #Accomplishment #HappinessMilestone "/>
    <n v="28"/>
    <n v="55"/>
    <s v=" Germany "/>
    <x v="9"/>
    <n v="2020"/>
    <x v="5"/>
    <n v="10"/>
    <n v="17"/>
    <x v="0"/>
  </r>
  <r>
    <s v="In the dance of positivity, every step is a rhythm, uplifting the soul in harmony. "/>
    <s v="In the dance of positivity, every step is a rhythm, uplifting the soul in harmony.."/>
    <s v=" Positivity "/>
    <x v="137"/>
    <d v="2016-09-18T19:45:00"/>
    <x v="0"/>
    <s v=" DanceHarmony "/>
    <s v="DanceHarmony"/>
    <x v="1"/>
    <x v="1"/>
    <s v=" #Positivity #SoulUpliftment "/>
    <n v="18"/>
    <n v="35"/>
    <s v=" France "/>
    <x v="5"/>
    <n v="2016"/>
    <x v="8"/>
    <n v="18"/>
    <n v="19"/>
    <x v="0"/>
  </r>
  <r>
    <s v="Overflowing with joy, a cup of laughter shared with friends, a moment cherished. "/>
    <s v="Overflowing with joy, a cup of laughter shared with friends, a moment cherished.."/>
    <s v=" Joy "/>
    <x v="8"/>
    <d v="2023-03-10T14:30:00"/>
    <x v="5"/>
    <s v=" LaughterCup "/>
    <s v="LaughterCup"/>
    <x v="3"/>
    <x v="0"/>
    <s v=" #Joy #CherishedMoment "/>
    <n v="20"/>
    <n v="40"/>
    <s v=" Japan "/>
    <x v="7"/>
    <n v="2023"/>
    <x v="2"/>
    <n v="10"/>
    <n v="14"/>
    <x v="0"/>
  </r>
  <r>
    <s v="Draped in the warmth of kindness, a quilt of compassion stitched with love. "/>
    <s v="Draped in the warmth of kindness, a quilt of compassion stitched with love.."/>
    <s v=" Kindness "/>
    <x v="138"/>
    <d v="2019-05-05T12:15:00"/>
    <x v="0"/>
    <s v=" QuiltedCompassion "/>
    <s v="QuiltedCompassion"/>
    <x v="2"/>
    <x v="2"/>
    <s v=" #Kindness #LoveStitches "/>
    <n v="25"/>
    <n v="50"/>
    <s v=" Brazil "/>
    <x v="6"/>
    <n v="2019"/>
    <x v="3"/>
    <n v="5"/>
    <n v="12"/>
    <x v="0"/>
  </r>
  <r>
    <s v="In the garden of friendships, each bloom a testament to the beauty of camaraderie. "/>
    <s v="In the garden of friendships, each bloom a testament to the beauty of camaraderie.."/>
    <s v=" Friendship "/>
    <x v="139"/>
    <d v="2018-08-28T16:00:00"/>
    <x v="2"/>
    <s v=" FriendshipGarden "/>
    <s v="FriendshipGarden"/>
    <x v="1"/>
    <x v="1"/>
    <s v=" #Friendship #CamaraderieBlooms "/>
    <n v="30"/>
    <n v="60"/>
    <s v=" South Africa "/>
    <x v="13"/>
    <n v="2018"/>
    <x v="4"/>
    <n v="28"/>
    <n v="16"/>
    <x v="0"/>
  </r>
  <r>
    <s v="In the embrace of love, each heartbeat is a melody, dancing to the rhythm of affection. "/>
    <s v="In the embrace of love, each heartbeat is a melody, dancing to the rhythm of affection.."/>
    <s v=" Love "/>
    <x v="9"/>
    <d v="2022-11-15T20:45:00"/>
    <x v="2"/>
    <s v=" MelodyOfLove "/>
    <s v="MelodyOfLove"/>
    <x v="3"/>
    <x v="0"/>
    <s v=" #Love #RhythmOfAffection "/>
    <n v="35"/>
    <n v="70"/>
    <s v=" USA "/>
    <x v="0"/>
    <n v="2022"/>
    <x v="6"/>
    <n v="15"/>
    <n v="20"/>
    <x v="0"/>
  </r>
  <r>
    <s v="Surrounded by the colors of joy, a canvas painted with laughter and endless smiles. "/>
    <s v="Surrounded by the colors of joy, a canvas painted with laughter and endless smiles.."/>
    <s v=" Joy "/>
    <x v="8"/>
    <d v="2019-07-02T17:00:00"/>
    <x v="2"/>
    <s v=" ColorfulLaughter "/>
    <s v="ColorfulLaughter"/>
    <x v="1"/>
    <x v="1"/>
    <s v=" #Joy #EndlessSmiles "/>
    <n v="40"/>
    <n v="80"/>
    <s v=" Canada "/>
    <x v="1"/>
    <n v="2019"/>
    <x v="9"/>
    <n v="2"/>
    <n v="17"/>
    <x v="0"/>
  </r>
  <r>
    <s v="In the symphony of excitement, each note is a burst of energy, igniting the soul with fervor. "/>
    <s v="In the symphony of excitement, each note is a burst of energy, igniting the soul with fervor.."/>
    <s v=" Excitement "/>
    <x v="23"/>
    <d v="2021-04-18T14:20:00"/>
    <x v="0"/>
    <s v=" SymphonyFervor "/>
    <s v="SymphonyFervor"/>
    <x v="2"/>
    <x v="2"/>
    <s v=" #Excitement #IgnitedSoul "/>
    <n v="30"/>
    <n v="60"/>
    <s v=" UK "/>
    <x v="2"/>
    <n v="2021"/>
    <x v="7"/>
    <n v="18"/>
    <n v="14"/>
    <x v="0"/>
  </r>
  <r>
    <s v="A surprise gift, wrapped in anticipation, unfolds a moment of delight and wonder. "/>
    <s v="A surprise gift, wrapped in anticipation, unfolds a moment of delight and wonder.."/>
    <s v=" Surprise "/>
    <x v="16"/>
    <d v="2023-02-05T19:30:00"/>
    <x v="0"/>
    <s v=" WrappedDelight "/>
    <s v="WrappedDelight"/>
    <x v="3"/>
    <x v="0"/>
    <s v=" #Surprise #WonderfulMoment "/>
    <n v="25"/>
    <n v="50"/>
    <s v=" Australia "/>
    <x v="3"/>
    <n v="2023"/>
    <x v="1"/>
    <n v="5"/>
    <n v="19"/>
    <x v="0"/>
  </r>
  <r>
    <s v="Lost in the maze of curiosity, each twist and turn unveils the treasures of discovery. "/>
    <s v="Lost in the maze of curiosity, each twist and turn unveils the treasures of discovery.."/>
    <s v=" Curiosity "/>
    <x v="52"/>
    <d v="2018-09-22T12:45:00"/>
    <x v="6"/>
    <s v=" MazeDiscovery "/>
    <s v="MazeDiscovery"/>
    <x v="1"/>
    <x v="1"/>
    <s v=" #Curiosity #TreasuresOfDiscovery "/>
    <n v="22"/>
    <n v="45"/>
    <s v=" India "/>
    <x v="4"/>
    <n v="2018"/>
    <x v="8"/>
    <n v="22"/>
    <n v="12"/>
    <x v="0"/>
  </r>
  <r>
    <s v="Floating on clouds of gratitude, each raindrop a blessing, a shower of thankfulness. "/>
    <s v="Floating on clouds of gratitude, each raindrop a blessing, a shower of thankfulness.."/>
    <s v=" Gratitude "/>
    <x v="31"/>
    <d v="2016-12-10T21:15:00"/>
    <x v="6"/>
    <s v=" CloudsOfBlessings "/>
    <s v="CloudsOfBlessings"/>
    <x v="2"/>
    <x v="2"/>
    <s v=" #Gratitude #ShowerOfThankfulness "/>
    <n v="28"/>
    <n v="55"/>
    <s v=" Germany "/>
    <x v="9"/>
    <n v="2016"/>
    <x v="11"/>
    <n v="10"/>
    <n v="21"/>
    <x v="0"/>
  </r>
  <r>
    <s v="Like a comet of inspiration, streaking through the sky of creativity, leaving trails of brilliance. "/>
    <s v="Like a comet of inspiration, streaking through the sky of creativity, leaving trails of brilliance.."/>
    <s v=" Inspiration "/>
    <x v="82"/>
    <d v="2020-05-28T16:00:00"/>
    <x v="4"/>
    <s v=" CometCreativity "/>
    <s v="CometCreativity"/>
    <x v="3"/>
    <x v="0"/>
    <s v=" #Inspiration #BrilliantTrails "/>
    <n v="18"/>
    <n v="35"/>
    <s v=" France "/>
    <x v="5"/>
    <n v="2020"/>
    <x v="3"/>
    <n v="28"/>
    <n v="16"/>
    <x v="0"/>
  </r>
  <r>
    <s v="In the celebration of success, fireworks of accomplishment light up the night sky of triumph. "/>
    <s v="In the celebration of success, fireworks of accomplishment light up the night sky of triumph.."/>
    <s v=" Success "/>
    <x v="140"/>
    <d v="2017-11-15T22:30:00"/>
    <x v="3"/>
    <s v=" FireworksTriumph "/>
    <s v="FireworksTriumph"/>
    <x v="1"/>
    <x v="1"/>
    <s v=" #Success #NightSkyTriumph "/>
    <n v="22"/>
    <n v="45"/>
    <s v=" Japan "/>
    <x v="7"/>
    <n v="2017"/>
    <x v="6"/>
    <n v="15"/>
    <n v="22"/>
    <x v="0"/>
  </r>
  <r>
    <s v="A symphony of laughter, each note a key to unlocking the door of boundless happiness. "/>
    <s v="A symphony of laughter, each note a key to unlocking the door of boundless happiness.."/>
    <s v=" Happiness "/>
    <x v="7"/>
    <d v="2021-08-02T19:00:00"/>
    <x v="1"/>
    <s v=" LaughterSymphony "/>
    <s v="LaughterSymphony"/>
    <x v="2"/>
    <x v="2"/>
    <s v=" #Happiness #BoundlessLaughter "/>
    <n v="30"/>
    <n v="60"/>
    <s v=" Brazil "/>
    <x v="6"/>
    <n v="2021"/>
    <x v="4"/>
    <n v="2"/>
    <n v="19"/>
    <x v="0"/>
  </r>
  <r>
    <s v="In the carnival of emotions, the rollercoaster of thrill sends the heart on a wild ride. "/>
    <s v="In the carnival of emotions, the rollercoaster of thrill sends the heart on a wild ride.."/>
    <s v=" Thrill "/>
    <x v="79"/>
    <d v="2019-03-28T15:30:00"/>
    <x v="4"/>
    <s v=" EmotionCarnival "/>
    <s v="EmotionCarnival"/>
    <x v="1"/>
    <x v="1"/>
    <s v=" #Thrill #WildHeartRide "/>
    <n v="35"/>
    <n v="70"/>
    <s v=" South Africa "/>
    <x v="13"/>
    <n v="2019"/>
    <x v="2"/>
    <n v="28"/>
    <n v="15"/>
    <x v="0"/>
  </r>
  <r>
    <s v="Standing before the grandeur of the Eiffel Tower, a moment to reflect on the beauty of Parisian dreams. "/>
    <s v="Standing before the grandeur of the Eiffel Tower, a moment to reflect on the beauty of Parisian dreams.."/>
    <s v=" Reflection "/>
    <x v="88"/>
    <d v="2018-05-12T17:30:00"/>
    <x v="6"/>
    <s v=" ParisDreamer "/>
    <s v="ParisDreamer"/>
    <x v="3"/>
    <x v="0"/>
    <s v=" #Reflection #ParisianDreams "/>
    <n v="28"/>
    <n v="55"/>
    <s v=" France "/>
    <x v="5"/>
    <n v="2018"/>
    <x v="3"/>
    <n v="12"/>
    <n v="17"/>
    <x v="0"/>
  </r>
  <r>
    <s v="Lost in the enchantment of Disneyland, each ride a journey into the realm of childhood fantasies. "/>
    <s v="Lost in the enchantment of Disneyland, each ride a journey into the realm of childhood fantasies.."/>
    <s v=" Enchantment "/>
    <x v="94"/>
    <d v="2022-09-28T15:45:00"/>
    <x v="3"/>
    <s v=" DisneylandExplorer "/>
    <s v="DisneylandExplorer"/>
    <x v="1"/>
    <x v="1"/>
    <s v=" #Enchantment #ChildhoodFantasies "/>
    <n v="30"/>
    <n v="60"/>
    <s v=" USA "/>
    <x v="0"/>
    <n v="2022"/>
    <x v="8"/>
    <n v="28"/>
    <n v="15"/>
    <x v="0"/>
  </r>
  <r>
    <s v="Exploring the wonders of Ferrari World, the roar of engines creating a symphony of speed. "/>
    <s v="Exploring the wonders of Ferrari World, the roar of engines creating a symphony of speed.."/>
    <s v=" Excitement "/>
    <x v="23"/>
    <d v="2019-11-10T14:00:00"/>
    <x v="0"/>
    <s v=" FerrariSpeedster "/>
    <s v="FerrariSpeedster"/>
    <x v="2"/>
    <x v="2"/>
    <s v=" #Excitement #SymphonyOfSpeed "/>
    <n v="22"/>
    <n v="45"/>
    <s v=" Italy "/>
    <x v="11"/>
    <n v="2019"/>
    <x v="6"/>
    <n v="10"/>
    <n v="14"/>
    <x v="0"/>
  </r>
  <r>
    <s v="Amidst the tulip fields of Keukenhof, a tapestry of colors that paints the soul with springtime joy. "/>
    <s v="Amidst the tulip fields of Keukenhof, a tapestry of colors that paints the soul with springtime joy.."/>
    <s v=" Joy "/>
    <x v="8"/>
    <d v="2021-04-02T18:20:00"/>
    <x v="5"/>
    <s v=" KeukenhofAdventurer "/>
    <s v="KeukenhofAdventurer"/>
    <x v="1"/>
    <x v="1"/>
    <s v=" #Joy #SpringtimeColors "/>
    <n v="35"/>
    <n v="70"/>
    <s v=" Netherlands "/>
    <x v="12"/>
    <n v="2021"/>
    <x v="7"/>
    <n v="2"/>
    <n v="18"/>
    <x v="0"/>
  </r>
  <r>
    <s v="Wandering through the historical streets of Kyoto, each step a journey into the heart of Japan's traditions. "/>
    <s v="Wandering through the historical streets of Kyoto, each step a journey into the heart of Japan's traditions.."/>
    <s v=" Exploration "/>
    <x v="141"/>
    <d v="2017-08-22T21:30:00"/>
    <x v="2"/>
    <s v=" KyotoAdventurer "/>
    <s v="KyotoAdventurer"/>
    <x v="3"/>
    <x v="0"/>
    <s v=" #Exploration #JapaneseTraditions "/>
    <n v="18"/>
    <n v="35"/>
    <s v=" Japan "/>
    <x v="7"/>
    <n v="2017"/>
    <x v="4"/>
    <n v="22"/>
    <n v="21"/>
    <x v="0"/>
  </r>
  <r>
    <s v="In the embrace of the Grand Canyon, nature's masterpiece, a moment to marvel at Earth's grandeur. "/>
    <s v="In the embrace of the Grand Canyon, nature's masterpiece, a moment to marvel at Earth's grandeur.."/>
    <s v=" Awe "/>
    <x v="14"/>
    <d v="2020-06-15T16:45:00"/>
    <x v="1"/>
    <s v=" CanyonMarveler "/>
    <s v="CanyonMarveler"/>
    <x v="1"/>
    <x v="1"/>
    <s v=" #Awe #EarthsGrandeur "/>
    <n v="25"/>
    <n v="50"/>
    <s v=" USA "/>
    <x v="0"/>
    <n v="2020"/>
    <x v="5"/>
    <n v="15"/>
    <n v="16"/>
    <x v="0"/>
  </r>
  <r>
    <s v="Journeying through the serenity of Santorini, where each sunset paints the sky with hues of tranquility. "/>
    <s v="Journeying through the serenity of Santorini, where each sunset paints the sky with hues of tranquility.."/>
    <s v=" Serenity "/>
    <x v="30"/>
    <d v="2016-09-10T19:15:00"/>
    <x v="6"/>
    <s v=" SantoriniTraveler "/>
    <s v="SantoriniTraveler"/>
    <x v="2"/>
    <x v="2"/>
    <s v=" #Serenity #SunsetHues "/>
    <n v="22"/>
    <n v="45"/>
    <s v=" Greece "/>
    <x v="8"/>
    <n v="2016"/>
    <x v="8"/>
    <n v="10"/>
    <n v="19"/>
    <x v="0"/>
  </r>
  <r>
    <s v="Amazed by the architectural marvels of Petra, each stone telling tales of an ancient civilization. "/>
    <s v="Amazed by the architectural marvels of Petra, each stone telling tales of an ancient civilization.."/>
    <s v=" Amazement "/>
    <x v="142"/>
    <d v="2023-01-28T13:00:00"/>
    <x v="6"/>
    <s v=" PetraExplorer "/>
    <s v="PetraExplorer"/>
    <x v="3"/>
    <x v="0"/>
    <s v=" #Amazement #AncientTales "/>
    <n v="30"/>
    <n v="60"/>
    <s v=" Jordan "/>
    <x v="21"/>
    <n v="2023"/>
    <x v="0"/>
    <n v="28"/>
    <n v="13"/>
    <x v="0"/>
  </r>
  <r>
    <s v="Embarking on a gondola ride in Venice, each canal reflecting the romance of this timeless city. "/>
    <s v="Embarking on a gondola ride in Venice, each canal reflecting the romance of this timeless city.."/>
    <s v=" Romance "/>
    <x v="143"/>
    <d v="2019-04-18T16:30:00"/>
    <x v="4"/>
    <s v=" VeniceRomantic "/>
    <s v="VeniceRomantic"/>
    <x v="1"/>
    <x v="1"/>
    <s v=" #Romance #TimelessCity "/>
    <n v="20"/>
    <n v="40"/>
    <s v=" Italy "/>
    <x v="11"/>
    <n v="2019"/>
    <x v="7"/>
    <n v="18"/>
    <n v="16"/>
    <x v="0"/>
  </r>
  <r>
    <s v="At the summit of Machu Picchu, a breathtaking panorama that whispers the secrets of ancient civilizations. "/>
    <s v="At the summit of Machu Picchu, a breathtaking panorama that whispers the secrets of ancient civilizations.."/>
    <s v=" Awe "/>
    <x v="14"/>
    <d v="2017-11-05T22:00:00"/>
    <x v="0"/>
    <s v=" MachuPicchuAdventurer "/>
    <s v="MachuPicchuAdventurer"/>
    <x v="2"/>
    <x v="2"/>
    <s v=" #Awe #AncientCivilizations "/>
    <n v="28"/>
    <n v="55"/>
    <s v=" Peru "/>
    <x v="22"/>
    <n v="2017"/>
    <x v="6"/>
    <n v="5"/>
    <n v="22"/>
    <x v="0"/>
  </r>
  <r>
    <s v="In the heart of New York City, Times Square dazzles with lights, a vibrant spectacle of urban energy. "/>
    <s v="In the heart of New York City, Times Square dazzles with lights, a vibrant spectacle of urban energy.."/>
    <s v=" Excitement "/>
    <x v="23"/>
    <d v="2022-07-20T21:45:00"/>
    <x v="3"/>
    <s v=" TimesSquareExplorer "/>
    <s v="TimesSquareExplorer"/>
    <x v="1"/>
    <x v="1"/>
    <s v=" #Excitement #UrbanEnergy "/>
    <n v="35"/>
    <n v="70"/>
    <s v=" USA "/>
    <x v="0"/>
    <n v="2022"/>
    <x v="9"/>
    <n v="20"/>
    <n v="21"/>
    <x v="0"/>
  </r>
  <r>
    <s v="Captivated by the historical charm of the Colosseum, each stone echoing tales of gladiator valor. "/>
    <s v="Captivated by the historical charm of the Colosseum, each stone echoing tales of gladiator valor.."/>
    <s v=" Captivation "/>
    <x v="144"/>
    <d v="2018-03-15T17:30:00"/>
    <x v="4"/>
    <s v=" ColosseumAdventurer "/>
    <s v="ColosseumAdventurer"/>
    <x v="3"/>
    <x v="0"/>
    <s v=" #Captivation #GladiatorTales "/>
    <n v="25"/>
    <n v="50"/>
    <s v=" Italy "/>
    <x v="11"/>
    <n v="2018"/>
    <x v="2"/>
    <n v="15"/>
    <n v="17"/>
    <x v="0"/>
  </r>
  <r>
    <s v="Sailing the azure waters of the Maldives, each wave a whisper of serenity in paradise. "/>
    <s v="Sailing the azure waters of the Maldives, each wave a whisper of serenity in paradise.."/>
    <s v=" Serenity "/>
    <x v="30"/>
    <d v="2019-10-28T14:15:00"/>
    <x v="1"/>
    <s v=" MaldivesSailor "/>
    <s v="MaldivesSailor"/>
    <x v="2"/>
    <x v="2"/>
    <s v=" #Serenity #ParadiseWhispers "/>
    <n v="22"/>
    <n v="45"/>
    <s v=" Maldives "/>
    <x v="23"/>
    <n v="2019"/>
    <x v="10"/>
    <n v="28"/>
    <n v="14"/>
    <x v="0"/>
  </r>
  <r>
    <s v="In the midst of the Amazon rainforest, a symphony of wildlife creates an orchestra of nature's wonders. "/>
    <s v="In the midst of the Amazon rainforest, a symphony of wildlife creates an orchestra of nature's wonders.."/>
    <s v=" Wonder "/>
    <x v="105"/>
    <d v="2021-06-10T16:00:00"/>
    <x v="4"/>
    <s v=" AmazonExplorer "/>
    <s v="AmazonExplorer"/>
    <x v="1"/>
    <x v="1"/>
    <s v=" #Wonder #NatureOrchestra "/>
    <n v="30"/>
    <n v="60"/>
    <s v=" Brazil "/>
    <x v="6"/>
    <n v="2021"/>
    <x v="5"/>
    <n v="10"/>
    <n v="16"/>
    <x v="0"/>
  </r>
  <r>
    <s v="Walking the Great Wall of China, each step a testament to ancient engineering marvels. "/>
    <s v="Walking the Great Wall of China, each step a testament to ancient engineering marvels.."/>
    <s v=" Awe "/>
    <x v="14"/>
    <d v="2017-08-18T19:30:00"/>
    <x v="5"/>
    <s v=" GreatWallWalker "/>
    <s v="GreatWallWalker"/>
    <x v="3"/>
    <x v="0"/>
    <s v=" #Awe #EngineeringMarvels "/>
    <n v="18"/>
    <n v="35"/>
    <s v=" China "/>
    <x v="24"/>
    <n v="2017"/>
    <x v="4"/>
    <n v="18"/>
    <n v="19"/>
    <x v="0"/>
  </r>
  <r>
    <s v="At the summit of Mount Fuji, a breathtaking sunrise that paints the sky with hues of accomplishment. "/>
    <s v="At the summit of Mount Fuji, a breathtaking sunrise that paints the sky with hues of accomplishment.."/>
    <s v=" Accomplishment "/>
    <x v="91"/>
    <d v="2020-04-15T05:30:00"/>
    <x v="3"/>
    <s v=" FujiSummitAchiever "/>
    <s v="FujiSummitAchiever"/>
    <x v="2"/>
    <x v="2"/>
    <s v=" #Accomplishment #SunriseHues "/>
    <n v="28"/>
    <n v="55"/>
    <s v=" Japan "/>
    <x v="7"/>
    <n v="2020"/>
    <x v="7"/>
    <n v="15"/>
    <n v="5"/>
    <x v="0"/>
  </r>
  <r>
    <s v="Exploring the ancient ruins of Angkor Wat, each stone whispering stories of Khmer civilization. "/>
    <s v="Exploring the ancient ruins of Angkor Wat, each stone whispering stories of Khmer civilization.."/>
    <s v=" Exploration "/>
    <x v="141"/>
    <d v="2016-11-22T13:00:00"/>
    <x v="2"/>
    <s v=" AngkorWatAdventurer "/>
    <s v="AngkorWatAdventurer"/>
    <x v="1"/>
    <x v="1"/>
    <s v=" #Exploration #KhmerStories "/>
    <n v="20"/>
    <n v="40"/>
    <s v=" Cambodia "/>
    <x v="25"/>
    <n v="2016"/>
    <x v="6"/>
    <n v="22"/>
    <n v="13"/>
    <x v="0"/>
  </r>
  <r>
    <s v="Skiing down the slopes of the Swiss Alps, each turn a dance with the majesty of snow-capped peaks. "/>
    <s v="Skiing down the slopes of the Swiss Alps, each turn a dance with the majesty of snow-capped peaks.."/>
    <s v=" Adventure "/>
    <x v="108"/>
    <d v="2019-01-10T14:45:00"/>
    <x v="4"/>
    <s v=" AlpsSkiAdventurer "/>
    <s v="AlpsSkiAdventurer"/>
    <x v="3"/>
    <x v="0"/>
    <s v=" #Adventure #SnowPeakDance "/>
    <n v="22"/>
    <n v="45"/>
    <s v=" Switzerland "/>
    <x v="16"/>
    <n v="2019"/>
    <x v="0"/>
    <n v="10"/>
    <n v="14"/>
    <x v="0"/>
  </r>
  <r>
    <s v="In the tranquility of Kyoto's bamboo forest, whispers of ancient Zen wisdom echo through the groves. "/>
    <s v="In the tranquility of Kyoto's bamboo forest, whispers of ancient Zen wisdom echo through the groves.."/>
    <s v=" Tranquility "/>
    <x v="145"/>
    <d v="2023-02-28T16:20:00"/>
    <x v="2"/>
    <s v=" KyotoBambooSeeker "/>
    <s v="KyotoBambooSeeker"/>
    <x v="2"/>
    <x v="2"/>
    <s v=" #Tranquility #ZenWisdom "/>
    <n v="25"/>
    <n v="50"/>
    <s v=" Japan "/>
    <x v="7"/>
    <n v="2023"/>
    <x v="1"/>
    <n v="28"/>
    <n v="16"/>
    <x v="0"/>
  </r>
  <r>
    <s v="Cruising the fjords of Norway, each icy landscape a breathtaking masterpiece of nature's grandeur. "/>
    <s v="Cruising the fjords of Norway, each icy landscape a breathtaking masterpiece of nature's grandeur.."/>
    <s v=" Grandeur "/>
    <x v="146"/>
    <d v="2018-05-28T18:30:00"/>
    <x v="1"/>
    <s v=" NorwayFjordExplorer "/>
    <s v="NorwayFjordExplorer"/>
    <x v="1"/>
    <x v="1"/>
    <s v=" #Grandeur #IcyMasterpiece "/>
    <n v="22"/>
    <n v="45"/>
    <s v=" Norway "/>
    <x v="26"/>
    <n v="2018"/>
    <x v="3"/>
    <n v="28"/>
    <n v="18"/>
    <x v="0"/>
  </r>
  <r>
    <s v="At the front row of Adele's concert, each note of 'Someone Like You' resonates with soul-stirring emotion. "/>
    <s v="At the front row of Adele's concert, each note of 'Someone Like You' resonates with soul-stirring emotion.."/>
    <s v=" Emotion "/>
    <x v="147"/>
    <d v="2022-09-15T20:00:00"/>
    <x v="4"/>
    <s v=" AdeleConcertGoer "/>
    <s v="AdeleConcertGoer"/>
    <x v="1"/>
    <x v="1"/>
    <s v=" #Emotion #AdeleConcert "/>
    <n v="40"/>
    <n v="80"/>
    <s v=" USA "/>
    <x v="0"/>
    <n v="2022"/>
    <x v="8"/>
    <n v="15"/>
    <n v="20"/>
    <x v="0"/>
  </r>
  <r>
    <s v="Dancing under the stars at BeyoncÃ©'s live show, feeling the power of 'Single Ladies' in every move. "/>
    <s v="Dancing under the stars at BeyoncÃ©'s live show, feeling the power of 'Single Ladies' in every move.."/>
    <s v=" Energy "/>
    <x v="148"/>
    <d v="2019-07-28T21:30:00"/>
    <x v="0"/>
    <s v=" BeyonceDancer "/>
    <s v="BeyonceDancer"/>
    <x v="3"/>
    <x v="0"/>
    <s v=" #Energy #BeyonceConcert "/>
    <n v="35"/>
    <n v="70"/>
    <s v=" USA "/>
    <x v="0"/>
    <n v="2019"/>
    <x v="9"/>
    <n v="28"/>
    <n v="21"/>
    <x v="0"/>
  </r>
  <r>
    <s v="In the crowd of a Taylor Swift concert, the lyrics of 'Love Story' create an enchanting fairy tale. "/>
    <s v="In the crowd of a Taylor Swift concert, the lyrics of 'Love Story' create an enchanting fairy tale.."/>
    <s v=" Enchantment "/>
    <x v="94"/>
    <d v="2021-05-10T19:45:00"/>
    <x v="1"/>
    <s v=" SwiftieDreamer "/>
    <s v="SwiftieDreamer"/>
    <x v="2"/>
    <x v="2"/>
    <s v=" #Enchantment #TaylorSwift "/>
    <n v="30"/>
    <n v="60"/>
    <s v=" USA "/>
    <x v="0"/>
    <n v="2021"/>
    <x v="3"/>
    <n v="10"/>
    <n v="19"/>
    <x v="0"/>
  </r>
  <r>
    <s v="Rocking out to the guitar solos at a Queen tribute concert, a journey back in time with Freddie's spirit. "/>
    <s v="Rocking out to the guitar solos at a Queen tribute concert, a journey back in time with Freddie's spirit.."/>
    <s v=" Nostalgia "/>
    <x v="56"/>
    <d v="2018-12-02T22:15:00"/>
    <x v="0"/>
    <s v=" QueenTributeFan "/>
    <s v="QueenTributeFan"/>
    <x v="1"/>
    <x v="1"/>
    <s v=" #Nostalgia #QueenTribute "/>
    <n v="22"/>
    <n v="45"/>
    <s v=" UK "/>
    <x v="2"/>
    <n v="2018"/>
    <x v="11"/>
    <n v="2"/>
    <n v="22"/>
    <x v="0"/>
  </r>
  <r>
    <s v="Swaying to Ed Sheeran's acoustic melodies, a serene evening filled with 'Perfect' moments. "/>
    <s v="Swaying to Ed Sheeran's acoustic melodies, a serene evening filled with 'Perfect' moments.."/>
    <s v=" Serenity "/>
    <x v="30"/>
    <d v="2020-08-18T19:00:00"/>
    <x v="2"/>
    <s v=" SheeranMelodyLover "/>
    <s v="SheeranMelodyLover"/>
    <x v="3"/>
    <x v="0"/>
    <s v=" #Serenity #EdSheeranConcert "/>
    <n v="18"/>
    <n v="35"/>
    <s v=" UK "/>
    <x v="2"/>
    <n v="2020"/>
    <x v="4"/>
    <n v="18"/>
    <n v="19"/>
    <x v="0"/>
  </r>
  <r>
    <s v="Immersed in the pulsating beats of a Bruno Mars concert, where 'Uptown Funk' becomes a city of joy. "/>
    <s v="Immersed in the pulsating beats of a Bruno Mars concert, where 'Uptown Funk' becomes a city of joy.."/>
    <s v=" Joy "/>
    <x v="8"/>
    <d v="2017-03-28T20:30:00"/>
    <x v="2"/>
    <s v=" MarsJoyExplorer "/>
    <s v="MarsJoyExplorer"/>
    <x v="2"/>
    <x v="2"/>
    <s v=" #Joy #BrunoMars "/>
    <n v="28"/>
    <n v="55"/>
    <s v=" USA "/>
    <x v="0"/>
    <n v="2017"/>
    <x v="2"/>
    <n v="28"/>
    <n v="20"/>
    <x v="0"/>
  </r>
  <r>
    <s v="At a Michael Jackson tribute show, moonwalking through the hits, a celebration of the King of Pop. "/>
    <s v="At a Michael Jackson tribute show, moonwalking through the hits, a celebration of the King of Pop.."/>
    <s v=" Celebration "/>
    <x v="149"/>
    <d v="2022-01-15T21:15:00"/>
    <x v="6"/>
    <s v=" MJTributeDancer "/>
    <s v="MJTributeDancer"/>
    <x v="1"/>
    <x v="1"/>
    <s v=" #Celebration #MJTribute "/>
    <n v="25"/>
    <n v="50"/>
    <s v=" USA "/>
    <x v="0"/>
    <n v="2022"/>
    <x v="0"/>
    <n v="15"/>
    <n v="21"/>
    <x v="0"/>
  </r>
  <r>
    <s v="Swinging to the rhythms of a Frank Sinatra tribute, feeling the timeless charm of 'Fly Me to the Moon'. "/>
    <s v="Swinging to the rhythms of a Frank Sinatra tribute, feeling the timeless charm of 'Fly Me to the Moon'.."/>
    <s v=" Charm "/>
    <x v="150"/>
    <d v="2019-06-10T18:45:00"/>
    <x v="1"/>
    <s v=" SinatraCharmListener "/>
    <s v="SinatraCharmListener"/>
    <x v="3"/>
    <x v="0"/>
    <s v=" #Charm #SinatraTribute "/>
    <n v="22"/>
    <n v="45"/>
    <s v=" USA "/>
    <x v="0"/>
    <n v="2019"/>
    <x v="5"/>
    <n v="10"/>
    <n v="18"/>
    <x v="0"/>
  </r>
  <r>
    <s v="In the mosh pit of a Metallica concert, the thunderous chords create a symphony of headbanging ecstasy. "/>
    <s v="In the mosh pit of a Metallica concert, the thunderous chords create a symphony of headbanging ecstasy.."/>
    <s v=" Ecstasy "/>
    <x v="151"/>
    <d v="2023-03-20T22:30:00"/>
    <x v="1"/>
    <s v=" MetallicaMoshWarrior "/>
    <s v="MetallicaMoshWarrior"/>
    <x v="2"/>
    <x v="2"/>
    <s v=" #Ecstasy #MetallicaConcert "/>
    <n v="35"/>
    <n v="70"/>
    <s v=" USA "/>
    <x v="0"/>
    <n v="2023"/>
    <x v="2"/>
    <n v="20"/>
    <n v="22"/>
    <x v="0"/>
  </r>
  <r>
    <s v="Experiencing the magic of a Coldplay concert, where 'Fix You' becomes a beacon of hope in the night. "/>
    <s v="Experiencing the magic of a Coldplay concert, where 'Fix You' becomes a beacon of hope in the night.."/>
    <s v=" Hope "/>
    <x v="32"/>
    <d v="2016-11-28T19:00:00"/>
    <x v="1"/>
    <s v=" ColdplayHopeSeeker "/>
    <s v="ColdplayHopeSeeker"/>
    <x v="1"/>
    <x v="1"/>
    <s v=" #Hope #ColdplayMagic "/>
    <n v="30"/>
    <n v="60"/>
    <s v=" UK "/>
    <x v="2"/>
    <n v="2016"/>
    <x v="6"/>
    <n v="28"/>
    <n v="19"/>
    <x v="0"/>
  </r>
  <r>
    <s v="At a Justin Bieber concert, the infectious beats of 'Baby' create a dance floor of unbridled enthusiasm. "/>
    <s v="At a Justin Bieber concert, the infectious beats of 'Baby' create a dance floor of unbridled enthusiasm.."/>
    <s v=" Enthusiasm "/>
    <x v="37"/>
    <d v="2018-08-05T20:00:00"/>
    <x v="0"/>
    <s v=" BieberDanceEnthusiast "/>
    <s v="BieberDanceEnthusiast"/>
    <x v="1"/>
    <x v="1"/>
    <s v=" #Enthusiasm #JustinBieber "/>
    <n v="40"/>
    <n v="80"/>
    <s v=" Canada "/>
    <x v="1"/>
    <n v="2018"/>
    <x v="4"/>
    <n v="5"/>
    <n v="20"/>
    <x v="0"/>
  </r>
  <r>
    <s v="In the spotlight at a Lady Gaga show, each costume change is a metamorphosis of creativity and artistry. "/>
    <s v="In the spotlight at a Lady Gaga show, each costume change is a metamorphosis of creativity and artistry.."/>
    <s v=" Creativity "/>
    <x v="103"/>
    <d v="2021-04-15T21:30:00"/>
    <x v="4"/>
    <s v=" GagaArtisticChameleon "/>
    <s v="GagaArtisticChameleon"/>
    <x v="3"/>
    <x v="0"/>
    <s v=" #Creativity #LadyGaga "/>
    <n v="35"/>
    <n v="70"/>
    <s v=" USA "/>
    <x v="0"/>
    <n v="2021"/>
    <x v="7"/>
    <n v="15"/>
    <n v="21"/>
    <x v="0"/>
  </r>
  <r>
    <s v="Immersed in the soulful melodies of Adele, tears flow freely, moved by the emotion of 'Hello'. "/>
    <s v="Immersed in the soulful melodies of Adele, tears flow freely, moved by the emotion of 'Hello'.."/>
    <s v=" Emotion "/>
    <x v="147"/>
    <d v="2019-11-28T19:45:00"/>
    <x v="4"/>
    <s v=" AdeleMelodyTearjerker "/>
    <s v="AdeleMelodyTearjerker"/>
    <x v="2"/>
    <x v="2"/>
    <s v=" #Emotion #AdeleMelodies "/>
    <n v="30"/>
    <n v="60"/>
    <s v=" UK "/>
    <x v="2"/>
    <n v="2019"/>
    <x v="6"/>
    <n v="28"/>
    <n v="19"/>
    <x v="0"/>
  </r>
  <r>
    <s v="Drenched in confetti at a Katy Perry concert, a kaleidoscope of colors igniting the night sky. "/>
    <s v="Drenched in confetti at a Katy Perry concert, a kaleidoscope of colors igniting the night sky.."/>
    <s v=" Colorful "/>
    <x v="152"/>
    <d v="2020-06-22T22:00:00"/>
    <x v="1"/>
    <s v=" KatyPerryColorExplosion "/>
    <s v="KatyPerryColorExplosion"/>
    <x v="1"/>
    <x v="1"/>
    <s v=" #Colorful #KatyPerry "/>
    <n v="22"/>
    <n v="45"/>
    <s v=" USA "/>
    <x v="0"/>
    <n v="2020"/>
    <x v="5"/>
    <n v="22"/>
    <n v="22"/>
    <x v="0"/>
  </r>
  <r>
    <s v="In the audience of a Jay-Z performance, the lyrics of 'Empire State of Mind' become an anthem of pride. "/>
    <s v="In the audience of a Jay-Z performance, the lyrics of 'Empire State of Mind' become an anthem of pride.."/>
    <s v=" Pride "/>
    <x v="25"/>
    <d v="2017-09-10T20:15:00"/>
    <x v="0"/>
    <s v=" JayZEmpireListener "/>
    <s v="JayZEmpireListener"/>
    <x v="3"/>
    <x v="0"/>
    <s v=" #Pride #JayZAnthem "/>
    <n v="18"/>
    <n v="35"/>
    <s v=" USA "/>
    <x v="0"/>
    <n v="2017"/>
    <x v="8"/>
    <n v="10"/>
    <n v="20"/>
    <x v="0"/>
  </r>
  <r>
    <s v="Dancing to Shakira's rhythmic beats, hips swaying to the hypnotic charm of 'Hips Don't Lie'. "/>
    <s v="Dancing to Shakira's rhythmic beats, hips swaying to the hypnotic charm of 'Hips Don't Lie'.."/>
    <s v=" Hypnotic "/>
    <x v="153"/>
    <d v="2022-02-28T21:15:00"/>
    <x v="1"/>
    <s v=" ShakiraHipsDancer "/>
    <s v="ShakiraHipsDancer"/>
    <x v="2"/>
    <x v="2"/>
    <s v=" #Hypnotic #ShakiraRhythms "/>
    <n v="28"/>
    <n v="55"/>
    <s v=" Colombia "/>
    <x v="27"/>
    <n v="2022"/>
    <x v="1"/>
    <n v="28"/>
    <n v="21"/>
    <x v="0"/>
  </r>
  <r>
    <s v="At a U2 concert, the anthemic chords of 'With or Without You' create a timeless moment of connection. "/>
    <s v="At a U2 concert, the anthemic chords of 'With or Without You' create a timeless moment of connection.."/>
    <s v=" Connection "/>
    <x v="154"/>
    <d v="2016-05-15T19:30:00"/>
    <x v="0"/>
    <s v=" U2ConnectionSeeker "/>
    <s v="U2ConnectionSeeker"/>
    <x v="1"/>
    <x v="1"/>
    <s v=" #Connection #U2Anthem "/>
    <n v="25"/>
    <n v="50"/>
    <s v=" Ireland "/>
    <x v="28"/>
    <n v="2016"/>
    <x v="3"/>
    <n v="15"/>
    <n v="19"/>
    <x v="0"/>
  </r>
  <r>
    <s v="Rocking out at a Guns N' Roses show, the iconic riffs of 'Sweet Child o' Mine' echoing in the night. "/>
    <s v="Rocking out at a Guns N' Roses show, the iconic riffs of 'Sweet Child o' Mine' echoing in the night.."/>
    <s v=" Iconic "/>
    <x v="155"/>
    <d v="2018-12-10T22:30:00"/>
    <x v="1"/>
    <s v=" GunsNRosesRiffRockstar "/>
    <s v="GunsNRosesRiffRockstar"/>
    <x v="3"/>
    <x v="0"/>
    <s v=" #Iconic #GNRConcert "/>
    <n v="22"/>
    <n v="45"/>
    <s v=" USA "/>
    <x v="0"/>
    <n v="2018"/>
    <x v="11"/>
    <n v="10"/>
    <n v="22"/>
    <x v="0"/>
  </r>
  <r>
    <s v="In the crowd of an Ariana Grande concert, the high notes of 'Into You' create a euphoric symphony. "/>
    <s v="In the crowd of an Ariana Grande concert, the high notes of 'Into You' create a euphoric symphony.."/>
    <s v=" Euphoria "/>
    <x v="28"/>
    <d v="2023-01-22T20:00:00"/>
    <x v="0"/>
    <s v=" ArianaEuphoriaChaser "/>
    <s v="ArianaEuphoriaChaser"/>
    <x v="2"/>
    <x v="2"/>
    <s v=" #Euphoria #ArianaGrande "/>
    <n v="35"/>
    <n v="70"/>
    <s v=" USA "/>
    <x v="0"/>
    <n v="2023"/>
    <x v="0"/>
    <n v="22"/>
    <n v="20"/>
    <x v="0"/>
  </r>
  <r>
    <s v="Swaying to the reggae vibes of Bob Marley's tribute concert, each chord a journey to Jamaica's soul. "/>
    <s v="Swaying to the reggae vibes of Bob Marley's tribute concert, each chord a journey to Jamaica's soul.."/>
    <s v=" Journey "/>
    <x v="156"/>
    <d v="2020-03-05T18:45:00"/>
    <x v="4"/>
    <s v=" MarleyReggaeTraveler "/>
    <s v="MarleyReggaeTraveler"/>
    <x v="1"/>
    <x v="1"/>
    <s v=" #Journey #BobMarleyTribute "/>
    <n v="30"/>
    <n v="60"/>
    <s v=" Jamaica "/>
    <x v="29"/>
    <n v="2020"/>
    <x v="2"/>
    <n v="5"/>
    <n v="18"/>
    <x v="0"/>
  </r>
  <r>
    <s v="Captivated by the spellbinding plot twists, the audience applauds, experiencing a rollercoaster of emotions at the movie premiere. "/>
    <s v="Captivated by the spellbinding plot twists, the audience applauds, experiencing a rollercoaster of emotions at the movie premiere.."/>
    <s v=" Excitement "/>
    <x v="23"/>
    <d v="2018-10-12T20:00:00"/>
    <x v="5"/>
    <s v=" MovieEnthusiastPremiereAttendee "/>
    <s v="MovieEnthusiastPremiereAttendee"/>
    <x v="3"/>
    <x v="0"/>
    <s v=" #Excitement #MoviePremiereThrills "/>
    <n v="40"/>
    <n v="80"/>
    <s v=" USA "/>
    <x v="0"/>
    <n v="2018"/>
    <x v="10"/>
    <n v="12"/>
    <n v="20"/>
    <x v="0"/>
  </r>
  <r>
    <s v="As the credits roll, a profound sense of nostalgia washes over, reminiscent of cherished moments in classic films. "/>
    <s v="As the credits roll, a profound sense of nostalgia washes over, reminiscent of cherished moments in classic films.."/>
    <s v=" Nostalgia "/>
    <x v="56"/>
    <d v="2019-06-25T22:15:00"/>
    <x v="2"/>
    <s v=" FilmLoverNostalgiaSeeker "/>
    <s v="FilmLoverNostalgiaSeeker"/>
    <x v="1"/>
    <x v="1"/>
    <s v=" #Nostalgia #ClassicFilmMoments "/>
    <n v="35"/>
    <n v="70"/>
    <s v=" UK "/>
    <x v="2"/>
    <n v="2019"/>
    <x v="5"/>
    <n v="25"/>
    <n v="22"/>
    <x v="0"/>
  </r>
  <r>
    <s v="Streaming the latest web series, the viewer is engrossed in the characters' journey, feeling a sense of connection and empathy. "/>
    <s v="Streaming the latest web series, the viewer is engrossed in the characters' journey, feeling a sense of connection and empathy.."/>
    <s v=" Engagement "/>
    <x v="157"/>
    <d v="2020-07-08T19:30:00"/>
    <x v="3"/>
    <s v=" WebSeriesViewerCharacterConnection "/>
    <s v="WebSeriesViewerCharacterConnection"/>
    <x v="2"/>
    <x v="2"/>
    <s v=" #Engagement #WebSeriesJourney "/>
    <n v="30"/>
    <n v="60"/>
    <s v=" Canada "/>
    <x v="1"/>
    <n v="2020"/>
    <x v="9"/>
    <n v="8"/>
    <n v="19"/>
    <x v="0"/>
  </r>
  <r>
    <s v="At the film festival, the indie filmmaker's creation receives a standing ovation, evoking pride and a sense of accomplishment. "/>
    <s v="At the film festival, the indie filmmaker's creation receives a standing ovation, evoking pride and a sense of accomplishment.."/>
    <s v=" Pride "/>
    <x v="25"/>
    <d v="2017-09-18T21:45:00"/>
    <x v="1"/>
    <s v=" IndieFilmmakerFestivalSuccess "/>
    <s v="IndieFilmmakerFestivalSuccess"/>
    <x v="3"/>
    <x v="0"/>
    <s v=" #Pride #IndieFilmSuccess "/>
    <n v="22"/>
    <n v="45"/>
    <s v=" Australia "/>
    <x v="3"/>
    <n v="2017"/>
    <x v="8"/>
    <n v="18"/>
    <n v="21"/>
    <x v="0"/>
  </r>
  <r>
    <s v="Watching a heartwarming family drama, tears flow freely as the characters overcome challenges, leaving the viewer with a warm glow. "/>
    <s v="Watching a heartwarming family drama, tears flow freely as the characters overcome challenges, leaving the viewer with a warm glow.."/>
    <s v=" Touched "/>
    <x v="158"/>
    <d v="2021-01-15T18:00:00"/>
    <x v="5"/>
    <s v=" DramaEnthusiastHeartwarmingMoments "/>
    <s v="DramaEnthusiastHeartwarmingMoments"/>
    <x v="1"/>
    <x v="1"/>
    <s v=" #Touched #FamilyDramaMoments "/>
    <n v="28"/>
    <n v="55"/>
    <s v=" India "/>
    <x v="4"/>
    <n v="2021"/>
    <x v="0"/>
    <n v="15"/>
    <n v="18"/>
    <x v="0"/>
  </r>
  <r>
    <s v="At the Oscars, the actor graciously accepts an award, radiating joy and gratitude for the recognition of their outstanding performance. "/>
    <s v="At the Oscars, the actor graciously accepts an award, radiating joy and gratitude for the recognition of their outstanding performance.."/>
    <s v=" Gratitude "/>
    <x v="31"/>
    <d v="2016-02-28T20:30:00"/>
    <x v="0"/>
    <s v=" AwardWinningActorOscarsRecipient "/>
    <s v="AwardWinningActorOscarsRecipient"/>
    <x v="2"/>
    <x v="2"/>
    <s v=" #Gratitude #OscarWinningMoment "/>
    <n v="18"/>
    <n v="35"/>
    <s v=" USA "/>
    <x v="0"/>
    <n v="2016"/>
    <x v="1"/>
    <n v="28"/>
    <n v="20"/>
    <x v="0"/>
  </r>
  <r>
    <s v="Discovering a hidden gem in the world of documentaries, the viewer is enlightened and inspired, feeling a renewed sense of curiosity. "/>
    <s v="Discovering a hidden gem in the world of documentaries, the viewer is enlightened and inspired, feeling a renewed sense of curiosity.."/>
    <s v=" Inspiration "/>
    <x v="82"/>
    <d v="2022-04-20T17:30:00"/>
    <x v="3"/>
    <s v=" DocumentaryEnthusiastHiddenGemFinder "/>
    <s v="DocumentaryEnthusiastHiddenGemFinder"/>
    <x v="3"/>
    <x v="0"/>
    <s v=" #Inspiration #HiddenGemDiscovery "/>
    <n v="22"/>
    <n v="45"/>
    <s v=" France "/>
    <x v="5"/>
    <n v="2022"/>
    <x v="7"/>
    <n v="20"/>
    <n v="17"/>
    <x v="0"/>
  </r>
  <r>
    <s v="As the movie credits roll, the viewer experiences a mix of awe and contemplation, pondering the deeper meanings woven into the storyline. "/>
    <s v="As the movie credits roll, the viewer experiences a mix of awe and contemplation, pondering the deeper meanings woven into the storyline.."/>
    <s v=" Contemplation "/>
    <x v="84"/>
    <d v="2019-11-05T21:15:00"/>
    <x v="2"/>
    <s v=" FilmBuffContemplativeViewer "/>
    <s v="FilmBuffContemplativeViewer"/>
    <x v="1"/>
    <x v="1"/>
    <s v=" #Contemplation #DeepMeanings "/>
    <n v="28"/>
    <n v="55"/>
    <s v=" Germany "/>
    <x v="9"/>
    <n v="2019"/>
    <x v="6"/>
    <n v="5"/>
    <n v="21"/>
    <x v="0"/>
  </r>
  <r>
    <s v="Binge-watching a thrilling crime series, the suspense keeps the viewer on the edge of their seat, creating a rush of adrenaline. "/>
    <s v="Binge-watching a thrilling crime series, the suspense keeps the viewer on the edge of their seat, creating a rush of adrenaline.."/>
    <s v=" Suspense "/>
    <x v="159"/>
    <d v="2015-07-12T22:00:00"/>
    <x v="0"/>
    <s v=" CrimeSeriesEnthusiastThrillSeeker "/>
    <s v="CrimeSeriesEnthusiastThrillSeeker"/>
    <x v="2"/>
    <x v="2"/>
    <s v=" #Suspense #CrimeSeriesThrills "/>
    <n v="35"/>
    <n v="70"/>
    <s v=" Japan "/>
    <x v="7"/>
    <n v="2015"/>
    <x v="9"/>
    <n v="12"/>
    <n v="22"/>
    <x v="0"/>
  </r>
  <r>
    <s v="As the closing scene unfolds, a sense of satisfaction washes over, completing the cinematic journey with a profound and fulfilling ending. "/>
    <s v="As the closing scene unfolds, a sense of satisfaction washes over, completing the cinematic journey with a profound and fulfilling ending.."/>
    <s v=" Satisfaction "/>
    <x v="86"/>
    <d v="2020-09-10T19:45:00"/>
    <x v="4"/>
    <s v=" FilmCriticSatisfactionSeeker "/>
    <s v="FilmCriticSatisfactionSeeker"/>
    <x v="3"/>
    <x v="0"/>
    <s v=" #Satisfaction #FulfillingEnding "/>
    <n v="22"/>
    <n v="45"/>
    <s v=" Brazil "/>
    <x v="6"/>
    <n v="2020"/>
    <x v="8"/>
    <n v="10"/>
    <n v="19"/>
    <x v="0"/>
  </r>
  <r>
    <s v="Celebrating a historic victory in the World Cup, the nation erupts in joy, united by the triumph of their football team. "/>
    <s v="Celebrating a historic victory in the World Cup, the nation erupts in joy, united by the triumph of their football team.."/>
    <s v=" Joy "/>
    <x v="8"/>
    <d v="2018-07-15T21:30:00"/>
    <x v="0"/>
    <s v=" FootballFanWorldCupCelebration "/>
    <s v="FootballFanWorldCupCelebration"/>
    <x v="1"/>
    <x v="1"/>
    <s v=" #Joy #WorldCupTriumph "/>
    <n v="40"/>
    <n v="80"/>
    <s v=" Brazil "/>
    <x v="6"/>
    <n v="2018"/>
    <x v="9"/>
    <n v="15"/>
    <n v="21"/>
    <x v="0"/>
  </r>
  <r>
    <s v="At the Olympics, the athlete's perseverance shines through, earning a gold medal and inspiring a generation with their remarkable achievement. "/>
    <s v="At the Olympics, the athlete's perseverance shines through, earning a gold medal and inspiring a generation with their remarkable achievement.."/>
    <s v=" Inspiration "/>
    <x v="82"/>
    <d v="2020-08-08T19:45:00"/>
    <x v="6"/>
    <s v=" OlympicsEnthusiastGoldMedalWinner "/>
    <s v="OlympicsEnthusiastGoldMedalWinner"/>
    <x v="3"/>
    <x v="0"/>
    <s v=" #Inspiration #OlympicAchievement "/>
    <n v="35"/>
    <n v="70"/>
    <s v=" USA "/>
    <x v="0"/>
    <n v="2020"/>
    <x v="4"/>
    <n v="8"/>
    <n v="19"/>
    <x v="0"/>
  </r>
  <r>
    <s v="In the cricket championship, a nail-biting finish leaves fans on the edge of their seats, experiencing a rollercoaster of emotions. "/>
    <s v="In the cricket championship, a nail-biting finish leaves fans on the edge of their seats, experiencing a rollercoaster of emotions.."/>
    <s v=" Excitement "/>
    <x v="23"/>
    <d v="2019-06-25T22:15:00"/>
    <x v="2"/>
    <s v=" CricketFanChampionshipThrills "/>
    <s v="CricketFanChampionshipThrills"/>
    <x v="2"/>
    <x v="2"/>
    <s v=" #Excitement #CricketChampionship "/>
    <n v="30"/>
    <n v="60"/>
    <s v=" India "/>
    <x v="4"/>
    <n v="2019"/>
    <x v="5"/>
    <n v="25"/>
    <n v="22"/>
    <x v="0"/>
  </r>
  <r>
    <s v="Witnessing a record-breaking marathon, spectators are filled with awe and admiration for the endurance and dedication of the runners. "/>
    <s v="Witnessing a record-breaking marathon, spectators are filled with awe and admiration for the endurance and dedication of the runners.."/>
    <s v=" Admiration "/>
    <x v="12"/>
    <d v="2021-11-07T17:30:00"/>
    <x v="0"/>
    <s v=" MarathonSpectatorRecordBreaking "/>
    <s v="MarathonSpectatorRecordBreaking"/>
    <x v="1"/>
    <x v="1"/>
    <s v=" #Admiration #MarathonRecords "/>
    <n v="22"/>
    <n v="45"/>
    <s v=" Kenya "/>
    <x v="30"/>
    <n v="2021"/>
    <x v="6"/>
    <n v="7"/>
    <n v="17"/>
    <x v="0"/>
  </r>
  <r>
    <s v="In the tennis grand slam, a fierce rivalry unfolds, captivating fans with a display of skill and sportsmanship on the world stage. "/>
    <s v="In the tennis grand slam, a fierce rivalry unfolds, captivating fans with a display of skill and sportsmanship on the world stage.."/>
    <s v=" Captivation "/>
    <x v="144"/>
    <d v="2017-09-10T20:15:00"/>
    <x v="0"/>
    <s v=" TennisEnthusiastGrandSlamDrama "/>
    <s v="TennisEnthusiastGrandSlamDrama"/>
    <x v="3"/>
    <x v="0"/>
    <s v=" #Captivation #TennisRivalry "/>
    <n v="28"/>
    <n v="55"/>
    <s v=" UK "/>
    <x v="2"/>
    <n v="2017"/>
    <x v="8"/>
    <n v="10"/>
    <n v="20"/>
    <x v="0"/>
  </r>
  <r>
    <s v="Cheering for the underdog in the basketball finals, the crowd erupts in applause as the team defies odds to claim the championship title. "/>
    <s v="Cheering for the underdog in the basketball finals, the crowd erupts in applause as the team defies odds to claim the championship title.."/>
    <s v=" Triumph "/>
    <x v="160"/>
    <d v="2022-06-20T21:00:00"/>
    <x v="1"/>
    <s v=" BasketballFanUnderdogTriumph "/>
    <s v="BasketballFanUnderdogTriumph"/>
    <x v="2"/>
    <x v="2"/>
    <s v=" #Triumph #BasketballFinals "/>
    <n v="18"/>
    <n v="35"/>
    <s v=" USA "/>
    <x v="0"/>
    <n v="2022"/>
    <x v="5"/>
    <n v="20"/>
    <n v="21"/>
    <x v="0"/>
  </r>
  <r>
    <s v="At the golf tournament, the golfer's precision and focus lead to a stunning victory, leaving spectators in awe of their exceptional skill. "/>
    <s v="At the golf tournament, the golfer's precision and focus lead to a stunning victory, leaving spectators in awe of their exceptional skill.."/>
    <s v=" Awe "/>
    <x v="14"/>
    <d v="2016-04-10T18:30:00"/>
    <x v="0"/>
    <s v=" GolfEnthusiastPrecisionVictory "/>
    <s v="GolfEnthusiastPrecisionVictory"/>
    <x v="1"/>
    <x v="1"/>
    <s v=" #Awe #GolfVictory "/>
    <n v="22"/>
    <n v="45"/>
    <s v=" Scotland "/>
    <x v="31"/>
    <n v="2016"/>
    <x v="7"/>
    <n v="10"/>
    <n v="18"/>
    <x v="0"/>
  </r>
  <r>
    <s v="Experiencing the thrill of a high-speed Formula 1 race, fans are on the edge of their seats as drivers compete for the championship. "/>
    <s v="Experiencing the thrill of a high-speed Formula 1 race, fans are on the edge of their seats as drivers compete for the championship.."/>
    <s v=" Thrill "/>
    <x v="79"/>
    <d v="2019-11-24T19:45:00"/>
    <x v="0"/>
    <s v=" F1FanHighSpeedRaceExcitement "/>
    <s v="F1FanHighSpeedRaceExcitement"/>
    <x v="3"/>
    <x v="0"/>
    <s v=" #Thrill #Formula1Championship "/>
    <n v="28"/>
    <n v="55"/>
    <s v=" Germany "/>
    <x v="9"/>
    <n v="2019"/>
    <x v="6"/>
    <n v="24"/>
    <n v="19"/>
    <x v="0"/>
  </r>
  <r>
    <s v="In the cycling world championship, the climber conquers challenging terrains, symbolizing determination and achievement against all odds. "/>
    <s v="In the cycling world championship, the climber conquers challenging terrains, symbolizing determination and achievement against all odds.."/>
    <s v=" Determination "/>
    <x v="58"/>
    <d v="2015-09-28T22:30:00"/>
    <x v="1"/>
    <s v=" CyclingEnthusiastWorldChampion "/>
    <s v="CyclingEnthusiastWorldChampion"/>
    <x v="2"/>
    <x v="2"/>
    <s v=" #Determination #CyclingChampion "/>
    <n v="35"/>
    <n v="70"/>
    <s v=" Italy "/>
    <x v="11"/>
    <n v="2015"/>
    <x v="8"/>
    <n v="28"/>
    <n v="22"/>
    <x v="0"/>
  </r>
  <r>
    <s v="Witnessing a heartwarming comeback in the hockey finals, fans share tears of joy as the team secures a historic victory after adversity. "/>
    <s v="Witnessing a heartwarming comeback in the hockey finals, fans share tears of joy as the team secures a historic victory after adversity.."/>
    <s v=" Heartwarming "/>
    <x v="161"/>
    <d v="2020-12-12T20:00:00"/>
    <x v="6"/>
    <s v=" HockeyFanComebackVictory "/>
    <s v="HockeyFanComebackVictory"/>
    <x v="1"/>
    <x v="1"/>
    <s v=" #Heartwarming #HockeyFinalsComeback "/>
    <n v="22"/>
    <n v="45"/>
    <s v=" Canada "/>
    <x v="1"/>
    <n v="2020"/>
    <x v="11"/>
    <n v="12"/>
    <n v="20"/>
    <x v="0"/>
  </r>
  <r>
    <s v="After a series of defeats, the soccer team faces disappointment, struggling to find the silver lining in a challenging season. "/>
    <s v="After a series of defeats, the soccer team faces disappointment, struggling to find the silver lining in a challenging season.."/>
    <s v=" Disappointment "/>
    <x v="126"/>
    <d v="2019-11-02T18:45:00"/>
    <x v="6"/>
    <s v=" SoccerFanTeamDefeats "/>
    <s v="SoccerFanTeamDefeats"/>
    <x v="3"/>
    <x v="0"/>
    <s v=" #Disappointment #SoccerDefeats "/>
    <n v="40"/>
    <n v="80"/>
    <s v=" Brazil "/>
    <x v="6"/>
    <n v="2019"/>
    <x v="6"/>
    <n v="2"/>
    <n v="18"/>
    <x v="0"/>
  </r>
  <r>
    <s v="In the tennis tournament, a highly anticipated player experiences a setback, leaving fans in shock and questioning the unforeseen turn of events. "/>
    <s v="In the tennis tournament, a highly anticipated player experiences a setback, leaving fans in shock and questioning the unforeseen turn of events.."/>
    <s v=" Frustration "/>
    <x v="45"/>
    <d v="2018-07-10T21:15:00"/>
    <x v="2"/>
    <s v=" TennisEnthusiastUnexpectedSetback "/>
    <s v="TennisEnthusiastUnexpectedSetback"/>
    <x v="1"/>
    <x v="1"/>
    <s v=" #Frustration #TennisSetback "/>
    <n v="35"/>
    <n v="70"/>
    <s v=" USA "/>
    <x v="0"/>
    <n v="2018"/>
    <x v="9"/>
    <n v="10"/>
    <n v="21"/>
    <x v="0"/>
  </r>
  <r>
    <s v="Facing a defeat in the championship, the boxer reflects on the challenges, vowing to return stronger and more determined in the next bout. "/>
    <s v="Facing a defeat in the championship, the boxer reflects on the challenges, vowing to return stronger and more determined in the next bout.."/>
    <s v=" Reflection "/>
    <x v="88"/>
    <d v="2020-09-18T19:30:00"/>
    <x v="5"/>
    <s v=" BoxingFanChampionshipDefeat "/>
    <s v="BoxingFanChampionshipDefeat"/>
    <x v="2"/>
    <x v="2"/>
    <s v=" #Reflection #BoxingDefeat "/>
    <n v="30"/>
    <n v="60"/>
    <s v=" UK "/>
    <x v="2"/>
    <n v="2020"/>
    <x v="8"/>
    <n v="18"/>
    <n v="19"/>
    <x v="0"/>
  </r>
  <r>
    <s v="In the midst of a cycling race, a tire blowout leads to frustration for the cyclist, who valiantly tries to overcome the unexpected obstacle. "/>
    <s v="In the midst of a cycling race, a tire blowout leads to frustration for the cyclist, who valiantly tries to overcome the unexpected obstacle.."/>
    <s v=" Obstacle "/>
    <x v="162"/>
    <d v="2017-05-15T22:00:00"/>
    <x v="1"/>
    <s v=" CyclingEnthusiastTireBlowout "/>
    <s v="CyclingEnthusiastTireBlowout"/>
    <x v="3"/>
    <x v="0"/>
    <s v=" #Obstacle #CyclingFrustration "/>
    <n v="22"/>
    <n v="45"/>
    <s v=" France "/>
    <x v="5"/>
    <n v="2017"/>
    <x v="3"/>
    <n v="15"/>
    <n v="22"/>
    <x v="0"/>
  </r>
  <r>
    <s v="The gymnast's unexpected fall during a routine sparks a wave of sympathy from the audience, highlighting the vulnerability of sports. "/>
    <s v="The gymnast's unexpected fall during a routine sparks a wave of sympathy from the audience, highlighting the vulnerability of sports.."/>
    <s v=" Sympathy "/>
    <x v="163"/>
    <d v="2021-04-05T20:15:00"/>
    <x v="1"/>
    <s v=" GymnasticsFanRoutineFall "/>
    <s v="GymnasticsFanRoutineFall"/>
    <x v="1"/>
    <x v="1"/>
    <s v=" #Sympathy #GymnasticsFall "/>
    <n v="28"/>
    <n v="55"/>
    <s v=" Japan "/>
    <x v="7"/>
    <n v="2021"/>
    <x v="7"/>
    <n v="5"/>
    <n v="20"/>
    <x v="0"/>
  </r>
  <r>
    <s v="In the golf tournament, a missed crucial putt results in defeat, causing the golfer to reflect on the pressure of high-stakes competition. "/>
    <s v="In the golf tournament, a missed crucial putt results in defeat, causing the golfer to reflect on the pressure of high-stakes competition.."/>
    <s v=" Pressure "/>
    <x v="164"/>
    <d v="2016-08-20T18:30:00"/>
    <x v="6"/>
    <s v=" GolfEnthusiastMissedPutt "/>
    <s v="GolfEnthusiastMissedPutt"/>
    <x v="2"/>
    <x v="2"/>
    <s v=" #Pressure #GolfDefeat "/>
    <n v="18"/>
    <n v="35"/>
    <s v=" USA "/>
    <x v="0"/>
    <n v="2016"/>
    <x v="4"/>
    <n v="20"/>
    <n v="18"/>
    <x v="0"/>
  </r>
  <r>
    <s v="Experiencing a series of losses in the basketball season, the team grapples with frustration, determined to turn the tide with renewed effort. "/>
    <s v="Experiencing a series of losses in the basketball season, the team grapples with frustration, determined to turn the tide with renewed effort.."/>
    <s v=" Renewed Effort "/>
    <x v="165"/>
    <d v="2019-02-12T19:45:00"/>
    <x v="2"/>
    <s v=" BasketballFanTeamLosses "/>
    <s v="BasketballFanTeamLosses"/>
    <x v="3"/>
    <x v="0"/>
    <s v=" #RenewedEffort #BasketballStruggles "/>
    <n v="22"/>
    <n v="45"/>
    <s v=" Canada "/>
    <x v="1"/>
    <n v="2019"/>
    <x v="1"/>
    <n v="12"/>
    <n v="19"/>
    <x v="0"/>
  </r>
  <r>
    <s v="Despite meticulous training, the swimmer faces disappointment as a split-second miscalculation costs them the lead in a crucial race. "/>
    <s v="Despite meticulous training, the swimmer faces disappointment as a split-second miscalculation costs them the lead in a crucial race.."/>
    <s v=" Miscalculation "/>
    <x v="166"/>
    <d v="2015-06-28T20:00:00"/>
    <x v="0"/>
    <s v=" SwimmingEnthusiastRaceSetback "/>
    <s v="SwimmingEnthusiastRaceSetback"/>
    <x v="1"/>
    <x v="1"/>
    <s v=" #Miscalculation #SwimmingDisappointment "/>
    <n v="28"/>
    <n v="55"/>
    <s v=" Australia "/>
    <x v="3"/>
    <n v="2015"/>
    <x v="5"/>
    <n v="28"/>
    <n v="20"/>
    <x v="0"/>
  </r>
  <r>
    <s v="The weightlifter's failed attempt at a personal record results in frustration, highlighting the challenging nature of pushing physical limits. "/>
    <s v="The weightlifter's failed attempt at a personal record results in frustration, highlighting the challenging nature of pushing physical limits.."/>
    <s v=" Challenge "/>
    <x v="167"/>
    <d v="2022-01-08T21:30:00"/>
    <x v="6"/>
    <s v=" WeightliftingFanFailedRecord "/>
    <s v="WeightliftingFanFailedRecord"/>
    <x v="2"/>
    <x v="2"/>
    <s v=" #Challenge #WeightliftingFailure "/>
    <n v="35"/>
    <n v="70"/>
    <s v=" Germany "/>
    <x v="9"/>
    <n v="2022"/>
    <x v="0"/>
    <n v="8"/>
    <n v="21"/>
    <x v="0"/>
  </r>
  <r>
    <s v="In the midst of a soccer match, an unexpected own goal creates a moment of despair for the player, as teammates console and encourage them. "/>
    <s v="In the midst of a soccer match, an unexpected own goal creates a moment of despair for the player, as teammates console and encourage them.."/>
    <s v=" Despair "/>
    <x v="40"/>
    <d v="2018-12-15T20:15:00"/>
    <x v="6"/>
    <s v=" SoccerPlayerOwnGoalMoment "/>
    <s v="SoccerPlayerOwnGoalMoment"/>
    <x v="3"/>
    <x v="0"/>
    <s v=" #Despair #OwnGoal "/>
    <n v="22"/>
    <n v="45"/>
    <s v=" Spain "/>
    <x v="14"/>
    <n v="2018"/>
    <x v="11"/>
    <n v="15"/>
    <n v="20"/>
    <x v="0"/>
  </r>
  <r>
    <s v="In the serene beauty of a sunset, nature unfolds a canvas of colors, evoking a sense of tranquility and wonder. "/>
    <s v="In the serene beauty of a sunset, nature unfolds a canvas of colors, evoking a sense of tranquility and wonder.."/>
    <s v=" Tranquility "/>
    <x v="145"/>
    <d v="2021-07-10T19:00:00"/>
    <x v="6"/>
    <s v=" NatureEnthusiastSunsetWonder "/>
    <s v="NatureEnthusiastSunsetWonder"/>
    <x v="1"/>
    <x v="1"/>
    <s v=" #Tranquility #SunsetBeauty "/>
    <n v="40"/>
    <n v="80"/>
    <s v=" Canada "/>
    <x v="1"/>
    <n v="2021"/>
    <x v="9"/>
    <n v="10"/>
    <n v="19"/>
    <x v="0"/>
  </r>
  <r>
    <s v="Embarking on a spontaneous road trip, the traveler discovers hidden gems, creating memories that will be cherished for a lifetime. "/>
    <s v="Embarking on a spontaneous road trip, the traveler discovers hidden gems, creating memories that will be cherished for a lifetime.."/>
    <s v=" Adventure "/>
    <x v="108"/>
    <d v="2019-09-28T20:30:00"/>
    <x v="6"/>
    <s v=" TravelEnthusiastRoadTripDiscovery "/>
    <s v="TravelEnthusiastRoadTripDiscovery"/>
    <x v="3"/>
    <x v="0"/>
    <s v=" #Adventure #RoadTripMemories "/>
    <n v="35"/>
    <n v="70"/>
    <s v=" USA "/>
    <x v="0"/>
    <n v="2019"/>
    <x v="8"/>
    <n v="28"/>
    <n v="20"/>
    <x v="0"/>
  </r>
  <r>
    <s v="Amidst the bustling city, a quiet cafÃ© becomes a sanctuary for reflection, where a cup of coffee brings solace to the wandering mind. "/>
    <s v="Amidst the bustling city, a quiet cafÃ© becomes a sanctuary for reflection, where a cup of coffee brings solace to the wandering mind.."/>
    <s v=" Solace "/>
    <x v="168"/>
    <d v="2022-03-15T18:45:00"/>
    <x v="2"/>
    <s v=" UrbanExplorerCafeSolitude "/>
    <s v="UrbanExplorerCafeSolitude"/>
    <x v="2"/>
    <x v="2"/>
    <s v=" #Solace #CafeReflection "/>
    <n v="30"/>
    <n v="60"/>
    <s v=" France "/>
    <x v="5"/>
    <n v="2022"/>
    <x v="2"/>
    <n v="15"/>
    <n v="18"/>
    <x v="0"/>
  </r>
  <r>
    <s v="Exploring the vibrant street art of a cultural neighborhood, each mural tells a story, infusing the city with creativity and expression. "/>
    <s v="Exploring the vibrant street art of a cultural neighborhood, each mural tells a story, infusing the city with creativity and expression.."/>
    <s v=" Creativity "/>
    <x v="103"/>
    <d v="2017-11-05T21:15:00"/>
    <x v="0"/>
    <s v=" ArtEnthusiastStreetArtExploration "/>
    <s v="ArtEnthusiastStreetArtExploration"/>
    <x v="1"/>
    <x v="1"/>
    <s v=" #Creativity #StreetArtVibes "/>
    <n v="22"/>
    <n v="45"/>
    <s v=" Brazil "/>
    <x v="6"/>
    <n v="2017"/>
    <x v="6"/>
    <n v="5"/>
    <n v="21"/>
    <x v="0"/>
  </r>
  <r>
    <s v="In the world of science, a breakthrough discovery unfolds, pushing the boundaries of knowledge and opening new frontiers of exploration. "/>
    <s v="In the world of science, a breakthrough discovery unfolds, pushing the boundaries of knowledge and opening new frontiers of exploration.."/>
    <s v=" Breakthrough "/>
    <x v="169"/>
    <d v="2020-05-20T16:30:00"/>
    <x v="3"/>
    <s v=" ScienceEnthusiastDiscoveryMoment "/>
    <s v="ScienceEnthusiastDiscoveryMoment"/>
    <x v="3"/>
    <x v="0"/>
    <s v=" #Breakthrough #ScientificDiscovery "/>
    <n v="28"/>
    <n v="55"/>
    <s v=" Germany "/>
    <x v="9"/>
    <n v="2020"/>
    <x v="3"/>
    <n v="20"/>
    <n v="16"/>
    <x v="0"/>
  </r>
  <r>
    <s v="Connecting with the melody of a live orchestra, the music enthusiast experiences a symphony that resonates deep within the soul. "/>
    <s v="Connecting with the melody of a live orchestra, the music enthusiast experiences a symphony that resonates deep within the soul.."/>
    <s v=" Harmony "/>
    <x v="102"/>
    <d v="2016-08-22T19:45:00"/>
    <x v="1"/>
    <s v=" MusicLoverLiveOrchestraExperience "/>
    <s v="MusicLoverLiveOrchestraExperience"/>
    <x v="2"/>
    <x v="2"/>
    <s v=" #Harmony #OrchestraMelody "/>
    <n v="18"/>
    <n v="35"/>
    <s v=" UK "/>
    <x v="2"/>
    <n v="2016"/>
    <x v="4"/>
    <n v="22"/>
    <n v="19"/>
    <x v="0"/>
  </r>
  <r>
    <s v="Embracing the aroma of freshly baked bread, the home chef finds joy in the art of baking, creating delicious memories for loved ones. "/>
    <s v="Embracing the aroma of freshly baked bread, the home chef finds joy in the art of baking, creating delicious memories for loved ones.."/>
    <s v=" Joy in Baking "/>
    <x v="170"/>
    <d v="2023-04-10T17:15:00"/>
    <x v="1"/>
    <s v=" HomeBakerDeliciousMemories "/>
    <s v="HomeBakerDeliciousMemories"/>
    <x v="1"/>
    <x v="1"/>
    <s v=" #JoyInBaking #HomemadeDelights "/>
    <n v="22"/>
    <n v="45"/>
    <s v=" India "/>
    <x v="4"/>
    <n v="2023"/>
    <x v="7"/>
    <n v="10"/>
    <n v="17"/>
    <x v="0"/>
  </r>
  <r>
    <s v="Wandering through a historical museum, the history enthusiast becomes immersed in the tales of the past, envisioning bygone eras. "/>
    <s v="Wandering through a historical museum, the history enthusiast becomes immersed in the tales of the past, envisioning bygone eras.."/>
    <s v=" Envisioning History "/>
    <x v="171"/>
    <d v="2015-12-18T18:00:00"/>
    <x v="5"/>
    <s v=" HistoryBuffMuseumExploration "/>
    <s v="HistoryBuffMuseumExploration"/>
    <x v="3"/>
    <x v="0"/>
    <s v=" #EnvisioningHistory #MuseumTales "/>
    <n v="28"/>
    <n v="55"/>
    <s v=" Italy "/>
    <x v="11"/>
    <n v="2015"/>
    <x v="11"/>
    <n v="18"/>
    <n v="18"/>
    <x v="0"/>
  </r>
  <r>
    <s v="In the realm of literature, a captivating novel transports the reader to distant lands, weaving a tapestry of imagination and escape. "/>
    <s v="In the realm of literature, a captivating novel transports the reader to distant lands, weaving a tapestry of imagination and escape.."/>
    <s v=" Imagination "/>
    <x v="172"/>
    <d v="2021-10-08T20:30:00"/>
    <x v="5"/>
    <s v=" BookwormCaptivatingNovelEscape "/>
    <s v="BookwormCaptivatingNovelEscape"/>
    <x v="2"/>
    <x v="2"/>
    <s v=" #Imagination #LiteraryEscape "/>
    <n v="35"/>
    <n v="70"/>
    <s v=" Japan "/>
    <x v="7"/>
    <n v="2021"/>
    <x v="10"/>
    <n v="8"/>
    <n v="20"/>
    <x v="0"/>
  </r>
  <r>
    <s v="Capturing the essence of a bustling market, the photographer freezes moments in time, each frame telling a unique and vibrant story. "/>
    <s v="Capturing the essence of a bustling market, the photographer freezes moments in time, each frame telling a unique and vibrant story.."/>
    <s v=" Vibrancy "/>
    <x v="173"/>
    <d v="2019-03-22T21:45:00"/>
    <x v="5"/>
    <s v=" PhotographyEnthusiastMarketMoments "/>
    <s v="PhotographyEnthusiastMarketMoments"/>
    <x v="1"/>
    <x v="1"/>
    <s v=" #Vibrancy #MarketStories "/>
    <n v="22"/>
    <n v="45"/>
    <s v=" Australia "/>
    <x v="3"/>
    <n v="2019"/>
    <x v="2"/>
    <n v="22"/>
    <n v="21"/>
    <x v="0"/>
  </r>
  <r>
    <s v="Underneath the city lights, the dancer expresses emotions through graceful movements, creating a mesmerizing performance under the night sky. "/>
    <s v="Underneath the city lights, the dancer expresses emotions through graceful movements, creating a mesmerizing performance under the night sky.."/>
    <s v=" Mesmerizing "/>
    <x v="174"/>
    <d v="2018-06-15T22:00:00"/>
    <x v="5"/>
    <s v=" DanceEnthusiastCityNightPerformance "/>
    <s v="DanceEnthusiastCityNightPerformance"/>
    <x v="3"/>
    <x v="0"/>
    <s v=" #Mesmerizing #NightDancePerformance "/>
    <n v="40"/>
    <n v="80"/>
    <s v=" USA "/>
    <x v="0"/>
    <n v="2018"/>
    <x v="5"/>
    <n v="15"/>
    <n v="22"/>
    <x v="0"/>
  </r>
  <r>
    <s v="In the heart of a bustling market, the street food connoisseur indulges in a culinary adventure, savoring diverse flavors and aromas. "/>
    <s v="In the heart of a bustling market, the street food connoisseur indulges in a culinary adventure, savoring diverse flavors and aromas.."/>
    <s v=" Culinary Adventure "/>
    <x v="175"/>
    <d v="2019-08-28T19:30:00"/>
    <x v="3"/>
    <s v=" FoodieMarketStreetFoodExploration "/>
    <s v="FoodieMarketStreetFoodExploration"/>
    <x v="1"/>
    <x v="1"/>
    <s v=" #CulinaryAdventure #StreetFoodDelights "/>
    <n v="35"/>
    <n v="70"/>
    <s v=" Thailand "/>
    <x v="32"/>
    <n v="2019"/>
    <x v="4"/>
    <n v="28"/>
    <n v="19"/>
    <x v="0"/>
  </r>
  <r>
    <s v="As the first snowflake descends, the winter enthusiast eagerly prepares for a season of frosty delights, anticipating the magic of snow-covered landscapes. "/>
    <s v="As the first snowflake descends, the winter enthusiast eagerly prepares for a season of frosty delights, anticipating the magic of snow-covered landscapes.."/>
    <s v=" Winter Magic "/>
    <x v="176"/>
    <d v="2022-12-01T17:45:00"/>
    <x v="4"/>
    <s v=" SnowLoverWinterEnthusiast "/>
    <s v="SnowLoverWinterEnthusiast"/>
    <x v="2"/>
    <x v="2"/>
    <s v=" #WinterMagic #SnowyLandscapes "/>
    <n v="30"/>
    <n v="60"/>
    <s v=" Canada "/>
    <x v="1"/>
    <n v="2022"/>
    <x v="11"/>
    <n v="1"/>
    <n v="17"/>
    <x v="0"/>
  </r>
  <r>
    <s v="Amidst the pages of a captivating mystery novel, the reader unravels clues and secrets, experiencing a thrilling journey of suspense and revelation. "/>
    <s v="Amidst the pages of a captivating mystery novel, the reader unravels clues and secrets, experiencing a thrilling journey of suspense and revelation.."/>
    <s v=" Thrilling Journey "/>
    <x v="177"/>
    <d v="2017-04-10T21:15:00"/>
    <x v="1"/>
    <s v=" MysteryBookwormSuspensefulRead "/>
    <s v="MysteryBookwormSuspensefulRead"/>
    <x v="3"/>
    <x v="0"/>
    <s v=" #ThrillingJourney #MysteryNovel "/>
    <n v="22"/>
    <n v="45"/>
    <s v=" UK "/>
    <x v="2"/>
    <n v="2017"/>
    <x v="7"/>
    <n v="10"/>
    <n v="21"/>
    <x v="0"/>
  </r>
  <r>
    <s v="Surrounded by the vibrant colors of a flower garden, the gardener nurtures blossoms, finding joy in the beauty of nature's ever-changing canvas. "/>
    <s v="Surrounded by the vibrant colors of a flower garden, the gardener nurtures blossoms, finding joy in the beauty of nature's ever-changing canvas.."/>
    <s v=" Nature's Beauty "/>
    <x v="178"/>
    <d v="2020-05-15T18:30:00"/>
    <x v="5"/>
    <s v=" GardeningEnthusiastFlowerGarden "/>
    <s v="GardeningEnthusiastFlowerGarden"/>
    <x v="1"/>
    <x v="1"/>
    <s v=" #NaturesBeauty #FloralJoy "/>
    <n v="28"/>
    <n v="55"/>
    <s v=" Australia "/>
    <x v="3"/>
    <n v="2020"/>
    <x v="3"/>
    <n v="15"/>
    <n v="18"/>
    <x v="0"/>
  </r>
  <r>
    <s v="At the astronomy observatory, the stargazer marvels at the vastness of the cosmos, contemplating the mysteries hidden within the celestial expanse. "/>
    <s v="At the astronomy observatory, the stargazer marvels at the vastness of the cosmos, contemplating the mysteries hidden within the celestial expanse.."/>
    <s v=" Celestial Wonder "/>
    <x v="179"/>
    <d v="2016-09-22T20:00:00"/>
    <x v="4"/>
    <s v=" AstronomyEnthusiastStargazing "/>
    <s v="AstronomyEnthusiastStargazing"/>
    <x v="2"/>
    <x v="2"/>
    <s v=" #CelestialWonder #Stargazing "/>
    <n v="18"/>
    <n v="35"/>
    <s v=" USA "/>
    <x v="0"/>
    <n v="2016"/>
    <x v="8"/>
    <n v="22"/>
    <n v="20"/>
    <x v="0"/>
  </r>
  <r>
    <s v="Engulfed in the aroma of freshly brewed coffee, the writer finds inspiration in every sip, embarking on a journey of creativity and prose. "/>
    <s v="Engulfed in the aroma of freshly brewed coffee, the writer finds inspiration in every sip, embarking on a journey of creativity and prose.."/>
    <s v=" Creative Inspiration "/>
    <x v="180"/>
    <d v="2023-02-12T19:45:00"/>
    <x v="0"/>
    <s v=" CoffeeLoverWritersRetreat "/>
    <s v="CoffeeLoverWritersRetreat"/>
    <x v="3"/>
    <x v="0"/>
    <s v=" #CreativeInspiration #CoffeeJourney "/>
    <n v="22"/>
    <n v="45"/>
    <s v=" France "/>
    <x v="5"/>
    <n v="2023"/>
    <x v="1"/>
    <n v="12"/>
    <n v="19"/>
    <x v="0"/>
  </r>
  <r>
    <s v="In the realm of fashion, the designer unveils a collection that tells a story, blending innovation and tradition on the runway of creativity. "/>
    <s v="In the realm of fashion, the designer unveils a collection that tells a story, blending innovation and tradition on the runway of creativity.."/>
    <s v=" Runway Creativity "/>
    <x v="181"/>
    <d v="2015-11-10T21:00:00"/>
    <x v="2"/>
    <s v=" FashionEnthusiastDesignerShowcase "/>
    <s v="FashionEnthusiastDesignerShowcase"/>
    <x v="1"/>
    <x v="1"/>
    <s v=" #RunwayCreativity #FashionInnovation "/>
    <n v="28"/>
    <n v="55"/>
    <s v=" Italy "/>
    <x v="11"/>
    <n v="2015"/>
    <x v="6"/>
    <n v="10"/>
    <n v="21"/>
    <x v="0"/>
  </r>
  <r>
    <s v="As the waves crash against the shore, the surfer embraces the thrill of riding the ocean's energy, capturing the essence of freedom in each wave. "/>
    <s v="As the waves crash against the shore, the surfer embraces the thrill of riding the ocean's energy, capturing the essence of freedom in each wave.."/>
    <s v=" Ocean's Freedom "/>
    <x v="182"/>
    <d v="2021-07-20T18:15:00"/>
    <x v="2"/>
    <s v=" SurfingEnthusiastWaveRider "/>
    <s v="SurfingEnthusiastWaveRider"/>
    <x v="2"/>
    <x v="2"/>
    <s v=" #OceansFreedom #SurfingThrills "/>
    <n v="22"/>
    <n v="45"/>
    <s v=" Brazil "/>
    <x v="6"/>
    <n v="2021"/>
    <x v="9"/>
    <n v="20"/>
    <n v="18"/>
    <x v="0"/>
  </r>
  <r>
    <s v="Exploring the historical architecture of an ancient city, the traveler is transported to a bygone era, where each monument whispers tales of the past. "/>
    <s v="Exploring the historical architecture of an ancient city, the traveler is transported to a bygone era, where each monument whispers tales of the past.."/>
    <s v=" Whispers of the Past "/>
    <x v="183"/>
    <d v="2019-04-18T20:30:00"/>
    <x v="4"/>
    <s v=" HistoryExplorerAncientCityTour "/>
    <s v="HistoryExplorerAncientCityTour"/>
    <x v="3"/>
    <x v="0"/>
    <s v=" #WhispersOfThePast #HistoricalTour "/>
    <n v="35"/>
    <n v="70"/>
    <s v=" Greece "/>
    <x v="8"/>
    <n v="2019"/>
    <x v="7"/>
    <n v="18"/>
    <n v="20"/>
    <x v="0"/>
  </r>
  <r>
    <s v="Successfully avoided eye contact with my crush in the hallway. Mission accomplished. #TeenCrush #StealthMode "/>
    <s v="Successfully avoided eye contact with my crush in the hallway. Mission accomplished. #TeenCrush #StealthMode."/>
    <s v=" Excitement "/>
    <x v="23"/>
    <d v="2023-05-20T19:45:00"/>
    <x v="6"/>
    <s v=" CrushAvoider "/>
    <s v="CrushAvoider"/>
    <x v="3"/>
    <x v="0"/>
    <s v=" #CrushStruggles #AvoidingEyeContact "/>
    <n v="15"/>
    <n v="30"/>
    <s v=" USA"/>
    <x v="0"/>
    <n v="2023"/>
    <x v="3"/>
    <n v="20"/>
    <n v="19"/>
    <x v="0"/>
  </r>
  <r>
    <s v="Ran out of snacks during a movie marathon. Crisis level: Emergency! #MovieNightStruggles #TeenProblems "/>
    <s v="Ran out of snacks during a movie marathon. Crisis level: Emergency."/>
    <s v=" Boredom "/>
    <x v="46"/>
    <d v="2023-05-21T21:00:00"/>
    <x v="0"/>
    <s v=" MovieBuff "/>
    <s v="MovieBuff"/>
    <x v="1"/>
    <x v="1"/>
    <s v=" #SnackCrisis #TeenLife "/>
    <n v="18"/>
    <n v="35"/>
    <s v=" Canada"/>
    <x v="1"/>
    <n v="2023"/>
    <x v="3"/>
    <n v="21"/>
    <n v="21"/>
    <x v="0"/>
  </r>
  <r>
    <s v="Spent an hour choosing the perfect filter for a selfie. The struggle for that Instagram aesthetic is real. #SelfieQueen #TeenVibes "/>
    <s v="Spent an hour choosing the perfect filter for a selfie. The struggle for that Instagram aesthetic is real. #SelfieQueen #TeenVibes."/>
    <s v=" Joy "/>
    <x v="8"/>
    <d v="2023-05-22T14:30:00"/>
    <x v="1"/>
    <s v=" SelfieAddict "/>
    <s v="SelfieAddict"/>
    <x v="2"/>
    <x v="2"/>
    <s v=" #SelfieStruggle #TeenConfessions "/>
    <n v="22"/>
    <n v="45"/>
    <s v=" UK"/>
    <x v="2"/>
    <n v="2023"/>
    <x v="3"/>
    <n v="22"/>
    <n v="14"/>
    <x v="0"/>
  </r>
  <r>
    <s v="Lost my headphones again. How do they vanish into thin air? #HeadphoneMystery #TeenLife "/>
    <s v="Lost my headphones again. How do they vanish into thin air? #HeadphoneMystery #TeenLife."/>
    <s v=" Frustration "/>
    <x v="45"/>
    <d v="2023-05-23T16:45:00"/>
    <x v="2"/>
    <s v=" AudioExplorer "/>
    <s v="AudioExplorer"/>
    <x v="3"/>
    <x v="0"/>
    <s v=" #TeenProblems #LostHeadphones "/>
    <n v="20"/>
    <n v="40"/>
    <s v=" USA"/>
    <x v="0"/>
    <n v="2023"/>
    <x v="3"/>
    <n v="23"/>
    <n v="16"/>
    <x v="0"/>
  </r>
  <r>
    <s v="Decided to study for exams but ended up making memes about studying instead. Procrastination level: Expert. #ProcrastinationNation #TeenConfessions "/>
    <s v="Decided to study for exams but ended up making memes about studying instead. Procrastination level: Expert. #ProcrastinationNation #TeenConfessions."/>
    <s v=" Surprise "/>
    <x v="16"/>
    <d v="2023-05-24T13:15:00"/>
    <x v="3"/>
    <s v=" MemeCreator "/>
    <s v="MemeCreator"/>
    <x v="1"/>
    <x v="1"/>
    <s v=" #StudyingMemes #TeenLife "/>
    <n v="25"/>
    <n v="50"/>
    <s v=" Canada"/>
    <x v="1"/>
    <n v="2023"/>
    <x v="3"/>
    <n v="24"/>
    <n v="13"/>
    <x v="0"/>
  </r>
  <r>
    <s v="Got dressed for the day, then remembered it's Saturday. Oops. #WeekendVibes #TeenStruggles "/>
    <s v="Got dressed for the day, then remembered it's Saturday. Oops. #WeekendVibes #TeenStruggles."/>
    <s v=" Indifference "/>
    <x v="53"/>
    <d v="2023-05-25T19:00:00"/>
    <x v="4"/>
    <s v=" FashionBlunder "/>
    <s v="FashionBlunder"/>
    <x v="2"/>
    <x v="2"/>
    <s v=" #WeekendOops #TeenFashion "/>
    <n v="20"/>
    <n v="40"/>
    <s v=" USA"/>
    <x v="0"/>
    <n v="2023"/>
    <x v="3"/>
    <n v="25"/>
    <n v="19"/>
    <x v="0"/>
  </r>
  <r>
    <s v="Survived a group project without any drama. Miracles do happen. #GroupProjectSuccess #TeenAchievements "/>
    <s v="Survived a group project without any drama. Miracles do happen. #GroupProjectSuccess #TeenAchievements."/>
    <s v=" Satisfaction "/>
    <x v="86"/>
    <d v="2023-05-26T14:20:00"/>
    <x v="5"/>
    <s v=" GroupGenius "/>
    <s v="GroupGenius"/>
    <x v="3"/>
    <x v="0"/>
    <s v=" #TeenSuccess #ProjectMiracle "/>
    <n v="28"/>
    <n v="55"/>
    <s v=" UK"/>
    <x v="2"/>
    <n v="2023"/>
    <x v="3"/>
    <n v="26"/>
    <n v="14"/>
    <x v="0"/>
  </r>
  <r>
    <s v="Entered the kitchen with the intention to cook. Left with a bag of chips. Cooking is overrated, anyway. #MasterChefInTraining #TeenHumor "/>
    <s v="Entered the kitchen with the intention to cook. Left with a bag of chips. Cooking is overrated, anyway. #MasterChefInTraining #TeenHumor."/>
    <s v=" Disgust "/>
    <x v="6"/>
    <d v="2023-05-27T21:15:00"/>
    <x v="6"/>
    <s v=" ChipExplorer "/>
    <s v="ChipExplorer"/>
    <x v="1"/>
    <x v="1"/>
    <s v=" #TeenChef #CookingFail "/>
    <n v="22"/>
    <n v="45"/>
    <s v=" Canada"/>
    <x v="1"/>
    <n v="2023"/>
    <x v="3"/>
    <n v="27"/>
    <n v="21"/>
    <x v="0"/>
  </r>
  <r>
    <s v="Staring at the clock in class, waiting for the bell to ring like it's the most exciting event of the day. #ClassCountdown #TeenLife "/>
    <s v="Staring at the clock in class, waiting for the bell to ring like it's the most exciting event of the day. #ClassCountdown #TeenLife."/>
    <s v=" Surprise "/>
    <x v="16"/>
    <d v="2023-05-28T12:00:00"/>
    <x v="0"/>
    <s v=" ExcitementSeeker "/>
    <s v="ExcitementSeeker"/>
    <x v="2"/>
    <x v="2"/>
    <s v=" #ClassEvent #TeenExcitement "/>
    <n v="18"/>
    <n v="35"/>
    <s v=" USA"/>
    <x v="0"/>
    <n v="2023"/>
    <x v="3"/>
    <n v="28"/>
    <n v="12"/>
    <x v="0"/>
  </r>
  <r>
    <s v="Discovered a new book series and spent the whole night reading. Who needs sleep, anyway? #BookwormLife #LateNightReading "/>
    <s v="Discovered a new book series and spent the whole night reading. Who needs sleep, anyway? #BookwormLife #LateNightReading."/>
    <s v=" Joy "/>
    <x v="8"/>
    <d v="2023-05-29T23:30:00"/>
    <x v="1"/>
    <s v=" NightReader "/>
    <s v="NightReader"/>
    <x v="3"/>
    <x v="0"/>
    <s v=" #BookDiscoveries #TeenReading "/>
    <n v="30"/>
    <n v="60"/>
    <s v=" UK"/>
    <x v="2"/>
    <n v="2023"/>
    <x v="3"/>
    <n v="29"/>
    <n v="23"/>
    <x v="0"/>
  </r>
  <r>
    <s v="Bought a new video game, played for hours, forgot to eat. The ultimate gaming session. #GamerLife #NoFoodGaming "/>
    <s v="Bought a new video game, played for hours, forgot to eat. The ultimate gaming session. #GamerLife #NoFoodGaming."/>
    <s v=" Excitement "/>
    <x v="23"/>
    <d v="2023-05-30T20:45:00"/>
    <x v="2"/>
    <s v=" GamingEnthusiast "/>
    <s v="GamingEnthusiast"/>
    <x v="1"/>
    <x v="1"/>
    <s v=" #GameOn #TeenGamer "/>
    <n v="22"/>
    <n v="45"/>
    <s v=" USA"/>
    <x v="0"/>
    <n v="2023"/>
    <x v="3"/>
    <n v="30"/>
    <n v="20"/>
    <x v="0"/>
  </r>
  <r>
    <s v="Spent the day binge-watching a new series. Productivity level: Zero. #LazyDay #TVSeriesMarathon "/>
    <s v="Spent the day binge-watching a new series. Productivity level: Zero. #LazyDay #TVSeriesMarathon."/>
    <s v=" Joy "/>
    <x v="8"/>
    <d v="2023-05-31T15:30:00"/>
    <x v="3"/>
    <s v=" LazyWatcher "/>
    <s v="LazyWatcher"/>
    <x v="2"/>
    <x v="2"/>
    <s v=" #BingeWatchDay #TeenLife "/>
    <n v="35"/>
    <n v="70"/>
    <s v=" Canada"/>
    <x v="1"/>
    <n v="2023"/>
    <x v="3"/>
    <n v="31"/>
    <n v="15"/>
    <x v="0"/>
  </r>
  <r>
    <s v="Caught up on the latest fashion trends and now planning a shopping spree. #Fashionista #TrendyTeen "/>
    <s v="Caught up on the latest fashion trends and now planning a shopping spree. #Fashionista #TrendyTeen."/>
    <s v=" Excitement "/>
    <x v="23"/>
    <d v="2023-06-01T18:00:00"/>
    <x v="4"/>
    <s v=" TrendExplorer "/>
    <s v="TrendExplorer"/>
    <x v="3"/>
    <x v="0"/>
    <s v=" #FashionGoals #TeenStyle "/>
    <n v="20"/>
    <n v="40"/>
    <s v=" USA"/>
    <x v="0"/>
    <n v="2023"/>
    <x v="5"/>
    <n v="1"/>
    <n v="18"/>
    <x v="0"/>
  </r>
  <r>
    <s v="Decided to learn a new instrument. Day one: Still trying to figure out how to hold it. #MusicNovice #LearningJourney "/>
    <s v="Decided to learn a new instrument. Day one: Still trying to figure out how to hold it. #MusicNovice #LearningJourney."/>
    <s v=" Frustration "/>
    <x v="45"/>
    <d v="2023-06-02T14:30:00"/>
    <x v="5"/>
    <s v=" MusicalExplorer "/>
    <s v="MusicalExplorer"/>
    <x v="1"/>
    <x v="1"/>
    <s v=" #InstrumentLearning #TeenMusic "/>
    <n v="28"/>
    <n v="55"/>
    <s v=" UK"/>
    <x v="2"/>
    <n v="2023"/>
    <x v="5"/>
    <n v="2"/>
    <n v="14"/>
    <x v="0"/>
  </r>
  <r>
    <s v="Spent hours creating the perfect playlist for every mood. Music is my therapy. #PlaylistMaker #TeenMusicLover "/>
    <s v="Spent hours creating the perfect playlist for every mood. Music is my therapy. #PlaylistMaker #TeenMusicLover."/>
    <s v=" Joy "/>
    <x v="8"/>
    <d v="2023-06-03T21:15:00"/>
    <x v="6"/>
    <s v=" MusicAficionado "/>
    <s v="MusicAficionado"/>
    <x v="2"/>
    <x v="2"/>
    <s v=" #MusicTherapy #TeenPlaylist "/>
    <n v="22"/>
    <n v="45"/>
    <s v=" Canada"/>
    <x v="1"/>
    <n v="2023"/>
    <x v="5"/>
    <n v="3"/>
    <n v="21"/>
    <x v="0"/>
  </r>
  <r>
    <s v="Successfully cooked a gourmet meal for the family. Chef skills unlocked! #ChefMode #TeenChef "/>
    <s v="Successfully cooked a gourmet meal for the family. Chef skills unlocked."/>
    <s v=" Pride "/>
    <x v="25"/>
    <d v="2023-06-04T19:30:00"/>
    <x v="0"/>
    <s v=" HomeChef "/>
    <s v="HomeChef"/>
    <x v="3"/>
    <x v="0"/>
    <s v=" #CookingSuccess #TeenCook "/>
    <n v="25"/>
    <n v="50"/>
    <s v=" USA"/>
    <x v="0"/>
    <n v="2023"/>
    <x v="5"/>
    <n v="4"/>
    <n v="19"/>
    <x v="0"/>
  </r>
  <r>
    <s v="Spontaneously booked a weekend getaway. Adventure awaits! #TravelBug #WeekendEscape "/>
    <s v="Spontaneously booked a weekend getaway. Adventure awaits."/>
    <s v=" Excitement "/>
    <x v="23"/>
    <d v="2023-06-05T10:00:00"/>
    <x v="1"/>
    <s v=" AdventureSeeker "/>
    <s v="AdventureSeeker"/>
    <x v="1"/>
    <x v="1"/>
    <s v=" #GetawayGoals #TeenTravel "/>
    <n v="18"/>
    <n v="35"/>
    <s v=" UK"/>
    <x v="2"/>
    <n v="2023"/>
    <x v="5"/>
    <n v="5"/>
    <n v="10"/>
    <x v="0"/>
  </r>
  <r>
    <s v="Attended a concert and danced the night away. Music is the heartbeat of life. #ConcertVibes #DanceAllNight "/>
    <s v="Attended a concert and danced the night away. Music is the heartbeat of life. #ConcertVibes #DanceAllNight."/>
    <s v=" Joy "/>
    <x v="8"/>
    <d v="2023-06-06T22:30:00"/>
    <x v="2"/>
    <s v=" DanceEnthusiast "/>
    <s v="DanceEnthusiast"/>
    <x v="2"/>
    <x v="2"/>
    <s v=" #MusicMagic #TeenConcert "/>
    <n v="28"/>
    <n v="55"/>
    <s v=" Canada"/>
    <x v="1"/>
    <n v="2023"/>
    <x v="5"/>
    <n v="6"/>
    <n v="22"/>
    <x v="0"/>
  </r>
  <r>
    <s v="Rediscovered childhood cartoons and had a nostalgia-filled marathon. #CartoonNostalgia #TeenMemories "/>
    <s v="Rediscovered childhood cartoons and had a nostalgia-filled marathon. #CartoonNostalgia #TeenMemories."/>
    <s v=" Joy "/>
    <x v="8"/>
    <d v="2023-06-07T12:45:00"/>
    <x v="3"/>
    <s v=" NostalgiaExplorer "/>
    <s v="NostalgiaExplorer"/>
    <x v="3"/>
    <x v="0"/>
    <s v=" #ChildhoodMemories #TeenCartoons "/>
    <n v="22"/>
    <n v="45"/>
    <s v=" USA"/>
    <x v="0"/>
    <n v="2023"/>
    <x v="5"/>
    <n v="7"/>
    <n v="12"/>
    <x v="0"/>
  </r>
  <r>
    <s v="Embarked on a DIY home decor project. Let's hope it turns out better than last time. #DIYAdventure #TeenHomeDecor "/>
    <s v="Embarked on a DIY home decor project. Let's hope it turns out better than last time. #DIYAdventure #TeenHomeDecor."/>
    <s v=" Excitement "/>
    <x v="23"/>
    <d v="2023-06-08T16:00:00"/>
    <x v="4"/>
    <s v=" HomeDecorator "/>
    <s v="HomeDecorator"/>
    <x v="1"/>
    <x v="1"/>
    <s v=" #DIYGoals #TeenCreative "/>
    <n v="35"/>
    <n v="70"/>
    <s v=" UK"/>
    <x v="2"/>
    <n v="2023"/>
    <x v="5"/>
    <n v="8"/>
    <n v="16"/>
    <x v="0"/>
  </r>
  <r>
    <s v="Spent the afternoon at a museum, pretending to be cultured. Art enthusiast in the making. #MuseumDay #TeenArtLover "/>
    <s v="Spent the afternoon at a museum, pretending to be cultured. Art enthusiast in the making. #MuseumDay #TeenArtLover."/>
    <s v=" Curiosity "/>
    <x v="52"/>
    <d v="2023-06-09T14:00:00"/>
    <x v="5"/>
    <s v=" ArtExplorer "/>
    <s v="ArtExplorer"/>
    <x v="2"/>
    <x v="2"/>
    <s v=" #CulturalDay #TeenCuriosity "/>
    <n v="20"/>
    <n v="40"/>
    <s v=" USA"/>
    <x v="0"/>
    <n v="2023"/>
    <x v="5"/>
    <n v="9"/>
    <n v="14"/>
    <x v="0"/>
  </r>
  <r>
    <s v="Started a blog about random thoughts and musings. Blogging is the new diary. #BloggerLife #TeenBlogger "/>
    <s v="Started a blog about random thoughts and musings. Blogging is the new diary. #BloggerLife #TeenBlogger."/>
    <s v=" Curiosity "/>
    <x v="52"/>
    <d v="2023-06-10T17:30:00"/>
    <x v="6"/>
    <s v=" ThoughtfulBlogger "/>
    <s v="ThoughtfulBlogger"/>
    <x v="3"/>
    <x v="0"/>
    <s v=" #BloggingJourney #TeenThoughts "/>
    <n v="30"/>
    <n v="60"/>
    <s v=" Canada"/>
    <x v="1"/>
    <n v="2023"/>
    <x v="5"/>
    <n v="10"/>
    <n v="17"/>
    <x v="0"/>
  </r>
  <r>
    <s v="Relishing a peaceful afternoon with a classic novel. Quiet moments are the best moments. #BookLover #PeacefulAfternoon "/>
    <s v="Relishing a peaceful afternoon with a classic novel. Quiet moments are the best moments. #BookLover #PeacefulAfternoon."/>
    <s v=" Contentment "/>
    <x v="29"/>
    <d v="2023-06-11T15:30:00"/>
    <x v="0"/>
    <s v=" NovelEnthusiast "/>
    <s v="NovelEnthusiast"/>
    <x v="1"/>
    <x v="1"/>
    <s v=" #QuietMoments #BookishEscape "/>
    <n v="35"/>
    <n v="70"/>
    <s v=" USA"/>
    <x v="0"/>
    <n v="2023"/>
    <x v="5"/>
    <n v="11"/>
    <n v="15"/>
    <x v="0"/>
  </r>
  <r>
    <s v="Reflecting on a lifetime of memories, each wrinkle tells a story. Embracing the beauty of aging. #LifeReflections #BeautyInAging "/>
    <s v="Reflecting on a lifetime of memories, each wrinkle tells a story. Embracing the beauty of aging. #LifeReflections #BeautyInAging."/>
    <s v=" Gratitude "/>
    <x v="31"/>
    <d v="2023-06-12T18:00:00"/>
    <x v="1"/>
    <s v=" WiseSoul "/>
    <s v="WiseSoul"/>
    <x v="3"/>
    <x v="0"/>
    <s v=" #AgingGracefully #Memories "/>
    <n v="28"/>
    <n v="55"/>
    <s v=" UK"/>
    <x v="2"/>
    <n v="2023"/>
    <x v="5"/>
    <n v="12"/>
    <n v="18"/>
    <x v="0"/>
  </r>
  <r>
    <s v="Exploring the world of digital art. It's never too late to discover new passions. #DigitalArtistry #LateBloomer "/>
    <s v="Exploring the world of digital art. It's never too late to discover new passions. #DigitalArtistry #LateBloomer."/>
    <s v=" Curiosity "/>
    <x v="52"/>
    <d v="2023-06-13T14:45:00"/>
    <x v="2"/>
    <s v=" ArtAdventurer "/>
    <s v="ArtAdventurer"/>
    <x v="2"/>
    <x v="2"/>
    <s v=" #ArtDiscovery #SeniorArtist "/>
    <n v="22"/>
    <n v="45"/>
    <s v=" Canada"/>
    <x v="1"/>
    <n v="2023"/>
    <x v="5"/>
    <n v="13"/>
    <n v="14"/>
    <x v="0"/>
  </r>
  <r>
    <s v="Savoring the flavors of a home-cooked meal. Simple joys are the heart of happiness. #HomeCooking #SimpleJoys "/>
    <s v="Savoring the flavors of a home-cooked meal. Simple joys are the heart of happiness. #HomeCooking #SimpleJoys."/>
    <s v=" Contentment "/>
    <x v="29"/>
    <d v="2023-06-14T19:30:00"/>
    <x v="3"/>
    <s v=" HomeChefSenior "/>
    <s v="HomeChefSenior"/>
    <x v="1"/>
    <x v="1"/>
    <s v=" #HappinessInFood #SeniorLife "/>
    <n v="25"/>
    <n v="50"/>
    <s v=" USA"/>
    <x v="0"/>
    <n v="2023"/>
    <x v="5"/>
    <n v="14"/>
    <n v="19"/>
    <x v="0"/>
  </r>
  <r>
    <s v="Embarking on a journey of learning a new language. The mind stays young with every new word. #LanguageLearning #NeverTooLate "/>
    <s v="Embarking on a journey of learning a new language. The mind stays young with every new word. #LanguageLearning #NeverTooLate."/>
    <s v=" Curiosity "/>
    <x v="52"/>
    <d v="2023-06-15T12:15:00"/>
    <x v="4"/>
    <s v=" LinguisticExplorer "/>
    <s v="LinguisticExplorer"/>
    <x v="3"/>
    <x v="0"/>
    <s v=" #MindEnrichment #SeniorLearning "/>
    <n v="30"/>
    <n v="60"/>
    <s v=" UK"/>
    <x v="2"/>
    <n v="2023"/>
    <x v="5"/>
    <n v="15"/>
    <n v="12"/>
    <x v="0"/>
  </r>
  <r>
    <s v="Attended a classical music concert, feeling the timeless melodies resonate. Music transcends generations. #ClassicalMusic #TimelessMelodies "/>
    <s v="Attended a classical music concert, feeling the timeless melodies resonate. Music transcends generations. #ClassicalMusic #TimelessMelodies."/>
    <s v=" Joy "/>
    <x v="8"/>
    <d v="2023-06-16T21:45:00"/>
    <x v="5"/>
    <s v=" MusicConnoisseur "/>
    <s v="MusicConnoisseur"/>
    <x v="2"/>
    <x v="2"/>
    <s v=" #MusicLover #SeniorConcert "/>
    <n v="18"/>
    <n v="35"/>
    <s v=" Canada"/>
    <x v="1"/>
    <n v="2023"/>
    <x v="5"/>
    <n v="16"/>
    <n v="21"/>
    <x v="0"/>
  </r>
  <r>
    <s v="Capturing the beauty of nature through photography. Every snapshot is a treasure. #NaturePhotography #SeniorPhotographer "/>
    <s v="Capturing the beauty of nature through photography. Every snapshot is a treasure. #NaturePhotography #SeniorPhotographer."/>
    <s v=" Joy "/>
    <x v="8"/>
    <d v="2023-06-17T15:00:00"/>
    <x v="6"/>
    <s v=" PhotographySenior "/>
    <s v="PhotographySenior"/>
    <x v="1"/>
    <x v="1"/>
    <s v=" #NatureCapture #SeniorMoments "/>
    <n v="35"/>
    <n v="70"/>
    <s v=" USA"/>
    <x v="0"/>
    <n v="2023"/>
    <x v="5"/>
    <n v="17"/>
    <n v="15"/>
    <x v="0"/>
  </r>
  <r>
    <s v="Reconnecting with old friends over a cup of tea. Friendship, the true essence of companionship. #OldFriends #Companionship "/>
    <s v="Reconnecting with old friends over a cup of tea. Friendship, the true essence of companionship. #OldFriends #Companionship."/>
    <s v=" Contentment "/>
    <x v="29"/>
    <d v="2023-06-18T11:30:00"/>
    <x v="0"/>
    <s v=" TeaTimeSenior "/>
    <s v="TeaTimeSenior"/>
    <x v="3"/>
    <x v="0"/>
    <s v=" #FriendshipGoals #SeniorBonding "/>
    <n v="28"/>
    <n v="55"/>
    <s v=" UK"/>
    <x v="2"/>
    <n v="2023"/>
    <x v="5"/>
    <n v="18"/>
    <n v="11"/>
    <x v="0"/>
  </r>
  <r>
    <s v="Embarked on a road trip to revisit cherished places from the past. Nostalgia, the ultimate travel companion. #RoadTrip #NostalgiaTour "/>
    <s v="Embarked on a road trip to revisit cherished places from the past. Nostalgia, the ultimate travel companion. #RoadTrip #NostalgiaTour."/>
    <s v=" Joy "/>
    <x v="8"/>
    <d v="2023-06-19T16:30:00"/>
    <x v="1"/>
    <s v=" RoadTripSenior "/>
    <s v="RoadTripSenior"/>
    <x v="2"/>
    <x v="2"/>
    <s v=" #CherishedPlaces #SeniorTravel "/>
    <n v="22"/>
    <n v="45"/>
    <s v=" Canada"/>
    <x v="1"/>
    <n v="2023"/>
    <x v="5"/>
    <n v="19"/>
    <n v="16"/>
    <x v="0"/>
  </r>
  <r>
    <s v="Joined a community choir, harmonizing with fellow voices. Music creates bonds that withstand time. #CommunityChoir #HarmonyInAging "/>
    <s v="Joined a community choir, harmonizing with fellow voices. Music creates bonds that withstand time. #CommunityChoir #HarmonyInAging."/>
    <s v=" Joy "/>
    <x v="8"/>
    <d v="2023-06-20T14:20:00"/>
    <x v="2"/>
    <s v=" ChoirEnthusiast "/>
    <s v="ChoirEnthusiast"/>
    <x v="1"/>
    <x v="1"/>
    <s v=" #MusicHarmony #SeniorVoices "/>
    <n v="20"/>
    <n v="40"/>
    <s v=" USA"/>
    <x v="0"/>
    <n v="2023"/>
    <x v="5"/>
    <n v="20"/>
    <n v="14"/>
    <x v="0"/>
  </r>
  <r>
    <s v="Exploring the art of meditation, finding tranquility in the stillness of the mind. #MeditationJourney #TranquilMind "/>
    <s v="Exploring the art of meditation, finding tranquility in the stillness of the mind. #MeditationJourney #TranquilMind."/>
    <s v=" Contentment "/>
    <x v="29"/>
    <d v="2023-06-21T19:00:00"/>
    <x v="3"/>
    <s v=" MeditationSenior "/>
    <s v="MeditationSenior"/>
    <x v="3"/>
    <x v="0"/>
    <s v=" #MindfulLiving #SeniorCalm "/>
    <n v="18"/>
    <n v="35"/>
    <s v=" UK"/>
    <x v="2"/>
    <n v="2023"/>
    <x v="5"/>
    <n v="21"/>
    <n v="19"/>
    <x v="0"/>
  </r>
  <r>
    <s v="Taking a stroll in the garden, appreciating the beauty of blooming flowers. Nature's wonders never cease. #GardenWalk #FloralBeauty "/>
    <s v="Taking a stroll in the garden, appreciating the beauty of blooming flowers. Nature's wonders never cease. #GardenWalk #FloralBeauty."/>
    <s v=" Contentment "/>
    <x v="29"/>
    <d v="2023-06-22T13:45:00"/>
    <x v="4"/>
    <s v=" GardenEnthusiast "/>
    <s v="GardenEnthusiast"/>
    <x v="2"/>
    <x v="2"/>
    <s v=" #NatureWonders #SeniorGarden "/>
    <n v="25"/>
    <n v="50"/>
    <s v=" USA"/>
    <x v="0"/>
    <n v="2023"/>
    <x v="5"/>
    <n v="22"/>
    <n v="13"/>
    <x v="0"/>
  </r>
  <r>
    <s v="Sipping on a favorite vintage wine, each sip telling a story of the years gone by. Cheers to a life well-lived. #WineLover #VintageCheers "/>
    <s v="Sipping on a favorite vintage wine, each sip telling a story of the years gone by. Cheers to a life well-lived. #WineLover #VintageCheers."/>
    <s v=" Contentment "/>
    <x v="29"/>
    <d v="2023-06-23T18:45:00"/>
    <x v="5"/>
    <s v=" WineConnoisseur "/>
    <s v="WineConnoisseur"/>
    <x v="1"/>
    <x v="1"/>
    <s v=" #LifeWellLived #SeniorWine "/>
    <n v="28"/>
    <n v="55"/>
    <s v=" UK"/>
    <x v="2"/>
    <n v="2023"/>
    <x v="5"/>
    <n v="23"/>
    <n v="18"/>
    <x v="0"/>
  </r>
  <r>
    <s v="Participated in a community art class, unleashing creativity in the golden years. Art has no age limit. #ArtClass #SeniorArtistry "/>
    <s v="Participated in a community art class, unleashing creativity in the golden years. Art has no age limit. #ArtClass #SeniorArtistry."/>
    <s v=" Joy "/>
    <x v="8"/>
    <d v="2023-06-24T16:15:00"/>
    <x v="6"/>
    <s v=" ArtisticSenior "/>
    <s v="ArtisticSenior"/>
    <x v="3"/>
    <x v="0"/>
    <s v=" #CreativityAtAnyAge #SeniorCreativity "/>
    <n v="22"/>
    <n v="45"/>
    <s v=" Canada"/>
    <x v="1"/>
    <n v="2023"/>
    <x v="5"/>
    <n v="24"/>
    <n v="16"/>
    <x v="0"/>
  </r>
  <r>
    <s v="Embarking on a journey of writing a memoir, documenting a lifetime of experiences. Every story matters. #MemoirWriting #SeniorStories "/>
    <s v="Embarking on a journey of writing a memoir, documenting a lifetime of experiences. Every story matters. #MemoirWriting #SeniorStories."/>
    <s v=" Gratitude "/>
    <x v="31"/>
    <d v="2023-06-25T20:30:00"/>
    <x v="0"/>
    <s v=" MemoiristSenior "/>
    <s v="MemoiristSenior"/>
    <x v="2"/>
    <x v="2"/>
    <s v=" #LifetimeExperiences #SeniorMemoir "/>
    <n v="35"/>
    <n v="70"/>
    <s v=" USA"/>
    <x v="0"/>
    <n v="2023"/>
    <x v="5"/>
    <n v="25"/>
    <n v="20"/>
    <x v="0"/>
  </r>
  <r>
    <s v="Attended a lecture on history, always fascinated by the lessons from the past. Learning is a lifelong adventure. #HistoryLecture #SeniorLearning "/>
    <s v="Attended a lecture on history, always fascinated by the lessons from the past. Learning is a lifelong adventure. #HistoryLecture #SeniorLearning."/>
    <s v=" Curiosity "/>
    <x v="52"/>
    <d v="2023-06-26T14:00:00"/>
    <x v="1"/>
    <s v=" HistoryEnthusiast "/>
    <s v="HistoryEnthusiast"/>
    <x v="1"/>
    <x v="1"/>
    <s v=" #LifetimeAdventure #SeniorCuriosity "/>
    <n v="30"/>
    <n v="60"/>
    <s v=" UK"/>
    <x v="2"/>
    <n v="2023"/>
    <x v="5"/>
    <n v="26"/>
    <n v="14"/>
    <x v="0"/>
  </r>
  <r>
    <s v="Rediscovered the joy of cooking traditional family recipes. The kitchen, a place of cherished memories. #FamilyRecipes #SeniorCooking "/>
    <s v="Rediscovered the joy of cooking traditional family recipes. The kitchen, a place of cherished memories. #FamilyRecipes #SeniorCooking."/>
    <s v=" Contentment "/>
    <x v="29"/>
    <d v="2023-06-27T17:45:00"/>
    <x v="2"/>
    <s v=" FamilyChefSenior "/>
    <s v="FamilyChefSenior"/>
    <x v="3"/>
    <x v="0"/>
    <s v=" #KitchenMemories #SeniorCulinary "/>
    <n v="20"/>
    <n v="40"/>
    <s v=" USA"/>
    <x v="0"/>
    <n v="2023"/>
    <x v="5"/>
    <n v="27"/>
    <n v="17"/>
    <x v="0"/>
  </r>
  <r>
    <s v="Joined a nature photography club, capturing the beauty of the great outdoors. Every click is a connection to nature. #NaturePhotography #SeniorPhotographer "/>
    <s v="Joined a nature photography club, capturing the beauty of the great outdoors. Every click is a connection to nature. #NaturePhotography #SeniorPhotographer."/>
    <s v=" Joy "/>
    <x v="8"/>
    <d v="2023-06-28T22:15:00"/>
    <x v="3"/>
    <s v=" NaturePhotographySenior "/>
    <s v="NaturePhotographySenior"/>
    <x v="2"/>
    <x v="2"/>
    <s v=" #OutdoorBeauty #SeniorClicks "/>
    <n v="18"/>
    <n v="35"/>
    <s v=" UK"/>
    <x v="2"/>
    <n v="2023"/>
    <x v="5"/>
    <n v="28"/>
    <n v="22"/>
    <x v="0"/>
  </r>
  <r>
    <s v="Attended a jazz concert and swayed to the rhythm of timeless tunes. Music, a constant companion in the golden years. #JazzConcert #SeniorMusic "/>
    <s v="Attended a jazz concert and swayed to the rhythm of timeless tunes. Music, a constant companion in the golden years. #JazzConcert #SeniorMusic."/>
    <s v=" Joy "/>
    <x v="8"/>
    <d v="2023-06-29T16:30:00"/>
    <x v="4"/>
    <s v=" JazzMusicLover "/>
    <s v="JazzMusicLover"/>
    <x v="1"/>
    <x v="1"/>
    <s v=" #TimelessTunes #SeniorJazz "/>
    <n v="25"/>
    <n v="50"/>
    <s v=" USA"/>
    <x v="0"/>
    <n v="2023"/>
    <x v="5"/>
    <n v="29"/>
    <n v="16"/>
    <x v="0"/>
  </r>
  <r>
    <s v="Joined a writing group, penning down thoughts and reflections. Writing, a journey into the depths of the soul. #WritingGroup #SeniorWriter "/>
    <s v="Joined a writing group, penning down thoughts and reflections. Writing, a journey into the depths of the soul. #WritingGroup #SeniorWriter."/>
    <s v=" Gratitude "/>
    <x v="31"/>
    <d v="2023-06-30T19:30:00"/>
    <x v="5"/>
    <s v=" SeniorWordsmith "/>
    <s v="SeniorWordsmith"/>
    <x v="3"/>
    <x v="0"/>
    <s v=" #SoulfulWriting #SeniorReflections "/>
    <n v="28"/>
    <n v="55"/>
    <s v=" UK"/>
    <x v="2"/>
    <n v="2023"/>
    <x v="5"/>
    <n v="30"/>
    <n v="19"/>
    <x v="0"/>
  </r>
  <r>
    <s v="Embarked on a solo travel adventure, discovering the beauty of new places at my own pace. #SoloTravel #SeniorExplorer "/>
    <s v="Embarked on a solo travel adventure, discovering the beauty of new places at my own pace. #SoloTravel #SeniorExplorer."/>
    <s v=" Excitement "/>
    <x v="23"/>
    <d v="2023-07-01T14:00:00"/>
    <x v="6"/>
    <s v=" SoloAdventurer "/>
    <s v="SoloAdventurer"/>
    <x v="1"/>
    <x v="1"/>
    <s v=" #DiscoverNewPlaces #SeniorTravel "/>
    <n v="30"/>
    <n v="60"/>
    <s v=" USA"/>
    <x v="0"/>
    <n v="2023"/>
    <x v="9"/>
    <n v="1"/>
    <n v="14"/>
    <x v="0"/>
  </r>
  <r>
    <s v="Attended a vintage car show, reminiscing about the classics that once ruled the roads. Nostalgia in every rev. #VintageCars #ClassicRides "/>
    <s v="Attended a vintage car show, reminiscing about the classics that once ruled the roads. Nostalgia in every rev. #VintageCars #ClassicRides."/>
    <s v=" Joy "/>
    <x v="8"/>
    <d v="2023-07-02T18:30:00"/>
    <x v="0"/>
    <s v=" CarEnthusiastSenior "/>
    <s v="CarEnthusiastSenior"/>
    <x v="2"/>
    <x v="2"/>
    <s v=" #RoadTripDownMemoryLane #SeniorCars "/>
    <n v="22"/>
    <n v="45"/>
    <s v=" UK"/>
    <x v="2"/>
    <n v="2023"/>
    <x v="9"/>
    <n v="2"/>
    <n v="18"/>
    <x v="0"/>
  </r>
  <r>
    <s v="Started a community garden, growing not just plants but friendships too. Green thumbs unite! #CommunityGarden #SeniorGardener "/>
    <s v="Started a community garden, growing not just plants but friendships too. Green thumbs unite."/>
    <s v=" Joy "/>
    <x v="8"/>
    <d v="2023-07-03T12:45:00"/>
    <x v="1"/>
    <s v=" GreenThumbSenior "/>
    <s v="GreenThumbSenior"/>
    <x v="3"/>
    <x v="0"/>
    <s v=" #GardenFriends #SeniorGreenThumb "/>
    <n v="28"/>
    <n v="55"/>
    <s v=" Canada"/>
    <x v="1"/>
    <n v="2023"/>
    <x v="9"/>
    <n v="3"/>
    <n v="12"/>
    <x v="0"/>
  </r>
  <r>
    <s v="Hosted a family dinner, where laughter echoed louder than the clinking of utensils. Family, the heart of happiness. #FamilyDinner #SeniorHost "/>
    <s v="Hosted a family dinner, where laughter echoed louder than the clinking of utensils. Family, the heart of happiness. #FamilyDinner #SeniorHost."/>
    <s v=" Contentment "/>
    <x v="29"/>
    <d v="2023-07-04T17:00:00"/>
    <x v="2"/>
    <s v=" FamilyHostSenior "/>
    <s v="FamilyHostSenior"/>
    <x v="1"/>
    <x v="1"/>
    <s v=" #HeartwarmingMoments #SeniorFamily "/>
    <n v="35"/>
    <n v="70"/>
    <s v=" USA"/>
    <x v="0"/>
    <n v="2023"/>
    <x v="9"/>
    <n v="4"/>
    <n v="17"/>
    <x v="0"/>
  </r>
  <r>
    <s v="Enrolled in a dance class for seniors, moving to the rhythm of life. Age is just a number on the dance floor. #DanceClass #SeniorDancer "/>
    <s v="Enrolled in a dance class for seniors, moving to the rhythm of life. Age is just a number on the dance floor. #DanceClass #SeniorDancer."/>
    <s v=" Joy "/>
    <x v="8"/>
    <d v="2023-07-05T20:15:00"/>
    <x v="3"/>
    <s v=" DanceEnthusiastSenior "/>
    <s v="DanceEnthusiastSenior"/>
    <x v="3"/>
    <x v="0"/>
    <s v=" #DanceLife #SeniorMoves "/>
    <n v="18"/>
    <n v="35"/>
    <s v=" UK"/>
    <x v="2"/>
    <n v="2023"/>
    <x v="9"/>
    <n v="5"/>
    <n v="20"/>
    <x v="0"/>
  </r>
  <r>
    <s v="Visited an art gallery, appreciating the brushstrokes that tell tales of creativity. Art, an eternal companion. #ArtGallery #SeniorArtLover "/>
    <s v="Visited an art gallery, appreciating the brushstrokes that tell tales of creativity. Art, an eternal companion. #ArtGallery #SeniorArtLover."/>
    <s v=" Joy "/>
    <x v="8"/>
    <d v="2023-07-06T14:30:00"/>
    <x v="4"/>
    <s v=" ArtGalleryVisitor "/>
    <s v="ArtGalleryVisitor"/>
    <x v="2"/>
    <x v="2"/>
    <s v=" #CreativeExpressions #SeniorArt "/>
    <n v="25"/>
    <n v="50"/>
    <s v=" USA"/>
    <x v="0"/>
    <n v="2023"/>
    <x v="9"/>
    <n v="6"/>
    <n v="14"/>
    <x v="0"/>
  </r>
  <r>
    <s v="Started a book club for seniors, where discussions are as lively as the characters in the novels. #BookClub #SeniorReaders "/>
    <s v="Started a book club for seniors, where discussions are as lively as the characters in the novels. #BookClub #SeniorReaders."/>
    <s v=" Joy "/>
    <x v="8"/>
    <d v="2023-07-07T19:45:00"/>
    <x v="5"/>
    <s v=" SeniorBookClub "/>
    <s v="SeniorBookClub"/>
    <x v="1"/>
    <x v="1"/>
    <s v=" #BookishTalks #SeniorBookworms "/>
    <n v="22"/>
    <n v="45"/>
    <s v=" UK"/>
    <x v="2"/>
    <n v="2023"/>
    <x v="9"/>
    <n v="7"/>
    <n v="19"/>
    <x v="0"/>
  </r>
  <r>
    <s v="Hosted a picnic in the park, basking in the warmth of friendship and sunshine. Simple joys, timeless memories. #ParkPicnic #SeniorJoy "/>
    <s v="Hosted a picnic in the park, basking in the warmth of friendship and sunshine. Simple joys, timeless memories. #ParkPicnic #SeniorJoy."/>
    <s v=" Contentment "/>
    <x v="29"/>
    <d v="2023-07-08T16:00:00"/>
    <x v="6"/>
    <s v=" SeniorPicnicHost "/>
    <s v="SeniorPicnicHost"/>
    <x v="3"/>
    <x v="0"/>
    <s v=" #FriendshipSunshine #SeniorMemories "/>
    <n v="30"/>
    <n v="60"/>
    <s v=" Canada"/>
    <x v="1"/>
    <n v="2023"/>
    <x v="9"/>
    <n v="8"/>
    <n v="16"/>
    <x v="0"/>
  </r>
  <r>
    <s v="Participated in a local theater production, proving that the stage belongs to every age. #TheaterProduction #SeniorActor "/>
    <s v="Participated in a local theater production, proving that the stage belongs to every age. #TheaterProduction #SeniorActor."/>
    <s v=" Joy "/>
    <x v="8"/>
    <d v="2023-07-09T22:30:00"/>
    <x v="0"/>
    <s v=" SeniorActor "/>
    <s v="SeniorActor"/>
    <x v="2"/>
    <x v="2"/>
    <s v=" #StagePassion #SeniorTheater "/>
    <n v="20"/>
    <n v="40"/>
    <s v=" USA"/>
    <x v="0"/>
    <n v="2023"/>
    <x v="9"/>
    <n v="9"/>
    <n v="22"/>
    <x v="0"/>
  </r>
  <r>
    <s v="Embarked on a hiking adventure, conquering trails and relishing the beauty of nature. Age is just a number on the mountaintop. #HikingAdventure #SeniorHiker "/>
    <s v="Embarked on a hiking adventure, conquering trails and relishing the beauty of nature. Age is just a number on the mountaintop. #HikingAdventure #SeniorHiker."/>
    <s v=" Excitement "/>
    <x v="23"/>
    <d v="2023-07-10T14:20:00"/>
    <x v="1"/>
    <s v=" SeniorHikerExplorer "/>
    <s v="SeniorHikerExplorer"/>
    <x v="1"/>
    <x v="1"/>
    <s v=" #NatureTrailBlazer #SeniorExplorer "/>
    <n v="28"/>
    <n v="55"/>
    <s v=" UK"/>
    <x v="2"/>
    <n v="2023"/>
    <x v="9"/>
    <n v="10"/>
    <n v="14"/>
    <x v="0"/>
  </r>
  <r>
    <s v="Hosted a photography exhibition featuring snapshots of a life well-lived. Every photo has a story to tell. #PhotographyExhibition #SeniorPhotographer "/>
    <s v="Hosted a photography exhibition featuring snapshots of a life well-lived. Every photo has a story to tell. #PhotographyExhibition #SeniorPhotographer."/>
    <s v=" Gratitude "/>
    <x v="31"/>
    <d v="2023-07-11T18:45:00"/>
    <x v="2"/>
    <s v=" SeniorPhotographerExhibitor "/>
    <s v="SeniorPhotographerExhibitor"/>
    <x v="3"/>
    <x v="0"/>
    <s v=" #LifeInPictures #SeniorExhibition "/>
    <n v="22"/>
    <n v="45"/>
    <s v=" Canada"/>
    <x v="1"/>
    <n v="2023"/>
    <x v="9"/>
    <n v="11"/>
    <n v="18"/>
    <x v="0"/>
  </r>
  <r>
    <s v="Joined a seniors' cycling club, feeling the wind in my hair and the freedom of the open road. #CyclingClub #SeniorCyclist "/>
    <s v="Joined a seniors' cycling club, feeling the wind in my hair and the freedom of the open road. #CyclingClub #SeniorCyclist."/>
    <s v=" Excitement "/>
    <x v="23"/>
    <d v="2023-07-12T13:45:00"/>
    <x v="3"/>
    <s v=" SeniorCyclingEnthusiast "/>
    <s v="SeniorCyclingEnthusiast"/>
    <x v="2"/>
    <x v="2"/>
    <s v=" #OpenRoadAdventures #SeniorCycling "/>
    <n v="25"/>
    <n v="50"/>
    <s v=" USA"/>
    <x v="0"/>
    <n v="2023"/>
    <x v="9"/>
    <n v="12"/>
    <n v="13"/>
    <x v="0"/>
  </r>
  <r>
    <s v="Attended a wine tasting event, savoring the richness of flavors that age like fine wine. Cheers to the golden years! #WineTasting #SeniorWineLover "/>
    <s v="Attended a wine tasting event, savoring the richness of flavors that age like fine wine. Cheers to the golden years."/>
    <s v=" Joy "/>
    <x v="8"/>
    <d v="2023-07-13T20:00:00"/>
    <x v="4"/>
    <s v=" SeniorWineConnoisseur "/>
    <s v="SeniorWineConnoisseur"/>
    <x v="1"/>
    <x v="1"/>
    <s v=" #AgedToPerfection #SeniorCheers "/>
    <n v="35"/>
    <n v="70"/>
    <s v=" UK"/>
    <x v="2"/>
    <n v="2023"/>
    <x v="9"/>
    <n v="13"/>
    <n v="20"/>
    <x v="0"/>
  </r>
  <r>
    <s v="Started learning ballroom dancing, gliding gracefully across the dance floor. Ageless elegance in every step. #BallroomDancing #SeniorDancer "/>
    <s v="Started learning ballroom dancing, gliding gracefully across the dance floor. Ageless elegance in every step. #BallroomDancing #SeniorDancer."/>
    <s v=" Joy "/>
    <x v="8"/>
    <d v="2023-07-14T16:15:00"/>
    <x v="5"/>
    <s v=" SeniorBallroomDancer "/>
    <s v="SeniorBallroomDancer"/>
    <x v="3"/>
    <x v="0"/>
    <s v=" #GracefulMoves #SeniorDance "/>
    <n v="20"/>
    <n v="40"/>
    <s v=" USA"/>
    <x v="0"/>
    <n v="2023"/>
    <x v="9"/>
    <n v="14"/>
    <n v="16"/>
    <x v="0"/>
  </r>
  <r>
    <s v="Organized a community painting event, turning blank canvases into a masterpiece of shared creativity. #PaintingEvent #SeniorArtist "/>
    <s v="Organized a community painting event, turning blank canvases into a masterpiece of shared creativity. #PaintingEvent #SeniorArtist."/>
    <s v=" Joy "/>
    <x v="8"/>
    <d v="2023-07-15T19:30:00"/>
    <x v="6"/>
    <s v=" SeniorPaintingOrganizer "/>
    <s v="SeniorPaintingOrganizer"/>
    <x v="2"/>
    <x v="2"/>
    <s v=" #CommunityArt #SeniorCreativity "/>
    <n v="28"/>
    <n v="55"/>
    <s v=" Canada"/>
    <x v="1"/>
    <n v="2023"/>
    <x v="9"/>
    <n v="15"/>
    <n v="19"/>
    <x v="0"/>
  </r>
  <r>
    <s v="Hosted a 'memory lane' evening with old friends, reminiscing about the adventures that shaped our lives. #MemoryLane #SeniorReminiscing "/>
    <s v="Hosted a 'memory lane' evening with old friends, reminiscing about the adventures that shaped our lives. #MemoryLane #SeniorReminiscing."/>
    <s v=" Gratitude "/>
    <x v="31"/>
    <d v="2023-07-16T14:00:00"/>
    <x v="0"/>
    <s v=" SeniorMemoriesHost "/>
    <s v="SeniorMemoriesHost"/>
    <x v="1"/>
    <x v="1"/>
    <s v=" #FriendshipAdventures #SeniorNostalgia "/>
    <n v="30"/>
    <n v="60"/>
    <s v=" USA"/>
    <x v="0"/>
    <n v="2023"/>
    <x v="9"/>
    <n v="16"/>
    <n v="14"/>
    <x v="0"/>
  </r>
  <r>
    <s v="Joined a seniors' astronomy club, stargazing and finding wonder in the vastness of the cosmos. #AstronomyClub #SeniorStargazer "/>
    <s v="Joined a seniors' astronomy club, stargazing and finding wonder in the vastness of the cosmos. #AstronomyClub #SeniorStargazer."/>
    <s v=" Curiosity "/>
    <x v="52"/>
    <d v="2023-07-17T22:15:00"/>
    <x v="1"/>
    <s v=" SeniorStargazer "/>
    <s v="SeniorStargazer"/>
    <x v="3"/>
    <x v="0"/>
    <s v=" #CelestialWonders #SeniorAstronomy "/>
    <n v="18"/>
    <n v="35"/>
    <s v=" UK"/>
    <x v="2"/>
    <n v="2023"/>
    <x v="9"/>
    <n v="17"/>
    <n v="22"/>
    <x v="0"/>
  </r>
  <r>
    <s v="Attended a local jazz festival, tapping toes to the tunes that have stood the test of time. Music, a lifelong love affair. #JazzFestival #SeniorMusicLover "/>
    <s v="Attended a local jazz festival, tapping toes to the tunes that have stood the test of time. Music, a lifelong love affair. #JazzFestival #SeniorMusicLover."/>
    <s v=" Joy "/>
    <x v="8"/>
    <d v="2023-07-18T16:30:00"/>
    <x v="2"/>
    <s v=" SeniorJazzFestivalGoer "/>
    <s v="SeniorJazzFestivalGoer"/>
    <x v="2"/>
    <x v="2"/>
    <s v=" #TimelessTunes #SeniorJazz "/>
    <n v="25"/>
    <n v="50"/>
    <s v=" USA"/>
    <x v="0"/>
    <n v="2023"/>
    <x v="9"/>
    <n v="18"/>
    <n v="16"/>
    <x v="0"/>
  </r>
  <r>
    <s v="Started a blog sharing the wisdom gained through the years, proving that every day is a chance to learn and grow. #SeniorWisdom #Blog "/>
    <s v="Started a blog sharing the wisdom gained through the years, proving that every day is a chance to learn and grow. #SeniorWisdom #Blog."/>
    <s v=" Gratitude "/>
    <x v="31"/>
    <d v="2023-07-19T19:45:00"/>
    <x v="3"/>
    <s v=" WisdomBloggerSenior "/>
    <s v="WisdomBloggerSenior"/>
    <x v="1"/>
    <x v="1"/>
    <s v=" #LifeLessons #SeniorBlog "/>
    <n v="22"/>
    <n v="45"/>
    <s v=" UK"/>
    <x v="2"/>
    <n v="2023"/>
    <x v="9"/>
    <n v="19"/>
    <n v="19"/>
    <x v="0"/>
  </r>
  <r>
    <s v="Participated in a charity run, proving that age is no barrier to supporting meaningful causes. #CharityRun #SeniorRunner "/>
    <s v="Participated in a charity run, proving that age is no barrier to supporting meaningful causes. #CharityRun #SeniorRunner."/>
    <s v=" Excitement "/>
    <x v="23"/>
    <d v="2023-07-20T17:00:00"/>
    <x v="4"/>
    <s v=" SeniorCharityRunner "/>
    <s v="SeniorCharityRunner"/>
    <x v="3"/>
    <x v="0"/>
    <s v=" #RunForACause #SeniorSupport "/>
    <n v="30"/>
    <n v="60"/>
    <s v=" Canada"/>
    <x v="1"/>
    <n v="2023"/>
    <x v="9"/>
    <n v="20"/>
    <n v="17"/>
    <x v="0"/>
  </r>
  <r>
    <s v="Survived a challenging physics exam. Equations, you won't defeat me! "/>
    <s v="Survived a challenging physics exam. Equations, you won't defeat me."/>
    <s v=" Relief "/>
    <x v="184"/>
    <d v="2023-08-01T13:30:00"/>
    <x v="2"/>
    <s v=" PhysicsWhizHighSchool "/>
    <s v="PhysicsWhizHighSchool"/>
    <x v="1"/>
    <x v="1"/>
    <s v=" #PhysicsSurvivor #HighSchoolAdventures "/>
    <n v="20"/>
    <n v="40"/>
    <s v=" USA"/>
    <x v="0"/>
    <n v="2023"/>
    <x v="4"/>
    <n v="1"/>
    <n v="13"/>
    <x v="0"/>
  </r>
  <r>
    <s v="Exploring the world of coding. Debugging is an adventure on its own! #CodingJourney #HighSchoolCoder "/>
    <s v="Exploring the world of coding. Debugging is an adventure on its own."/>
    <s v=" Excitement "/>
    <x v="23"/>
    <d v="2023-08-02T14:45:00"/>
    <x v="3"/>
    <s v=" CodeExplorerHighSchool "/>
    <s v="CodeExplorerHighSchool"/>
    <x v="3"/>
    <x v="0"/>
    <s v=" #CodingAdventure #HighSchoolCoderLife "/>
    <n v="25"/>
    <n v="50"/>
    <s v=" UK"/>
    <x v="2"/>
    <n v="2023"/>
    <x v="4"/>
    <n v="2"/>
    <n v="14"/>
    <x v="0"/>
  </r>
  <r>
    <s v="Joined the school debate team. Words are my weapons, and I'm ready for battle! "/>
    <s v="Joined the school debate team. Words are my weapons, and I'm ready for battle."/>
    <s v=" Excitement "/>
    <x v="23"/>
    <d v="2023-08-03T12:15:00"/>
    <x v="4"/>
    <s v=" DebateWarriorHighSchool "/>
    <s v="DebateWarriorHighSchool"/>
    <x v="2"/>
    <x v="2"/>
    <s v=" #DebateWarrior #HighSchoolDebater "/>
    <n v="18"/>
    <n v="35"/>
    <s v=" Canada"/>
    <x v="1"/>
    <n v="2023"/>
    <x v="4"/>
    <n v="3"/>
    <n v="12"/>
    <x v="0"/>
  </r>
  <r>
    <s v="Started a photography club at school. Capturing moments, one snapshot at a time! "/>
    <s v="Started a photography club at school. Capturing moments, one snapshot at a time."/>
    <s v=" Joy "/>
    <x v="8"/>
    <d v="2023-08-04T16:30:00"/>
    <x v="5"/>
    <s v=" PhotoClubHighSchool "/>
    <s v="PhotoClubHighSchool"/>
    <x v="1"/>
    <x v="1"/>
    <s v=" #PhotographyClub #HighSchoolPhotographer "/>
    <n v="22"/>
    <n v="45"/>
    <s v=" USA"/>
    <x v="0"/>
    <n v="2023"/>
    <x v="4"/>
    <n v="4"/>
    <n v="16"/>
    <x v="0"/>
  </r>
  <r>
    <s v="Daydreaming about the upcoming prom. The dress, the dance â€“ it's a fairytale in the making! "/>
    <s v="Daydreaming about the upcoming prom. The dress, the dance â€“ it's a fairytale in the making."/>
    <s v=" Excitement "/>
    <x v="23"/>
    <d v="2023-08-05T19:45:00"/>
    <x v="6"/>
    <s v=" PromDreamerHighSchool "/>
    <s v="PromDreamerHighSchool"/>
    <x v="3"/>
    <x v="0"/>
    <s v=" #PromDreams #HighSchoolFairytale "/>
    <n v="30"/>
    <n v="60"/>
    <s v=" Canada"/>
    <x v="1"/>
    <n v="2023"/>
    <x v="4"/>
    <n v="5"/>
    <n v="19"/>
    <x v="0"/>
  </r>
  <r>
    <s v="Convinced the teacher to have class outdoors. Learning equations with a side of fresh air! "/>
    <s v="Convinced the teacher to have class outdoors. Learning equations with a side of fresh air."/>
    <s v=" Positive "/>
    <x v="0"/>
    <d v="2023-08-06T14:00:00"/>
    <x v="0"/>
    <s v=" OutdoorClassHighSchool "/>
    <s v="OutdoorClassHighSchool"/>
    <x v="2"/>
    <x v="2"/>
    <s v=" #OutdoorClassroom #HighSchoolExplorer "/>
    <n v="28"/>
    <n v="55"/>
    <s v=" USA"/>
    <x v="0"/>
    <n v="2023"/>
    <x v="4"/>
    <n v="6"/>
    <n v="14"/>
    <x v="0"/>
  </r>
  <r>
    <s v="Accidentally spilled paint in art class. Abstract art, right? #ArtClassAdventures #HighSchoolArtist "/>
    <s v="Accidentally spilled paint in art class. Abstract art, right? #ArtClassAdventures #HighSchoolArtist."/>
    <s v=" Embarrassed "/>
    <x v="185"/>
    <d v="2023-08-07T19:45:00"/>
    <x v="1"/>
    <s v=" PaintSpillHighSchool "/>
    <s v="PaintSpillHighSchool"/>
    <x v="1"/>
    <x v="1"/>
    <s v=" #ArtisticMishaps #HighSchoolArt "/>
    <n v="22"/>
    <n v="45"/>
    <s v=" UK"/>
    <x v="2"/>
    <n v="2023"/>
    <x v="4"/>
    <n v="7"/>
    <n v="19"/>
    <x v="0"/>
  </r>
  <r>
    <s v="Trying to master the perfect kickflip on my skateboard. Skating into the weekend like a pro! "/>
    <s v="Trying to master the perfect kickflip on my skateboard. Skating into the weekend like a pro."/>
    <s v=" Excitement "/>
    <x v="23"/>
    <d v="2023-08-08T16:00:00"/>
    <x v="2"/>
    <s v=" SkateProHighSchool "/>
    <s v="SkateProHighSchool"/>
    <x v="3"/>
    <x v="0"/>
    <s v=" #SkaterLife #HighSchoolSkater "/>
    <n v="30"/>
    <n v="60"/>
    <s v=" Canada"/>
    <x v="1"/>
    <n v="2023"/>
    <x v="4"/>
    <n v="8"/>
    <n v="16"/>
    <x v="0"/>
  </r>
  <r>
    <s v="Bonding with friends over the latest K-pop sensation. Fangirling at its finest! "/>
    <s v="Bonding with friends over the latest K-pop sensation. Fangirling at its finest."/>
    <s v=" Joy "/>
    <x v="8"/>
    <d v="2023-08-09T22:30:00"/>
    <x v="3"/>
    <s v=" KpopFangirlHighSchool "/>
    <s v="KpopFangirlHighSchool"/>
    <x v="2"/>
    <x v="2"/>
    <s v=" #KpopFangirl #HighSchoolMusic "/>
    <n v="20"/>
    <n v="40"/>
    <s v=" USA"/>
    <x v="0"/>
    <n v="2023"/>
    <x v="4"/>
    <n v="9"/>
    <n v="22"/>
    <x v="0"/>
  </r>
  <r>
    <s v="Spent hours perfecting a chemistry experiment. Mixing potions like a wizard! "/>
    <s v="Spent hours perfecting a chemistry experiment. Mixing potions like a wizard."/>
    <s v=" Joy "/>
    <x v="8"/>
    <d v="2023-08-10T14:20:00"/>
    <x v="4"/>
    <s v=" ChemistryWizardHighSchool "/>
    <s v="ChemistryWizardHighSchool"/>
    <x v="1"/>
    <x v="1"/>
    <s v=" #ChemistryWizard #HighSchoolScientist "/>
    <n v="28"/>
    <n v="55"/>
    <s v=" UK"/>
    <x v="2"/>
    <n v="2023"/>
    <x v="4"/>
    <n v="10"/>
    <n v="14"/>
    <x v="0"/>
  </r>
  <r>
    <s v="Successfully organized a surprise birthday party for a friend. Party planning expert mode: Achieved! "/>
    <s v="Successfully organized a surprise birthday party for a friend. Party planning expert mode: Achieved."/>
    <s v=" Joy "/>
    <x v="8"/>
    <d v="2023-08-11T18:45:00"/>
    <x v="5"/>
    <s v=" BirthdayPartyPlannerHighSchool "/>
    <s v="BirthdayPartyPlannerHighSchool"/>
    <x v="3"/>
    <x v="0"/>
    <s v=" #BirthdayParty #HighSchoolCelebration "/>
    <n v="22"/>
    <n v="45"/>
    <s v=" Canada"/>
    <x v="1"/>
    <n v="2023"/>
    <x v="4"/>
    <n v="11"/>
    <n v="18"/>
    <x v="0"/>
  </r>
  <r>
    <s v="Joined the drama club to unleash my inner actor. Lights, camera, action! "/>
    <s v="Joined the drama club to unleash my inner actor. Lights, camera, action."/>
    <s v=" Excitement "/>
    <x v="23"/>
    <d v="2023-08-12T13:45:00"/>
    <x v="6"/>
    <s v=" DramaClubStarHighSchool "/>
    <s v="DramaClubStarHighSchool"/>
    <x v="2"/>
    <x v="2"/>
    <s v=" #DramaClubStar #HighSchoolActor "/>
    <n v="25"/>
    <n v="50"/>
    <s v=" USA"/>
    <x v="0"/>
    <n v="2023"/>
    <x v="4"/>
    <n v="12"/>
    <n v="13"/>
    <x v="0"/>
  </r>
  <r>
    <s v="Got my hands on the latest fantasy novel. Diving into realms of magic and adventure! "/>
    <s v="Got my hands on the latest fantasy novel. Diving into realms of magic and adventure."/>
    <s v=" Excitement "/>
    <x v="23"/>
    <d v="2023-08-13T20:00:00"/>
    <x v="0"/>
    <s v=" FantasyBookNerdHighSchool "/>
    <s v="FantasyBookNerdHighSchool"/>
    <x v="1"/>
    <x v="1"/>
    <s v=" #FantasyBookNerd #HighSchoolReader "/>
    <n v="35"/>
    <n v="70"/>
    <s v=" UK"/>
    <x v="2"/>
    <n v="2023"/>
    <x v="4"/>
    <n v="13"/>
    <n v="20"/>
    <x v="0"/>
  </r>
  <r>
    <s v="Mastering the art of the perfect doodle during boring classes. Doodles: A+! "/>
    <s v="Mastering the art of the perfect doodle during boring classes. Doodles: A+."/>
    <s v=" Joy "/>
    <x v="8"/>
    <d v="2023-08-14T16:15:00"/>
    <x v="1"/>
    <s v=" DoodleMasterHighSchool "/>
    <s v="DoodleMasterHighSchool"/>
    <x v="3"/>
    <x v="0"/>
    <s v=" #DoodleMaster #HighSchoolArt "/>
    <n v="20"/>
    <n v="40"/>
    <s v=" USA"/>
    <x v="0"/>
    <n v="2023"/>
    <x v="4"/>
    <n v="14"/>
    <n v="16"/>
    <x v="0"/>
  </r>
  <r>
    <s v="Attempting to break the school record for the longest handstand. Wish me luck! "/>
    <s v="Attempting to break the school record for the longest handstand. Wish me luck."/>
    <s v=" Excitement "/>
    <x v="23"/>
    <d v="2023-08-15T19:30:00"/>
    <x v="2"/>
    <s v=" HandstandChallengeHighSchool "/>
    <s v="HandstandChallengeHighSchool"/>
    <x v="2"/>
    <x v="2"/>
    <s v=" #HandstandChallenge #HighSchoolAthlete "/>
    <n v="28"/>
    <n v="55"/>
    <s v=" Canada"/>
    <x v="1"/>
    <n v="2023"/>
    <x v="4"/>
    <n v="15"/>
    <n v="19"/>
    <x v="0"/>
  </r>
  <r>
    <s v="Sneaking snacks into class like a pro. The art of snack-smuggling is a sacred skill! "/>
    <s v="Sneaking snacks into class like a pro. The art of snack-smuggling is a sacred skill."/>
    <s v=" Mischievous "/>
    <x v="186"/>
    <d v="2023-08-16T14:00:00"/>
    <x v="3"/>
    <s v=" SnackSmugglerHighSchool "/>
    <s v="SnackSmugglerHighSchool"/>
    <x v="1"/>
    <x v="1"/>
    <s v=" #SnackSmuggler #HighSchoolSnacks "/>
    <n v="30"/>
    <n v="60"/>
    <s v=" USA"/>
    <x v="0"/>
    <n v="2023"/>
    <x v="4"/>
    <n v="16"/>
    <n v="14"/>
    <x v="0"/>
  </r>
  <r>
    <s v="Hosting a sleepover with friends this weekend. Preparing for a night of laughter and memories! "/>
    <s v="Hosting a sleepover with friends this weekend. Preparing for a night of laughter and memories."/>
    <s v=" Excitement "/>
    <x v="23"/>
    <d v="2023-08-17T22:15:00"/>
    <x v="4"/>
    <s v=" SleepoverHostHighSchool "/>
    <s v="SleepoverHostHighSchool"/>
    <x v="3"/>
    <x v="0"/>
    <s v=" #SleepoverFun #HighSchoolMemories "/>
    <n v="18"/>
    <n v="35"/>
    <s v=" UK"/>
    <x v="2"/>
    <n v="2023"/>
    <x v="4"/>
    <n v="17"/>
    <n v="22"/>
    <x v="0"/>
  </r>
  <r>
    <s v="Spent hours on a TikTok dance, only to realize I have two left feet. Dance fail: Unleashed! "/>
    <s v="Spent hours on a TikTok dance, only to realize I have two left feet. Dance fail: Unleashed."/>
    <s v=" Embarrassed "/>
    <x v="185"/>
    <d v="2023-08-18T16:30:00"/>
    <x v="5"/>
    <s v=" TikTokFailHighSchool "/>
    <s v="TikTokFailHighSchool"/>
    <x v="2"/>
    <x v="2"/>
    <s v=" #DanceFail #HighSchoolTikTok "/>
    <n v="25"/>
    <n v="50"/>
    <s v=" USA"/>
    <x v="0"/>
    <n v="2023"/>
    <x v="4"/>
    <n v="18"/>
    <n v="16"/>
    <x v="0"/>
  </r>
  <r>
    <s v="Accidentally liked my crush's old photo while stalking their profile. Awkward level: Maximum! "/>
    <s v="Accidentally liked my crush's old photo while stalking their profile. Awkward level: Maximum."/>
    <s v=" Embarrassed "/>
    <x v="185"/>
    <d v="2023-08-19T19:45:00"/>
    <x v="6"/>
    <s v=" SocialMediaBlunderHighSchool "/>
    <s v="SocialMediaBlunderHighSchool"/>
    <x v="1"/>
    <x v="1"/>
    <s v=" #SocialMediaBlunder #HighSchoolAwkward "/>
    <n v="22"/>
    <n v="45"/>
    <s v=" UK"/>
    <x v="2"/>
    <n v="2023"/>
    <x v="4"/>
    <n v="19"/>
    <n v="19"/>
    <x v="0"/>
  </r>
  <r>
    <s v="Tried to impress my crush with a smooth conversation. Ended up spilling my drink. Smooth level: Nonexistent! "/>
    <s v="Tried to impress my crush with a smooth conversation. Ended up spilling my drink. Smooth level: Nonexistent."/>
    <s v=" Embarrassed "/>
    <x v="185"/>
    <d v="2023-08-20T17:00:00"/>
    <x v="0"/>
    <s v=" CrushFailHighSchool "/>
    <s v="CrushFailHighSchool"/>
    <x v="3"/>
    <x v="0"/>
    <s v=" #CrushFail #HighSchoolEmbarrassment "/>
    <n v="30"/>
    <n v="60"/>
    <s v=" Canada"/>
    <x v="1"/>
    <n v="2023"/>
    <x v="4"/>
    <n v="20"/>
    <n v="17"/>
    <x v="0"/>
  </r>
  <r>
    <s v="Mastered the art of creating paper airplanes during lecture. Paper planes: Soaring to new heights! "/>
    <s v="Mastered the art of creating paper airplanes during lecture. Paper planes: Soaring to new heights."/>
    <s v=" Joy "/>
    <x v="8"/>
    <d v="2023-08-21T15:45:00"/>
    <x v="1"/>
    <s v=" PaperPlaneExpertHighSchool "/>
    <s v="PaperPlaneExpertHighSchool"/>
    <x v="1"/>
    <x v="1"/>
    <s v=" #PaperPlaneExpert #HighSchoolArt "/>
    <n v="15"/>
    <n v="30"/>
    <s v=" USA"/>
    <x v="0"/>
    <n v="2023"/>
    <x v="4"/>
    <n v="21"/>
    <n v="15"/>
    <x v="0"/>
  </r>
  <r>
    <s v="Trying to set a new trend by juggling textbooks between classes. Academic juggling: A unique skill! "/>
    <s v="Trying to set a new trend by juggling textbooks between classes. Academic juggling: A unique skill."/>
    <s v=" Excitement "/>
    <x v="23"/>
    <d v="2023-08-22T12:30:00"/>
    <x v="2"/>
    <s v=" JugglingProHighSchool "/>
    <s v="JugglingProHighSchool"/>
    <x v="2"/>
    <x v="2"/>
    <s v=" #TextbookJuggling #HighSchoolSkills "/>
    <n v="22"/>
    <n v="40"/>
    <s v=" Canada"/>
    <x v="1"/>
    <n v="2023"/>
    <x v="4"/>
    <n v="22"/>
    <n v="12"/>
    <x v="0"/>
  </r>
  <r>
    <s v="Hiding a snack stash in my backpack for emergency cravings. Snack ninja mode: Activated! "/>
    <s v="Hiding a snack stash in my backpack for emergency cravings. Snack ninja mode: Activated."/>
    <s v=" Mischievous "/>
    <x v="186"/>
    <d v="2023-08-23T16:45:00"/>
    <x v="3"/>
    <s v=" SnackNinjaHighSchool "/>
    <s v="SnackNinjaHighSchool"/>
    <x v="3"/>
    <x v="0"/>
    <s v=" #SnackNinja #HighSchoolSnacks "/>
    <n v="28"/>
    <n v="55"/>
    <s v=" USA"/>
    <x v="0"/>
    <n v="2023"/>
    <x v="4"/>
    <n v="23"/>
    <n v="16"/>
    <x v="0"/>
  </r>
  <r>
    <s v="Planning a surprise scavenger hunt for friends. Anticipating the thrill and excitement! "/>
    <s v="Planning a surprise scavenger hunt for friends. Anticipating the thrill and excitement."/>
    <s v=" Excitement "/>
    <x v="23"/>
    <d v="2023-08-24T18:20:00"/>
    <x v="4"/>
    <s v=" ScavengerHuntMasterHighSchool "/>
    <s v="ScavengerHuntMasterHighSchool"/>
    <x v="1"/>
    <x v="1"/>
    <s v=" #SurpriseAdventure #HighSchoolFun "/>
    <n v="20"/>
    <n v="38"/>
    <s v=" UK"/>
    <x v="2"/>
    <n v="2023"/>
    <x v="4"/>
    <n v="24"/>
    <n v="18"/>
    <x v="0"/>
  </r>
  <r>
    <s v="Danced in the rain to celebrate the end of exams. Rain dance: Unexpectedly refreshing! "/>
    <s v="Danced in the rain to celebrate the end of exams. Rain dance: Unexpectedly refreshing."/>
    <s v=" Joy "/>
    <x v="8"/>
    <d v="2023-08-25T14:15:00"/>
    <x v="5"/>
    <s v=" RainDanceCelebrationHighSchool "/>
    <s v="RainDanceCelebrationHighSchool"/>
    <x v="2"/>
    <x v="2"/>
    <s v=" #RainDance #HighSchoolJoy "/>
    <n v="25"/>
    <n v="50"/>
    <s v=" Canada"/>
    <x v="1"/>
    <n v="2023"/>
    <x v="4"/>
    <n v="25"/>
    <n v="14"/>
    <x v="0"/>
  </r>
  <r>
    <s v="Accidentally sent a text meant for a friend to the class group chat. Texting fail: Oops moment! "/>
    <s v="Accidentally sent a text meant for a friend to the class group chat. Texting fail: Oops moment."/>
    <s v=" Embarrassed "/>
    <x v="185"/>
    <d v="2023-08-26T17:30:00"/>
    <x v="6"/>
    <s v=" GroupChatBlunderHighSchool "/>
    <s v="GroupChatBlunderHighSchool"/>
    <x v="3"/>
    <x v="0"/>
    <s v=" #TextingFail #HighSchoolAwkward "/>
    <n v="18"/>
    <n v="35"/>
    <s v=" USA"/>
    <x v="0"/>
    <n v="2023"/>
    <x v="4"/>
    <n v="26"/>
    <n v="17"/>
    <x v="0"/>
  </r>
  <r>
    <s v="Tried a magic trick to impress classmates. Magic fail: Where did that rabbit go? "/>
    <s v="Tried a magic trick to impress classmates. Magic fail: Where did that rabbit go?."/>
    <s v=" Embarrassed "/>
    <x v="185"/>
    <d v="2023-08-27T20:45:00"/>
    <x v="0"/>
    <s v=" MagicFailHighSchool "/>
    <s v="MagicFailHighSchool"/>
    <x v="1"/>
    <x v="1"/>
    <s v=" #MagicFail #HighSchoolMagic "/>
    <n v="22"/>
    <n v="45"/>
    <s v=" UK"/>
    <x v="2"/>
    <n v="2023"/>
    <x v="4"/>
    <n v="27"/>
    <n v="20"/>
    <x v="0"/>
  </r>
  <r>
    <s v="Perfecting the art of creating origami during a dull lecture. Origami mastery: A+! "/>
    <s v="Perfecting the art of creating origami during a dull lecture. Origami mastery: A+."/>
    <s v=" Joy "/>
    <x v="8"/>
    <d v="2023-08-28T16:00:00"/>
    <x v="1"/>
    <s v=" OrigamiProHighSchool "/>
    <s v="OrigamiProHighSchool"/>
    <x v="3"/>
    <x v="0"/>
    <s v=" #OrigamiMaster #HighSchoolArt "/>
    <n v="18"/>
    <n v="36"/>
    <s v=" USA"/>
    <x v="0"/>
    <n v="2023"/>
    <x v="4"/>
    <n v="28"/>
    <n v="16"/>
    <x v="0"/>
  </r>
  <r>
    <s v="Attempting to set a new record for the most consecutive hacky sack kicks. Hacky sack skills: Unleashed! "/>
    <s v="Attempting to set a new record for the most consecutive hacky sack kicks. Hacky sack skills: Unleashed."/>
    <s v=" Excitement "/>
    <x v="23"/>
    <d v="2023-08-29T13:45:00"/>
    <x v="2"/>
    <s v=" HackySackChampionHighSchool "/>
    <s v="HackySackChampionHighSchool"/>
    <x v="1"/>
    <x v="1"/>
    <s v=" #HackySackChallenge #HighSchoolAthlete "/>
    <n v="26"/>
    <n v="48"/>
    <s v=" Canada"/>
    <x v="1"/>
    <n v="2023"/>
    <x v="4"/>
    <n v="29"/>
    <n v="13"/>
    <x v="0"/>
  </r>
  <r>
    <s v="Creating a secret handshake with friends. Friendship level: Expert! "/>
    <s v="Creating a secret handshake with friends. Friendship level: Expert."/>
    <s v=" Joy "/>
    <x v="8"/>
    <d v="2023-08-30T17:30:00"/>
    <x v="3"/>
    <s v=" SecretHandshakeHighSchool "/>
    <s v="SecretHandshakeHighSchool"/>
    <x v="2"/>
    <x v="2"/>
    <s v=" #FriendshipGoals #HighSchoolMemories "/>
    <n v="20"/>
    <n v="40"/>
    <s v=" USA"/>
    <x v="0"/>
    <n v="2023"/>
    <x v="4"/>
    <n v="30"/>
    <n v="17"/>
    <x v="0"/>
  </r>
  <r>
    <s v="Embarking on a mission to find the best burger joint in town. Burger connoisseur: Reporting for duty! "/>
    <s v="Embarking on a mission to find the best burger joint in town. Burger connoisseur: Reporting for duty."/>
    <s v=" Excitement "/>
    <x v="23"/>
    <d v="2023-08-31T20:15:00"/>
    <x v="4"/>
    <s v=" BurgerQuestHighSchool "/>
    <s v="BurgerQuestHighSchool"/>
    <x v="3"/>
    <x v="0"/>
    <s v=" #BurgerQuest #HighSchoolFoodie "/>
    <n v="24"/>
    <n v="42"/>
    <s v=" UK"/>
    <x v="2"/>
    <n v="2023"/>
    <x v="4"/>
    <n v="31"/>
    <n v="20"/>
    <x v="0"/>
  </r>
  <r>
    <s v="Practicing a stand-up comedy routine for the upcoming talent show. Comedy gig: In the making! "/>
    <s v="Practicing a stand-up comedy routine for the upcoming talent show. Comedy gig: In the making."/>
    <s v=" Joy "/>
    <x v="8"/>
    <d v="2023-09-01T14:45:00"/>
    <x v="5"/>
    <s v=" ComedyGeniusHighSchool "/>
    <s v="ComedyGeniusHighSchool"/>
    <x v="1"/>
    <x v="1"/>
    <s v=" #StandUpComedy #HighSchoolTalent "/>
    <n v="21"/>
    <n v="39"/>
    <s v=" Canada"/>
    <x v="1"/>
    <n v="2023"/>
    <x v="8"/>
    <n v="1"/>
    <n v="14"/>
    <x v="0"/>
  </r>
  <r>
    <s v="Accidentally sent a love letter to the wrong person. Love note fail: Maximum embarrassment! "/>
    <s v="Accidentally sent a love letter to the wrong person. Love note fail: Maximum embarrassment."/>
    <s v=" Embarrassed "/>
    <x v="185"/>
    <d v="2023-09-02T18:30:00"/>
    <x v="6"/>
    <s v=" LoveLetterBlunderHighSchool "/>
    <s v="LoveLetterBlunderHighSchool"/>
    <x v="2"/>
    <x v="2"/>
    <s v=" #LoveLetterFail #HighSchoolAwkward "/>
    <n v="17"/>
    <n v="33"/>
    <s v=" USA"/>
    <x v="0"/>
    <n v="2023"/>
    <x v="8"/>
    <n v="2"/>
    <n v="18"/>
    <x v="0"/>
  </r>
  <r>
    <s v="Attempting to impress the teacher with an elaborate science experiment. Science geek mode: Activated! "/>
    <s v="Attempting to impress the teacher with an elaborate science experiment. Science geek mode: Activated."/>
    <s v=" Excitement "/>
    <x v="23"/>
    <d v="2023-09-03T22:00:00"/>
    <x v="0"/>
    <s v=" ScienceExperimentProHighSchool "/>
    <s v="ScienceExperimentProHighSchool"/>
    <x v="3"/>
    <x v="0"/>
    <s v=" #ScienceGeek #HighSchoolExperiments "/>
    <n v="23"/>
    <n v="44"/>
    <s v=" UK"/>
    <x v="2"/>
    <n v="2023"/>
    <x v="8"/>
    <n v="3"/>
    <n v="22"/>
    <x v="0"/>
  </r>
  <r>
    <s v="Crafting intricate friendship bracelets for the whole squad. Friendship level: Expert weaver! "/>
    <s v="Crafting intricate friendship bracelets for the whole squad. Friendship level: Expert weaver."/>
    <s v=" Joy "/>
    <x v="8"/>
    <d v="2023-09-04T15:15:00"/>
    <x v="1"/>
    <s v=" BraceletCraftsmanHighSchool "/>
    <s v="BraceletCraftsmanHighSchool"/>
    <x v="1"/>
    <x v="1"/>
    <s v=" #FriendshipBracelets #HighSchoolCrafts "/>
    <n v="19"/>
    <n v="37"/>
    <s v=" USA"/>
    <x v="0"/>
    <n v="2023"/>
    <x v="8"/>
    <n v="4"/>
    <n v="15"/>
    <x v="0"/>
  </r>
  <r>
    <s v="Attempting to beat the record for the most consecutive cartwheels. Cartwheel challenge: Underway! "/>
    <s v="Attempting to beat the record for the most consecutive cartwheels. Cartwheel challenge: Underway."/>
    <s v=" Excitement "/>
    <x v="23"/>
    <d v="2023-09-05T12:30:00"/>
    <x v="2"/>
    <s v=" CartwheelMasterHighSchool "/>
    <s v="CartwheelMasterHighSchool"/>
    <x v="3"/>
    <x v="0"/>
    <s v=" #CartwheelChallenge #HighSchoolAthlete "/>
    <n v="27"/>
    <n v="52"/>
    <s v=" Canada"/>
    <x v="1"/>
    <n v="2023"/>
    <x v="8"/>
    <n v="5"/>
    <n v="12"/>
    <x v="0"/>
  </r>
  <r>
    <s v="Organizing a movie marathon with friends. Popcorn and cinematic adventures await! "/>
    <s v="Organizing a movie marathon with friends. Popcorn and cinematic adventures await."/>
    <s v=" Joy "/>
    <x v="8"/>
    <d v="2023-09-06T16:45:00"/>
    <x v="3"/>
    <s v=" MovieMarathonHostHighSchool "/>
    <s v="MovieMarathonHostHighSchool"/>
    <x v="2"/>
    <x v="2"/>
    <s v=" #MovieNight #HighSchoolMemories "/>
    <n v="22"/>
    <n v="43"/>
    <s v=" UK"/>
    <x v="2"/>
    <n v="2023"/>
    <x v="8"/>
    <n v="6"/>
    <n v="16"/>
    <x v="0"/>
  </r>
  <r>
    <s v="Experimenting with a new hair color. A bold change for a bold semester! "/>
    <s v="Experimenting with a new hair color. A bold change for a bold semester."/>
    <s v=" Excitement "/>
    <x v="23"/>
    <d v="2023-09-07T18:20:00"/>
    <x v="4"/>
    <s v=" HairColorExperimentHighSchool "/>
    <s v="HairColorExperimentHighSchool"/>
    <x v="1"/>
    <x v="1"/>
    <s v=" #HairExperiment #HighSchoolStyle "/>
    <n v="20"/>
    <n v="39"/>
    <s v=" USA"/>
    <x v="0"/>
    <n v="2023"/>
    <x v="8"/>
    <n v="7"/>
    <n v="18"/>
    <x v="0"/>
  </r>
  <r>
    <s v="Building a time capsule to capture memories for the future. Time-traveling emotions! "/>
    <s v="Building a time capsule to capture memories for the future. Time-traveling emotions."/>
    <s v=" Joy "/>
    <x v="8"/>
    <d v="2023-09-08T14:15:00"/>
    <x v="5"/>
    <s v=" TimeCapsuleCreatorHighSchool "/>
    <s v="TimeCapsuleCreatorHighSchool"/>
    <x v="2"/>
    <x v="2"/>
    <s v=" #TimeCapsule #HighSchoolNostalgia "/>
    <n v="26"/>
    <n v="48"/>
    <s v=" Canada"/>
    <x v="1"/>
    <n v="2023"/>
    <x v="8"/>
    <n v="8"/>
    <n v="14"/>
    <x v="0"/>
  </r>
  <r>
    <s v="Accidentally walked into the wrong classroom on the first day. Classroom mix-up: Awkward start! "/>
    <s v="Accidentally walked into the wrong classroom on the first day. Classroom mix-up: Awkward start."/>
    <s v=" Embarrassed "/>
    <x v="185"/>
    <d v="2023-09-09T17:30:00"/>
    <x v="6"/>
    <s v=" ClassroomBlunderHighSchool "/>
    <s v="ClassroomBlunderHighSchool"/>
    <x v="3"/>
    <x v="0"/>
    <s v=" #FirstDayOops #HighSchoolEmbarrassment "/>
    <n v="16"/>
    <n v="32"/>
    <s v=" USA"/>
    <x v="0"/>
    <n v="2023"/>
    <x v="8"/>
    <n v="9"/>
    <n v="17"/>
    <x v="0"/>
  </r>
  <r>
    <s v="Trying out a new smoothie recipe for a healthy start to the week. Smoothie enthusiast: Level up! "/>
    <s v="Trying out a new smoothie recipe for a healthy start to the week. Smoothie enthusiast: Level up."/>
    <s v=" Excitement "/>
    <x v="23"/>
    <d v="2023-09-10T20:45:00"/>
    <x v="0"/>
    <s v=" SmoothieConnoisseurHighSchool "/>
    <s v="SmoothieConnoisseurHighSchool"/>
    <x v="1"/>
    <x v="1"/>
    <s v=" #HealthyLiving #HighSchoolWellness "/>
    <n v="23"/>
    <n v="42"/>
    <s v=" UK"/>
    <x v="2"/>
    <n v="2023"/>
    <x v="8"/>
    <n v="10"/>
    <n v="20"/>
    <x v="0"/>
  </r>
  <r>
    <s v="Reflecting on the challenges of the school year. Feeling a bit overwhelmed with assignments. "/>
    <s v="Reflecting on the challenges of the school year. Feeling a bit overwhelmed with assignments.."/>
    <s v=" Sad "/>
    <x v="187"/>
    <d v="2023-09-11T15:45:00"/>
    <x v="1"/>
    <s v=" OverwhelmedHighSchoolStudent "/>
    <s v="OverwhelmedHighSchoolStudent"/>
    <x v="3"/>
    <x v="0"/>
    <s v=" #SchoolChallenges #HighSchoolStruggles "/>
    <n v="15"/>
    <n v="28"/>
    <s v=" USA"/>
    <x v="0"/>
    <n v="2023"/>
    <x v="8"/>
    <n v="11"/>
    <n v="15"/>
    <x v="0"/>
  </r>
  <r>
    <s v="Encountered some mean-spirited comments online. Dealing with online hate is never easy. "/>
    <s v="Encountered some mean-spirited comments online. Dealing with online hate is never easy.."/>
    <s v=" Hate "/>
    <x v="188"/>
    <d v="2023-09-12T12:30:00"/>
    <x v="2"/>
    <s v=" DealingWithHateHighSchool "/>
    <s v="DealingWithHateHighSchool"/>
    <x v="1"/>
    <x v="1"/>
    <s v=" #OnlineHate #HighSchoolReality "/>
    <n v="18"/>
    <n v="36"/>
    <s v=" Canada"/>
    <x v="1"/>
    <n v="2023"/>
    <x v="8"/>
    <n v="12"/>
    <n v="12"/>
    <x v="0"/>
  </r>
  <r>
    <s v="Had a bad day at school. Everything seems to be going wrong. "/>
    <s v="Had a bad day at school. Everything seems to be going wrong.."/>
    <s v=" Bad "/>
    <x v="189"/>
    <d v="2023-09-13T16:45:00"/>
    <x v="3"/>
    <s v=" ToughDayHighSchool "/>
    <s v="ToughDayHighSchool"/>
    <x v="2"/>
    <x v="2"/>
    <s v=" #BadDay #HighSchoolBlues "/>
    <n v="20"/>
    <n v="40"/>
    <s v=" UK"/>
    <x v="2"/>
    <n v="2023"/>
    <x v="8"/>
    <n v="13"/>
    <n v="16"/>
    <x v="0"/>
  </r>
  <r>
    <s v="Feeling down after not making the sports team. Disappointment lingers. "/>
    <s v="Feeling down after not making the sports team. Disappointment lingers.."/>
    <s v=" Sad "/>
    <x v="187"/>
    <d v="2023-09-14T18:20:00"/>
    <x v="4"/>
    <s v=" SportsTeamRejectionHighSchool "/>
    <s v="SportsTeamRejectionHighSchool"/>
    <x v="3"/>
    <x v="0"/>
    <s v=" #Disappointment #HighSchoolSports "/>
    <n v="17"/>
    <n v="34"/>
    <s v=" USA"/>
    <x v="0"/>
    <n v="2023"/>
    <x v="8"/>
    <n v="14"/>
    <n v="18"/>
    <x v="0"/>
  </r>
  <r>
    <s v="Witnessed a heated argument in the cafeteria. Unpleasant atmosphere at lunch. "/>
    <s v="Witnessed a heated argument in the cafeteria. Unpleasant atmosphere at lunch.."/>
    <s v=" Hate "/>
    <x v="188"/>
    <d v="2023-09-15T14:15:00"/>
    <x v="5"/>
    <s v=" CafeteriaConflictHighSchool "/>
    <s v="CafeteriaConflictHighSchool"/>
    <x v="1"/>
    <x v="1"/>
    <s v=" #CafeteriaDrama #HighSchoolTension "/>
    <n v="21"/>
    <n v="41"/>
    <s v=" Canada"/>
    <x v="1"/>
    <n v="2023"/>
    <x v="8"/>
    <n v="15"/>
    <n v="14"/>
    <x v="0"/>
  </r>
  <r>
    <s v="Received a not-so-great grade on a major project. Academic frustration setting in. "/>
    <s v="Received a not-so-great grade on a major project. Academic frustration setting in.."/>
    <s v=" Bad "/>
    <x v="189"/>
    <d v="2023-09-16T17:30:00"/>
    <x v="6"/>
    <s v=" ProjectGradeDisappointmentHighSchool "/>
    <s v="ProjectGradeDisappointmentHighSchool"/>
    <x v="2"/>
    <x v="2"/>
    <s v=" #AcademicFrustration #HighSchoolStress "/>
    <n v="19"/>
    <n v="38"/>
    <s v=" UK"/>
    <x v="2"/>
    <n v="2023"/>
    <x v="8"/>
    <n v="16"/>
    <n v="17"/>
    <x v="0"/>
  </r>
  <r>
    <s v="Dealing with a personal setback. Sometimes life throws unexpected challenges. "/>
    <s v="Dealing with a personal setback. Sometimes life throws unexpected challenges.."/>
    <s v=" Sad "/>
    <x v="187"/>
    <d v="2023-09-17T20:45:00"/>
    <x v="0"/>
    <s v=" PersonalSetbackHighSchool "/>
    <s v="PersonalSetbackHighSchool"/>
    <x v="3"/>
    <x v="0"/>
    <s v=" #LifeChallenges #HighSchoolStruggles "/>
    <n v="22"/>
    <n v="44"/>
    <s v=" USA"/>
    <x v="0"/>
    <n v="2023"/>
    <x v="8"/>
    <n v="17"/>
    <n v="20"/>
    <x v="0"/>
  </r>
  <r>
    <s v="Feeling lonely on a Saturday night. Sometimes solitude hits harder than expected. "/>
    <s v="Feeling lonely on a Saturday night. Sometimes solitude hits harder than expected.."/>
    <s v=" Sad "/>
    <x v="187"/>
    <d v="2023-09-18T22:00:00"/>
    <x v="1"/>
    <s v=" LonelySaturdayHighSchool "/>
    <s v="LonelySaturdayHighSchool"/>
    <x v="1"/>
    <x v="1"/>
    <s v=" #LonelyNights #HighSchoolEmotions "/>
    <n v="16"/>
    <n v="31"/>
    <s v=" Canada"/>
    <x v="1"/>
    <n v="2023"/>
    <x v="8"/>
    <n v="18"/>
    <n v="22"/>
    <x v="0"/>
  </r>
  <r>
    <s v="Experiencing cyberbullying. Hateful messages online are disheartening. "/>
    <s v="Experiencing cyberbullying. Hateful messages online are disheartening.."/>
    <s v=" Hate "/>
    <x v="188"/>
    <d v="2023-09-19T15:15:00"/>
    <x v="2"/>
    <s v=" CyberbullyingVictimHighSchool "/>
    <s v="CyberbullyingVictimHighSchool"/>
    <x v="2"/>
    <x v="2"/>
    <s v=" #StopCyberbullying #HighSchoolReality "/>
    <n v="14"/>
    <n v="27"/>
    <s v=" UK"/>
    <x v="2"/>
    <n v="2023"/>
    <x v="8"/>
    <n v="19"/>
    <n v="15"/>
    <x v="0"/>
  </r>
  <r>
    <s v="Caught in a torrential rainstorm without an umbrella. Today's weather is just bad luck. "/>
    <s v="Caught in a torrential rainstorm without an umbrella. Today's weather is just bad luck.."/>
    <s v=" Bad "/>
    <x v="189"/>
    <d v="2023-09-20T12:30:00"/>
    <x v="3"/>
    <s v=" RainyDayBluesHighSchool "/>
    <s v="RainyDayBluesHighSchool"/>
    <x v="3"/>
    <x v="0"/>
    <s v=" #BadLuck #HighSchoolWeather "/>
    <n v="18"/>
    <n v="35"/>
    <s v=" USA"/>
    <x v="0"/>
    <n v="2023"/>
    <x v="8"/>
    <n v="20"/>
    <n v="12"/>
    <x v="0"/>
  </r>
  <r>
    <s v="Missing an important event due to unforeseen circumstances. A day filled with sadness. "/>
    <s v="Missing an important event due to unforeseen circumstances. A day filled with sadness.."/>
    <s v=" Sad "/>
    <x v="187"/>
    <d v="2023-09-21T16:45:00"/>
    <x v="4"/>
    <s v=" MissedOpportunityHighSchool "/>
    <s v="MissedOpportunityHighSchool"/>
    <x v="1"/>
    <x v="1"/>
    <s v=" #MissedChances #HighSchoolRegret "/>
    <n v="20"/>
    <n v="39"/>
    <s v=" Canada"/>
    <x v="1"/>
    <n v="2023"/>
    <x v="8"/>
    <n v="21"/>
    <n v="16"/>
    <x v="0"/>
  </r>
  <r>
    <s v="Dealing with unfounded rumors circulating about personal life. Rumors can be hurtful. "/>
    <s v="Dealing with unfounded rumors circulating about personal life. Rumors can be hurtful.."/>
    <s v=" Hate "/>
    <x v="188"/>
    <d v="2023-09-22T18:20:00"/>
    <x v="5"/>
    <s v=" RumorVictimHighSchool "/>
    <s v="RumorVictimHighSchool"/>
    <x v="2"/>
    <x v="2"/>
    <s v=" #RumorMills #HighSchoolDrama "/>
    <n v="23"/>
    <n v="46"/>
    <s v=" UK"/>
    <x v="2"/>
    <n v="2023"/>
    <x v="8"/>
    <n v="22"/>
    <n v="18"/>
    <x v="0"/>
  </r>
  <r>
    <s v="Got a flat tire on the way to an important meeting. Talk about a series of bad events! "/>
    <s v="Got a flat tire on the way to an important meeting. Talk about a series of bad events."/>
    <s v=" Bad "/>
    <x v="189"/>
    <d v="2023-09-23T14:15:00"/>
    <x v="6"/>
    <s v=" FlatTireWoesHighSchool "/>
    <s v="FlatTireWoesHighSchool"/>
    <x v="3"/>
    <x v="0"/>
    <s v=" #BadLuckDay #HighSchoolStruggles "/>
    <n v="25"/>
    <n v="50"/>
    <s v=" USA"/>
    <x v="0"/>
    <n v="2023"/>
    <x v="8"/>
    <n v="23"/>
    <n v="14"/>
    <x v="0"/>
  </r>
  <r>
    <s v="Feeling a sense of emptiness after a close friend moves away. Farewells are always sad. "/>
    <s v="Feeling a sense of emptiness after a close friend moves away. Farewells are always sad.."/>
    <s v=" Sad "/>
    <x v="187"/>
    <d v="2023-09-24T17:30:00"/>
    <x v="0"/>
    <s v=" FriendMovingAwayHighSchool "/>
    <s v="FriendMovingAwayHighSchool"/>
    <x v="1"/>
    <x v="1"/>
    <s v=" #SayingGoodbye #HighSchoolEmotions "/>
    <n v="21"/>
    <n v="42"/>
    <s v=" Canada"/>
    <x v="1"/>
    <n v="2023"/>
    <x v="8"/>
    <n v="24"/>
    <n v="17"/>
    <x v="0"/>
  </r>
  <r>
    <s v="Facing rejection from a dream college. Disheartened but determined to explore other paths. "/>
    <s v="Facing rejection from a dream college. Disheartened but determined to explore other paths.."/>
    <s v=" Sad "/>
    <x v="187"/>
    <d v="2023-09-25T20:45:00"/>
    <x v="1"/>
    <s v=" CollegeRejectionHighSchool "/>
    <s v="CollegeRejectionHighSchool"/>
    <x v="2"/>
    <x v="2"/>
    <s v=" #CollegeDreams #HighSchoolJourney "/>
    <n v="19"/>
    <n v="37"/>
    <s v=" UK"/>
    <x v="2"/>
    <n v="2023"/>
    <x v="8"/>
    <n v="25"/>
    <n v="20"/>
    <x v="0"/>
  </r>
  <r>
    <s v="Encountering online toxicity during a gaming session. Hateful comments can ruin the fun. "/>
    <s v="Encountering online toxicity during a gaming session. Hateful comments can ruin the fun.."/>
    <s v=" Hate "/>
    <x v="188"/>
    <d v="2023-09-26T14:15:00"/>
    <x v="2"/>
    <s v=" GamingToxicityHighSchool "/>
    <s v="GamingToxicityHighSchool"/>
    <x v="3"/>
    <x v="0"/>
    <s v=" #OnlineGaming #HighSchoolGamer "/>
    <n v="16"/>
    <n v="32"/>
    <s v=" USA"/>
    <x v="0"/>
    <n v="2023"/>
    <x v="8"/>
    <n v="26"/>
    <n v="14"/>
    <x v="0"/>
  </r>
  <r>
    <s v="Having a bad hair day and feeling self-conscious. Bad hair days can affect confidence. "/>
    <s v="Having a bad hair day and feeling self-conscious. Bad hair days can affect confidence.."/>
    <s v=" Bad "/>
    <x v="189"/>
    <d v="2023-09-27T17:30:00"/>
    <x v="3"/>
    <s v=" BadHairDayBluesHighSchool "/>
    <s v="BadHairDayBluesHighSchool"/>
    <x v="1"/>
    <x v="1"/>
    <s v=" #BadHairDay #HighSchoolConfidence "/>
    <n v="18"/>
    <n v="36"/>
    <s v=" Canada"/>
    <x v="1"/>
    <n v="2023"/>
    <x v="8"/>
    <n v="27"/>
    <n v="17"/>
    <x v="0"/>
  </r>
  <r>
    <s v="Feeling a sense of despair after a major project failure. Hard work didn't pay off this time. "/>
    <s v="Feeling a sense of despair after a major project failure. Hard work didn't pay off this time.."/>
    <s v=" Sad "/>
    <x v="187"/>
    <d v="2023-09-28T22:00:00"/>
    <x v="4"/>
    <s v=" ProjectFailureDespairHighSchool "/>
    <s v="ProjectFailureDespairHighSchool"/>
    <x v="2"/>
    <x v="2"/>
    <s v=" #ProjectStruggles #HighSchoolHardships "/>
    <n v="21"/>
    <n v="41"/>
    <s v=" UK"/>
    <x v="2"/>
    <n v="2023"/>
    <x v="8"/>
    <n v="28"/>
    <n v="22"/>
    <x v="0"/>
  </r>
  <r>
    <s v="Experiencing hate comments for expressing personal opinions. Online negativity prevails. "/>
    <s v="Experiencing hate comments for expressing personal opinions. Online negativity prevails.."/>
    <s v=" Hate "/>
    <x v="188"/>
    <d v="2023-09-29T15:45:00"/>
    <x v="5"/>
    <s v=" OpinionsHateHighSchool "/>
    <s v="OpinionsHateHighSchool"/>
    <x v="3"/>
    <x v="0"/>
    <s v=" #OnlineOpinions #HighSchoolCriticism "/>
    <n v="24"/>
    <n v="48"/>
    <s v=" USA"/>
    <x v="0"/>
    <n v="2023"/>
    <x v="8"/>
    <n v="29"/>
    <n v="15"/>
    <x v="0"/>
  </r>
  <r>
    <s v="Having a string of bad luck with constant technology malfunctions. Tech troubles galore! "/>
    <s v="Having a string of bad luck with constant technology malfunctions. Tech troubles galore."/>
    <s v=" Bad "/>
    <x v="189"/>
    <d v="2023-09-30T18:20:00"/>
    <x v="6"/>
    <s v=" TechMalfunctionWoesHighSchool "/>
    <s v="TechMalfunctionWoesHighSchool"/>
    <x v="1"/>
    <x v="1"/>
    <s v=" #TechIssues #HighSchoolTech "/>
    <n v="22"/>
    <n v="43"/>
    <s v=" Canada"/>
    <x v="1"/>
    <n v="2023"/>
    <x v="8"/>
    <n v="30"/>
    <n v="18"/>
    <x v="0"/>
  </r>
  <r>
    <s v="Missing out on a long-anticipated event due to unexpected circumstances. A day filled with sadness. "/>
    <s v="Missing out on a long-anticipated event due to unexpected circumstances. A day filled with sadness.."/>
    <s v=" Sad "/>
    <x v="187"/>
    <d v="2023-10-01T14:15:00"/>
    <x v="0"/>
    <s v=" MissedEventBluesHighSchool "/>
    <s v="MissedEventBluesHighSchool"/>
    <x v="2"/>
    <x v="2"/>
    <s v=" #MissedMoments #HighSchoolRegret "/>
    <n v="20"/>
    <n v="39"/>
    <s v=" UK"/>
    <x v="2"/>
    <n v="2023"/>
    <x v="10"/>
    <n v="1"/>
    <n v="14"/>
    <x v="0"/>
  </r>
  <r>
    <s v="Trying out a new study technique for upcoming exams. Exploring different learning strategies. "/>
    <s v="Trying out a new study technique for upcoming exams. Exploring different learning strategies.."/>
    <s v=" Neutral "/>
    <x v="2"/>
    <d v="2023-10-02T16:45:00"/>
    <x v="1"/>
    <s v=" StudyTechniqueExperimentHighSchool "/>
    <s v="StudyTechniqueExperimentHighSchool"/>
    <x v="1"/>
    <x v="1"/>
    <s v=" #StudyStrategies #HighSchoolExams "/>
    <n v="23"/>
    <n v="42"/>
    <s v=" USA"/>
    <x v="0"/>
    <n v="2023"/>
    <x v="10"/>
    <n v="2"/>
    <n v="16"/>
    <x v="0"/>
  </r>
  <r>
    <s v="Organizing a community cleanup event for a cleaner neighborhood. Promoting environmental awareness. "/>
    <s v="Organizing a community cleanup event for a cleaner neighborhood. Promoting environmental awareness.."/>
    <s v=" Neutral "/>
    <x v="2"/>
    <d v="2023-10-03T12:30:00"/>
    <x v="2"/>
    <s v=" CommunityCleanupHighSchool "/>
    <s v="CommunityCleanupHighSchool"/>
    <x v="3"/>
    <x v="0"/>
    <s v=" #EnvironmentalEfforts #HighSchoolCommunity "/>
    <n v="26"/>
    <n v="50"/>
    <s v=" Canada"/>
    <x v="1"/>
    <n v="2023"/>
    <x v="10"/>
    <n v="3"/>
    <n v="12"/>
    <x v="0"/>
  </r>
  <r>
    <s v="Sharing favorite book recommendations with classmates. Building a mini book club. "/>
    <s v="Sharing favorite book recommendations with classmates. Building a mini book club.."/>
    <s v=" Neutral "/>
    <x v="2"/>
    <d v="2023-10-04T18:20:00"/>
    <x v="3"/>
    <s v=" BookRecommendationsHighSchool "/>
    <s v="BookRecommendationsHighSchool"/>
    <x v="2"/>
    <x v="2"/>
    <s v=" #BookClub #HighSchoolReads "/>
    <n v="19"/>
    <n v="38"/>
    <s v=" UK"/>
    <x v="2"/>
    <n v="2023"/>
    <x v="10"/>
    <n v="4"/>
    <n v="18"/>
    <x v="0"/>
  </r>
  <r>
    <s v="Experimenting with a new recipe for a school bake sale. Baking adventures in the kitchen. "/>
    <s v="Experimenting with a new recipe for a school bake sale. Baking adventures in the kitchen.."/>
    <s v=" Neutral "/>
    <x v="2"/>
    <d v="2023-10-05T14:15:00"/>
    <x v="4"/>
    <s v=" BakeSaleRecipeExperimentHighSchool "/>
    <s v="BakeSaleRecipeExperimentHighSchool"/>
    <x v="1"/>
    <x v="1"/>
    <s v=" #BakingAdventures #HighSchoolBakes "/>
    <n v="21"/>
    <n v="43"/>
    <s v=" USA"/>
    <x v="0"/>
    <n v="2023"/>
    <x v="10"/>
    <n v="5"/>
    <n v="14"/>
    <x v="0"/>
  </r>
  <r>
    <s v="Collaborating on a school project with peers. Teamwork makes the dream work. "/>
    <s v="Collaborating on a school project with peers. Teamwork makes the dream work.."/>
    <s v=" Neutral "/>
    <x v="2"/>
    <d v="2023-10-06T17:30:00"/>
    <x v="5"/>
    <s v=" SchoolProjectCollaborationHighSchool "/>
    <s v="SchoolProjectCollaborationHighSchool"/>
    <x v="3"/>
    <x v="0"/>
    <s v=" #Teamwork #HighSchoolProjects "/>
    <n v="18"/>
    <n v="36"/>
    <s v=" Canada"/>
    <x v="1"/>
    <n v="2023"/>
    <x v="10"/>
    <n v="6"/>
    <n v="17"/>
    <x v="0"/>
  </r>
  <r>
    <s v="Attending a school club meeting to explore new interests. Dabbling in extracurricular activities. "/>
    <s v="Attending a school club meeting to explore new interests. Dabbling in extracurricular activities.."/>
    <s v=" Neutral "/>
    <x v="2"/>
    <d v="2023-10-07T20:45:00"/>
    <x v="6"/>
    <s v=" ExtracurricularExplorationHighSchool "/>
    <s v="ExtracurricularExplorationHighSchool"/>
    <x v="1"/>
    <x v="1"/>
    <s v=" #SchoolClubs #HighSchoolInterests "/>
    <n v="22"/>
    <n v="45"/>
    <s v=" UK"/>
    <x v="2"/>
    <n v="2023"/>
    <x v="10"/>
    <n v="7"/>
    <n v="20"/>
    <x v="0"/>
  </r>
  <r>
    <s v="Exploring a new part-time job opportunity for gaining work experience. Career development in progress. "/>
    <s v="Exploring a new part-time job opportunity for gaining work experience. Career development in progress.."/>
    <s v=" Neutral "/>
    <x v="2"/>
    <d v="2023-10-08T15:15:00"/>
    <x v="0"/>
    <s v=" PartTimeJobExplorationHighSchool "/>
    <s v="PartTimeJobExplorationHighSchool"/>
    <x v="2"/>
    <x v="2"/>
    <s v=" #CareerDevelopment #HighSchoolJobs "/>
    <n v="24"/>
    <n v="48"/>
    <s v=" USA"/>
    <x v="0"/>
    <n v="2023"/>
    <x v="10"/>
    <n v="8"/>
    <n v="15"/>
    <x v="0"/>
  </r>
  <r>
    <s v="Attending a school assembly to stay informed about upcoming events and announcements. Staying connected with school activities. "/>
    <s v="Attending a school assembly to stay informed about upcoming events and announcements. Staying connected with school activities.."/>
    <s v=" Neutral "/>
    <x v="2"/>
    <d v="2023-10-09T22:00:00"/>
    <x v="1"/>
    <s v=" SchoolAssemblyParticipationHighSchool "/>
    <s v="SchoolAssemblyParticipationHighSchool"/>
    <x v="3"/>
    <x v="0"/>
    <s v=" #SchoolEvents #HighSchoolConnectivity "/>
    <n v="20"/>
    <n v="40"/>
    <s v=" Canada"/>
    <x v="1"/>
    <n v="2023"/>
    <x v="10"/>
    <n v="9"/>
    <n v="22"/>
    <x v="0"/>
  </r>
  <r>
    <s v="Exploring a new hobby of photography during free time. Capturing moments through a lens. "/>
    <s v="Exploring a new hobby of photography during free time. Capturing moments through a lens.."/>
    <s v=" Neutral "/>
    <x v="2"/>
    <d v="2023-10-10T14:15:00"/>
    <x v="2"/>
    <s v=" PhotographyHobbyHighSchool "/>
    <s v="PhotographyHobbyHighSchool"/>
    <x v="1"/>
    <x v="1"/>
    <s v=" #PhotographyJourney #HighSchoolHobbies "/>
    <n v="25"/>
    <n v="49"/>
    <s v=" UK"/>
    <x v="2"/>
    <n v="2023"/>
    <x v="10"/>
    <n v="10"/>
    <n v="14"/>
    <x v="0"/>
  </r>
  <r>
    <s v="Participating in a science fair to showcase a unique experiment. Sharing knowledge with peers. "/>
    <s v="Participating in a science fair to showcase a unique experiment. Sharing knowledge with peers.."/>
    <s v=" Neutral "/>
    <x v="2"/>
    <d v="2023-10-11T16:45:00"/>
    <x v="3"/>
    <s v=" ScienceFairParticipationHighSchool "/>
    <s v="ScienceFairParticipationHighSchool"/>
    <x v="2"/>
    <x v="2"/>
    <s v=" #ScienceFair #HighSchoolScience "/>
    <n v="19"/>
    <n v="37"/>
    <s v=" USA"/>
    <x v="0"/>
    <n v="2023"/>
    <x v="10"/>
    <n v="11"/>
    <n v="16"/>
    <x v="0"/>
  </r>
  <r>
    <s v="Attending a workshop on time management to enhance organizational skills. Striving for efficiency. "/>
    <s v="Attending a workshop on time management to enhance organizational skills. Striving for efficiency.."/>
    <s v=" Neutral "/>
    <x v="2"/>
    <d v="2023-10-12T18:20:00"/>
    <x v="4"/>
    <s v=" TimeManagementWorkshopHighSchool "/>
    <s v="TimeManagementWorkshopHighSchool"/>
    <x v="3"/>
    <x v="0"/>
    <s v=" #EfficiencyGoals #HighSchoolSkills "/>
    <n v="23"/>
    <n v="44"/>
    <s v=" Canada"/>
    <x v="1"/>
    <n v="2023"/>
    <x v="10"/>
    <n v="12"/>
    <n v="18"/>
    <x v="0"/>
  </r>
  <r>
    <s v="Volunteering at a local charity event to give back to the community. Contributing to social causes. "/>
    <s v="Volunteering at a local charity event to give back to the community. Contributing to social causes.."/>
    <s v=" Neutral "/>
    <x v="2"/>
    <d v="2023-10-13T12:30:00"/>
    <x v="5"/>
    <s v=" CharityEventVolunteerHighSchool "/>
    <s v="CharityEventVolunteerHighSchool"/>
    <x v="1"/>
    <x v="1"/>
    <s v=" #CommunityService #HighSchoolVolunteer "/>
    <n v="20"/>
    <n v="39"/>
    <s v=" UK"/>
    <x v="2"/>
    <n v="2023"/>
    <x v="10"/>
    <n v="13"/>
    <n v="12"/>
    <x v="0"/>
  </r>
  <r>
    <s v="Collaborating on a group project to promote teamwork and shared responsibilities. Group effort in action. "/>
    <s v="Collaborating on a group project to promote teamwork and shared responsibilities. Group effort in action.."/>
    <s v=" Neutral "/>
    <x v="2"/>
    <d v="2023-10-14T17:30:00"/>
    <x v="6"/>
    <s v=" GroupProjectCollaborationHighSchool "/>
    <s v="GroupProjectCollaborationHighSchool"/>
    <x v="2"/>
    <x v="2"/>
    <s v=" #TeamSpirit #HighSchoolProjects "/>
    <n v="18"/>
    <n v="35"/>
    <s v=" USA"/>
    <x v="0"/>
    <n v="2023"/>
    <x v="10"/>
    <n v="14"/>
    <n v="17"/>
    <x v="0"/>
  </r>
  <r>
    <s v="Participating in a debate club to enhance critical thinking and communication skills. Intellectual engagement in progress. "/>
    <s v="Participating in a debate club to enhance critical thinking and communication skills. Intellectual engagement in progress.."/>
    <s v=" Neutral "/>
    <x v="2"/>
    <d v="2023-10-15T20:45:00"/>
    <x v="0"/>
    <s v=" DebateClubParticipationHighSchool "/>
    <s v="DebateClubParticipationHighSchool"/>
    <x v="3"/>
    <x v="0"/>
    <s v=" #DebateSkills #HighSchoolIntellect "/>
    <n v="22"/>
    <n v="43"/>
    <s v=" Canada"/>
    <x v="1"/>
    <n v="2023"/>
    <x v="10"/>
    <n v="15"/>
    <n v="20"/>
    <x v="0"/>
  </r>
  <r>
    <s v="Celebrating a friend's birthday with a surprise party. Joyful moments and laughter all around! "/>
    <s v="Celebrating a friend's birthday with a surprise party. Joyful moments and laughter all around."/>
    <s v=" Happy "/>
    <x v="190"/>
    <d v="2023-10-16T15:45:00"/>
    <x v="1"/>
    <s v=" BirthdaySurpriseHighSchool "/>
    <s v="BirthdaySurpriseHighSchool"/>
    <x v="1"/>
    <x v="1"/>
    <s v=" #SurpriseParty #HighSchoolCelebration "/>
    <n v="27"/>
    <n v="52"/>
    <s v=" UK"/>
    <x v="2"/>
    <n v="2023"/>
    <x v="10"/>
    <n v="16"/>
    <n v="15"/>
    <x v="0"/>
  </r>
  <r>
    <s v="Successfully completing a challenging coding project. Excitement for overcoming coding hurdles! "/>
    <s v="Successfully completing a challenging coding project. Excitement for overcoming coding hurdles."/>
    <s v=" Happy "/>
    <x v="190"/>
    <d v="2023-10-17T12:30:00"/>
    <x v="2"/>
    <s v=" CodingSuccessHighSchool "/>
    <s v="CodingSuccessHighSchool"/>
    <x v="3"/>
    <x v="0"/>
    <s v=" #CodingTriumph #HighSchoolTech "/>
    <n v="24"/>
    <n v="48"/>
    <s v=" USA"/>
    <x v="0"/>
    <n v="2023"/>
    <x v="10"/>
    <n v="17"/>
    <n v="12"/>
    <x v="0"/>
  </r>
  <r>
    <s v="Attending a school talent show to support classmates. Applauding the diverse talents on display! "/>
    <s v="Attending a school talent show to support classmates. Applauding the diverse talents on display."/>
    <s v=" Happy "/>
    <x v="190"/>
    <d v="2023-10-18T16:45:00"/>
    <x v="3"/>
    <s v=" TalentShowSupportHighSchool "/>
    <s v="TalentShowSupportHighSchool"/>
    <x v="2"/>
    <x v="2"/>
    <s v=" #TalentShow #HighSchoolEntertainment "/>
    <n v="19"/>
    <n v="38"/>
    <s v=" Canada"/>
    <x v="1"/>
    <n v="2023"/>
    <x v="10"/>
    <n v="18"/>
    <n v="16"/>
    <x v="0"/>
  </r>
  <r>
    <s v="Exploring a new hiking trail with friends over the weekend. Nature, laughter, and good vibes! "/>
    <s v="Exploring a new hiking trail with friends over the weekend. Nature, laughter, and good vibes."/>
    <s v=" Happy "/>
    <x v="190"/>
    <d v="2023-10-19T18:20:00"/>
    <x v="4"/>
    <s v=" WeekendHikeHighSchool "/>
    <s v="WeekendHikeHighSchool"/>
    <x v="1"/>
    <x v="1"/>
    <s v=" #NatureAdventures #HighSchoolFriends "/>
    <n v="21"/>
    <n v="42"/>
    <s v=" UK"/>
    <x v="2"/>
    <n v="2023"/>
    <x v="10"/>
    <n v="19"/>
    <n v="18"/>
    <x v="0"/>
  </r>
  <r>
    <s v="Winning a friendly sports competition against rival schools. Victory celebrations in full swing! "/>
    <s v="Winning a friendly sports competition against rival schools. Victory celebrations in full swing."/>
    <s v=" Happy "/>
    <x v="190"/>
    <d v="2023-10-20T14:15:00"/>
    <x v="5"/>
    <s v=" SportsVictoryHighSchool "/>
    <s v="SportsVictoryHighSchool"/>
    <x v="3"/>
    <x v="0"/>
    <s v=" #SportsTriumph #HighSchoolAthletics "/>
    <n v="26"/>
    <n v="50"/>
    <s v=" USA"/>
    <x v="0"/>
    <n v="2023"/>
    <x v="10"/>
    <n v="20"/>
    <n v="14"/>
    <x v="0"/>
  </r>
  <r>
    <s v="Receiving a heartfelt letter from a pen pal in another country. Connecting across the globe! "/>
    <s v="Receiving a heartfelt letter from a pen pal in another country. Connecting across the globe."/>
    <s v=" Happy "/>
    <x v="190"/>
    <d v="2023-10-21T17:30:00"/>
    <x v="6"/>
    <s v=" PenPalConnectionHighSchool "/>
    <s v="PenPalConnectionHighSchool"/>
    <x v="2"/>
    <x v="2"/>
    <s v=" #GlobalFriendship #HighSchoolCorrespondence "/>
    <n v="23"/>
    <n v="45"/>
    <s v=" Canada"/>
    <x v="1"/>
    <n v="2023"/>
    <x v="10"/>
    <n v="21"/>
    <n v="17"/>
    <x v="0"/>
  </r>
  <r>
    <s v="Creating a beautiful mural with fellow art enthusiasts. The power of collaboration and creativity! "/>
    <s v="Creating a beautiful mural with fellow art enthusiasts. The power of collaboration and creativity."/>
    <s v=" Happy "/>
    <x v="190"/>
    <d v="2023-10-22T20:45:00"/>
    <x v="0"/>
    <s v=" MuralCreationHighSchool "/>
    <s v="MuralCreationHighSchool"/>
    <x v="1"/>
    <x v="1"/>
    <s v=" #ArtCollaboration #HighSchoolCreativity "/>
    <n v="22"/>
    <n v="43"/>
    <s v=" UK"/>
    <x v="2"/>
    <n v="2023"/>
    <x v="10"/>
    <n v="22"/>
    <n v="20"/>
    <x v="0"/>
  </r>
  <r>
    <s v="Participating in a school-wide art exhibition. Witnessing creativity and spreading positive vibes! "/>
    <s v="Participating in a school-wide art exhibition. Witnessing creativity and spreading positive vibes."/>
    <s v=" Happy "/>
    <x v="190"/>
    <d v="2015-11-10T16:45:00"/>
    <x v="2"/>
    <s v=" ArtExhibitionJoyHighSchool "/>
    <s v="ArtExhibitionJoyHighSchool"/>
    <x v="1"/>
    <x v="1"/>
    <s v=" #ArtisticExpression #HighSchoolCreativity "/>
    <n v="23"/>
    <n v="44"/>
    <s v=" USA"/>
    <x v="0"/>
    <n v="2015"/>
    <x v="6"/>
    <n v="10"/>
    <n v="16"/>
    <x v="0"/>
  </r>
  <r>
    <s v="Achieving a personal best in a track and field competition. The thrill of victory and self-improvement! "/>
    <s v="Achieving a personal best in a track and field competition. The thrill of victory and self-improvement."/>
    <s v=" Happy "/>
    <x v="190"/>
    <d v="2016-09-14T12:30:00"/>
    <x v="3"/>
    <s v=" TrackFieldSuccessHighSchool "/>
    <s v="TrackFieldSuccessHighSchool"/>
    <x v="3"/>
    <x v="0"/>
    <s v=" #AthleticAchievement #HighSchoolSports "/>
    <n v="26"/>
    <n v="51"/>
    <s v=" Canada"/>
    <x v="1"/>
    <n v="2016"/>
    <x v="8"/>
    <n v="14"/>
    <n v="12"/>
    <x v="0"/>
  </r>
  <r>
    <s v="Collaborating on a science project that received recognition at a regional fair. Science triumphs and smiles! "/>
    <s v="Collaborating on a science project that received recognition at a regional fair. Science triumphs and smiles."/>
    <s v=" Happy "/>
    <x v="190"/>
    <d v="2017-08-18T18:20:00"/>
    <x v="5"/>
    <s v=" ScienceProjectSuccessHighSchool "/>
    <s v="ScienceProjectSuccessHighSchool"/>
    <x v="2"/>
    <x v="2"/>
    <s v=" #ScienceFairWinner #HighSchoolScience "/>
    <n v="20"/>
    <n v="39"/>
    <s v=" UK"/>
    <x v="2"/>
    <n v="2017"/>
    <x v="4"/>
    <n v="18"/>
    <n v="18"/>
    <x v="0"/>
  </r>
  <r>
    <s v="Attending a surprise birthday party organized by friends. Surrounded by love, laughter, and good company! "/>
    <s v="Attending a surprise birthday party organized by friends. Surrounded by love, laughter, and good company."/>
    <s v=" Happy "/>
    <x v="190"/>
    <d v="2018-06-22T14:15:00"/>
    <x v="5"/>
    <s v=" BirthdayPartyJoyHighSchool "/>
    <s v="BirthdayPartyJoyHighSchool"/>
    <x v="1"/>
    <x v="1"/>
    <s v=" #SurpriseCelebration #HighSchoolFriendship "/>
    <n v="25"/>
    <n v="48"/>
    <s v=" USA"/>
    <x v="0"/>
    <n v="2018"/>
    <x v="5"/>
    <n v="22"/>
    <n v="14"/>
    <x v="0"/>
  </r>
  <r>
    <s v="Successfully fundraising for a school charity initiative. The joy of giving back to the community! "/>
    <s v="Successfully fundraising for a school charity initiative. The joy of giving back to the community."/>
    <s v=" Happy "/>
    <x v="190"/>
    <d v="2019-04-05T17:30:00"/>
    <x v="5"/>
    <s v=" CharityFundraisingTriumphHighSchool "/>
    <s v="CharityFundraisingTriumphHighSchool"/>
    <x v="3"/>
    <x v="0"/>
    <s v=" #CommunityGiving #HighSchoolPhilanthropy "/>
    <n v="22"/>
    <n v="42"/>
    <s v=" Canada"/>
    <x v="1"/>
    <n v="2019"/>
    <x v="7"/>
    <n v="5"/>
    <n v="17"/>
    <x v="0"/>
  </r>
  <r>
    <s v="Participating in a multicultural festival, celebrating diversity with music, dance, and delicious food! "/>
    <s v="Participating in a multicultural festival, celebrating diversity with music, dance, and delicious food."/>
    <s v=" Happy "/>
    <x v="190"/>
    <d v="2020-02-29T20:45:00"/>
    <x v="6"/>
    <s v=" MulticulturalFestivalJoyHighSchool "/>
    <s v="MulticulturalFestivalJoyHighSchool"/>
    <x v="2"/>
    <x v="2"/>
    <s v=" #CulturalCelebration #HighSchoolUnity "/>
    <n v="21"/>
    <n v="43"/>
    <s v=" UK"/>
    <x v="2"/>
    <n v="2020"/>
    <x v="1"/>
    <n v="29"/>
    <n v="20"/>
    <x v="0"/>
  </r>
  <r>
    <s v="Organizing a virtual talent show during challenging times, bringing smiles to classmates' faces! "/>
    <s v="Organizing a virtual talent show during challenging times, bringing smiles to classmates' faces."/>
    <s v=" Happy "/>
    <x v="190"/>
    <d v="2020-11-15T15:15:00"/>
    <x v="0"/>
    <s v=" VirtualTalentShowSuccessHighSchool "/>
    <s v="VirtualTalentShowSuccessHighSchool"/>
    <x v="1"/>
    <x v="1"/>
    <s v=" #VirtualEntertainment #HighSchoolPositivity "/>
    <n v="24"/>
    <n v="47"/>
    <s v=" USA"/>
    <x v="0"/>
    <n v="2020"/>
    <x v="6"/>
    <n v="15"/>
    <n v="15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0B0F89-E96C-47D1-A837-ABA778030046}" name="PivotTable2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C8" firstHeaderRow="0" firstDataRow="1" firstDataCol="1"/>
  <pivotFields count="21">
    <pivotField showAll="0"/>
    <pivotField showAll="0"/>
    <pivotField showAll="0"/>
    <pivotField showAll="0"/>
    <pivotField numFmtId="22" showAll="0"/>
    <pivotField showAll="0"/>
    <pivotField showAll="0"/>
    <pivotField showAll="0"/>
    <pivotField axis="axisRow" showAll="0">
      <items count="5">
        <item x="2"/>
        <item x="1"/>
        <item x="3"/>
        <item x="0"/>
        <item t="default"/>
      </items>
    </pivotField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Likes" fld="12" baseField="0" baseItem="0"/>
    <dataField name="Sum of Retweets" fld="11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22D858-E67C-4788-8637-93F861E7C869}" name="PivotTable3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B16" firstHeaderRow="1" firstDataRow="1" firstDataCol="1"/>
  <pivotFields count="21">
    <pivotField showAll="0"/>
    <pivotField showAll="0"/>
    <pivotField showAll="0"/>
    <pivotField dataField="1"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3">
        <item x="0"/>
        <item x="1"/>
        <item x="2"/>
        <item x="7"/>
        <item x="3"/>
        <item x="5"/>
        <item x="9"/>
        <item x="4"/>
        <item x="8"/>
        <item x="10"/>
        <item x="6"/>
        <item x="11"/>
        <item t="default"/>
      </items>
    </pivotField>
    <pivotField showAll="0"/>
    <pivotField showAll="0"/>
    <pivotField showAll="0">
      <items count="2">
        <item x="0"/>
        <item t="default"/>
      </items>
    </pivotField>
    <pivotField dragToRow="0" dragToCol="0" dragToPage="0" showAll="0" defaultSubtotal="0"/>
  </pivotFields>
  <rowFields count="1">
    <field x="16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Count of Cleaned Sentiment" fld="3" subtotal="count" baseField="0" baseItem="0"/>
  </dataFields>
  <chartFormats count="2">
    <chartFormat chart="6" format="57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9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D17AC9-F649-4ABF-8508-2841F53398AF}" name="PivotTable1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D7" firstHeaderRow="0" firstDataRow="1" firstDataCol="1"/>
  <pivotFields count="21">
    <pivotField showAll="0"/>
    <pivotField showAll="0"/>
    <pivotField showAll="0"/>
    <pivotField showAll="0"/>
    <pivotField numFmtId="22"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9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Retweets" fld="11" baseField="0" baseItem="0"/>
    <dataField name="Sum of Likes" fld="12" baseField="0" baseItem="0"/>
    <dataField name="Sum of Total Engagement" fld="20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D32B68-0EE3-40AC-8025-A12711571CF2}" name="PivotTable2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3:GK10" firstHeaderRow="1" firstDataRow="2" firstDataCol="1"/>
  <pivotFields count="21">
    <pivotField showAll="0"/>
    <pivotField showAll="0"/>
    <pivotField showAll="0"/>
    <pivotField axis="axisCol" dataField="1" showAll="0">
      <items count="192">
        <item x="17"/>
        <item x="91"/>
        <item x="12"/>
        <item x="18"/>
        <item x="114"/>
        <item x="108"/>
        <item x="13"/>
        <item x="142"/>
        <item x="57"/>
        <item x="10"/>
        <item x="3"/>
        <item x="19"/>
        <item x="47"/>
        <item x="89"/>
        <item x="72"/>
        <item x="36"/>
        <item x="115"/>
        <item x="14"/>
        <item x="189"/>
        <item x="122"/>
        <item x="20"/>
        <item x="69"/>
        <item x="80"/>
        <item x="87"/>
        <item x="46"/>
        <item x="169"/>
        <item x="21"/>
        <item x="144"/>
        <item x="149"/>
        <item x="179"/>
        <item x="167"/>
        <item x="150"/>
        <item x="152"/>
        <item x="34"/>
        <item x="64"/>
        <item x="90"/>
        <item x="68"/>
        <item x="22"/>
        <item x="154"/>
        <item x="84"/>
        <item x="29"/>
        <item x="107"/>
        <item x="180"/>
        <item x="103"/>
        <item x="175"/>
        <item x="116"/>
        <item x="52"/>
        <item x="130"/>
        <item x="113"/>
        <item x="133"/>
        <item x="40"/>
        <item x="131"/>
        <item x="58"/>
        <item x="75"/>
        <item x="15"/>
        <item x="126"/>
        <item x="6"/>
        <item x="78"/>
        <item x="98"/>
        <item x="151"/>
        <item x="27"/>
        <item x="99"/>
        <item x="185"/>
        <item x="147"/>
        <item x="124"/>
        <item x="63"/>
        <item x="33"/>
        <item x="94"/>
        <item x="148"/>
        <item x="157"/>
        <item x="11"/>
        <item x="37"/>
        <item x="77"/>
        <item x="171"/>
        <item x="50"/>
        <item x="28"/>
        <item x="23"/>
        <item x="128"/>
        <item x="141"/>
        <item x="4"/>
        <item x="71"/>
        <item x="110"/>
        <item x="112"/>
        <item x="66"/>
        <item x="139"/>
        <item x="76"/>
        <item x="45"/>
        <item x="38"/>
        <item x="146"/>
        <item x="62"/>
        <item x="31"/>
        <item x="41"/>
        <item x="7"/>
        <item x="190"/>
        <item x="102"/>
        <item x="188"/>
        <item x="135"/>
        <item x="121"/>
        <item x="161"/>
        <item x="49"/>
        <item x="32"/>
        <item x="60"/>
        <item x="153"/>
        <item x="155"/>
        <item x="172"/>
        <item x="118"/>
        <item x="53"/>
        <item x="111"/>
        <item x="82"/>
        <item x="67"/>
        <item x="48"/>
        <item x="95"/>
        <item x="125"/>
        <item x="74"/>
        <item x="43"/>
        <item x="156"/>
        <item x="8"/>
        <item x="170"/>
        <item x="85"/>
        <item x="24"/>
        <item x="138"/>
        <item x="42"/>
        <item x="134"/>
        <item x="127"/>
        <item x="9"/>
        <item x="120"/>
        <item x="55"/>
        <item x="109"/>
        <item x="174"/>
        <item x="97"/>
        <item x="166"/>
        <item x="186"/>
        <item x="83"/>
        <item x="178"/>
        <item x="1"/>
        <item x="2"/>
        <item x="56"/>
        <item x="54"/>
        <item x="162"/>
        <item x="182"/>
        <item x="93"/>
        <item x="81"/>
        <item x="73"/>
        <item x="101"/>
        <item x="65"/>
        <item x="96"/>
        <item x="0"/>
        <item x="137"/>
        <item x="164"/>
        <item x="25"/>
        <item x="61"/>
        <item x="104"/>
        <item x="88"/>
        <item x="51"/>
        <item x="106"/>
        <item x="184"/>
        <item x="165"/>
        <item x="44"/>
        <item x="117"/>
        <item x="39"/>
        <item x="143"/>
        <item x="132"/>
        <item x="181"/>
        <item x="187"/>
        <item x="5"/>
        <item x="86"/>
        <item x="30"/>
        <item x="26"/>
        <item x="168"/>
        <item x="136"/>
        <item x="129"/>
        <item x="119"/>
        <item x="140"/>
        <item x="123"/>
        <item x="16"/>
        <item x="159"/>
        <item x="163"/>
        <item x="35"/>
        <item x="79"/>
        <item x="177"/>
        <item x="158"/>
        <item x="145"/>
        <item x="160"/>
        <item x="173"/>
        <item x="100"/>
        <item x="183"/>
        <item x="176"/>
        <item x="105"/>
        <item x="92"/>
        <item x="70"/>
        <item x="59"/>
        <item t="default"/>
      </items>
    </pivotField>
    <pivotField numFmtId="22" showAll="0"/>
    <pivotField showAll="0" measureFilter="1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>
      <items count="34">
        <item x="3"/>
        <item x="17"/>
        <item x="18"/>
        <item x="6"/>
        <item x="25"/>
        <item x="1"/>
        <item x="24"/>
        <item x="27"/>
        <item x="20"/>
        <item x="19"/>
        <item x="5"/>
        <item x="9"/>
        <item x="8"/>
        <item x="4"/>
        <item x="28"/>
        <item x="11"/>
        <item x="29"/>
        <item x="7"/>
        <item x="21"/>
        <item x="30"/>
        <item x="23"/>
        <item x="12"/>
        <item x="26"/>
        <item x="22"/>
        <item x="15"/>
        <item x="31"/>
        <item x="13"/>
        <item x="14"/>
        <item x="10"/>
        <item x="16"/>
        <item x="32"/>
        <item x="2"/>
        <item x="0"/>
        <item t="default"/>
      </items>
    </pivotField>
    <pivotField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14"/>
  </rowFields>
  <rowItems count="6">
    <i>
      <x/>
    </i>
    <i>
      <x v="5"/>
    </i>
    <i>
      <x v="13"/>
    </i>
    <i>
      <x v="31"/>
    </i>
    <i>
      <x v="32"/>
    </i>
    <i t="grand">
      <x/>
    </i>
  </rowItems>
  <colFields count="1">
    <field x="3"/>
  </colFields>
  <colItems count="19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 t="grand">
      <x/>
    </i>
  </colItems>
  <dataFields count="1">
    <dataField name="Count of Cleaned Sentiment" fld="3" subtotal="count" baseField="0" baseItem="0"/>
  </dataFields>
  <chartFormats count="76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1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2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3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4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5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6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7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8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9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0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1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2"/>
          </reference>
        </references>
      </pivotArea>
    </chartFormat>
    <chartFormat chart="0" format="2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3"/>
          </reference>
        </references>
      </pivotArea>
    </chartFormat>
    <chartFormat chart="0" format="2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4"/>
          </reference>
        </references>
      </pivotArea>
    </chartFormat>
    <chartFormat chart="0" format="2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5"/>
          </reference>
        </references>
      </pivotArea>
    </chartFormat>
    <chartFormat chart="0" format="2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6"/>
          </reference>
        </references>
      </pivotArea>
    </chartFormat>
    <chartFormat chart="0" format="2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7"/>
          </reference>
        </references>
      </pivotArea>
    </chartFormat>
    <chartFormat chart="0" format="2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8"/>
          </reference>
        </references>
      </pivotArea>
    </chartFormat>
    <chartFormat chart="0" format="2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9"/>
          </reference>
        </references>
      </pivotArea>
    </chartFormat>
    <chartFormat chart="0" format="3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0"/>
          </reference>
        </references>
      </pivotArea>
    </chartFormat>
    <chartFormat chart="0" format="3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1"/>
          </reference>
        </references>
      </pivotArea>
    </chartFormat>
    <chartFormat chart="0" format="3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2"/>
          </reference>
        </references>
      </pivotArea>
    </chartFormat>
    <chartFormat chart="0" format="3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3"/>
          </reference>
        </references>
      </pivotArea>
    </chartFormat>
    <chartFormat chart="0" format="3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4"/>
          </reference>
        </references>
      </pivotArea>
    </chartFormat>
    <chartFormat chart="0" format="3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5"/>
          </reference>
        </references>
      </pivotArea>
    </chartFormat>
    <chartFormat chart="0" format="3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6"/>
          </reference>
        </references>
      </pivotArea>
    </chartFormat>
    <chartFormat chart="0" format="3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7"/>
          </reference>
        </references>
      </pivotArea>
    </chartFormat>
    <chartFormat chart="0" format="3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8"/>
          </reference>
        </references>
      </pivotArea>
    </chartFormat>
    <chartFormat chart="0" format="3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9"/>
          </reference>
        </references>
      </pivotArea>
    </chartFormat>
    <chartFormat chart="0" format="4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0"/>
          </reference>
        </references>
      </pivotArea>
    </chartFormat>
    <chartFormat chart="0" format="4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1"/>
          </reference>
        </references>
      </pivotArea>
    </chartFormat>
    <chartFormat chart="0" format="4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2"/>
          </reference>
        </references>
      </pivotArea>
    </chartFormat>
    <chartFormat chart="0" format="4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3"/>
          </reference>
        </references>
      </pivotArea>
    </chartFormat>
    <chartFormat chart="0" format="4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4"/>
          </reference>
        </references>
      </pivotArea>
    </chartFormat>
    <chartFormat chart="0" format="4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5"/>
          </reference>
        </references>
      </pivotArea>
    </chartFormat>
    <chartFormat chart="0" format="4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6"/>
          </reference>
        </references>
      </pivotArea>
    </chartFormat>
    <chartFormat chart="0" format="4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7"/>
          </reference>
        </references>
      </pivotArea>
    </chartFormat>
    <chartFormat chart="0" format="4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8"/>
          </reference>
        </references>
      </pivotArea>
    </chartFormat>
    <chartFormat chart="0" format="4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9"/>
          </reference>
        </references>
      </pivotArea>
    </chartFormat>
    <chartFormat chart="0" format="5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0"/>
          </reference>
        </references>
      </pivotArea>
    </chartFormat>
    <chartFormat chart="0" format="5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1"/>
          </reference>
        </references>
      </pivotArea>
    </chartFormat>
    <chartFormat chart="0" format="5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2"/>
          </reference>
        </references>
      </pivotArea>
    </chartFormat>
    <chartFormat chart="0" format="5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3"/>
          </reference>
        </references>
      </pivotArea>
    </chartFormat>
    <chartFormat chart="0" format="5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4"/>
          </reference>
        </references>
      </pivotArea>
    </chartFormat>
    <chartFormat chart="0" format="5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5"/>
          </reference>
        </references>
      </pivotArea>
    </chartFormat>
    <chartFormat chart="0" format="5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6"/>
          </reference>
        </references>
      </pivotArea>
    </chartFormat>
    <chartFormat chart="0" format="5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7"/>
          </reference>
        </references>
      </pivotArea>
    </chartFormat>
    <chartFormat chart="0" format="5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8"/>
          </reference>
        </references>
      </pivotArea>
    </chartFormat>
    <chartFormat chart="0" format="5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9"/>
          </reference>
        </references>
      </pivotArea>
    </chartFormat>
    <chartFormat chart="0" format="6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0"/>
          </reference>
        </references>
      </pivotArea>
    </chartFormat>
    <chartFormat chart="0" format="6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1"/>
          </reference>
        </references>
      </pivotArea>
    </chartFormat>
    <chartFormat chart="0" format="6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2"/>
          </reference>
        </references>
      </pivotArea>
    </chartFormat>
    <chartFormat chart="0" format="6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3"/>
          </reference>
        </references>
      </pivotArea>
    </chartFormat>
    <chartFormat chart="0" format="6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4"/>
          </reference>
        </references>
      </pivotArea>
    </chartFormat>
    <chartFormat chart="0" format="6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5"/>
          </reference>
        </references>
      </pivotArea>
    </chartFormat>
    <chartFormat chart="0" format="6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6"/>
          </reference>
        </references>
      </pivotArea>
    </chartFormat>
    <chartFormat chart="0" format="6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7"/>
          </reference>
        </references>
      </pivotArea>
    </chartFormat>
    <chartFormat chart="0" format="6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8"/>
          </reference>
        </references>
      </pivotArea>
    </chartFormat>
    <chartFormat chart="0" format="6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9"/>
          </reference>
        </references>
      </pivotArea>
    </chartFormat>
    <chartFormat chart="0" format="7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0"/>
          </reference>
        </references>
      </pivotArea>
    </chartFormat>
    <chartFormat chart="0" format="7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1"/>
          </reference>
        </references>
      </pivotArea>
    </chartFormat>
    <chartFormat chart="0" format="7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2"/>
          </reference>
        </references>
      </pivotArea>
    </chartFormat>
    <chartFormat chart="0" format="7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3"/>
          </reference>
        </references>
      </pivotArea>
    </chartFormat>
    <chartFormat chart="0" format="7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4"/>
          </reference>
        </references>
      </pivotArea>
    </chartFormat>
    <chartFormat chart="0" format="7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5"/>
          </reference>
        </references>
      </pivotArea>
    </chartFormat>
    <chartFormat chart="0" format="7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6"/>
          </reference>
        </references>
      </pivotArea>
    </chartFormat>
    <chartFormat chart="0" format="7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7"/>
          </reference>
        </references>
      </pivotArea>
    </chartFormat>
    <chartFormat chart="0" format="7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8"/>
          </reference>
        </references>
      </pivotArea>
    </chartFormat>
    <chartFormat chart="0" format="7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9"/>
          </reference>
        </references>
      </pivotArea>
    </chartFormat>
    <chartFormat chart="0" format="8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0"/>
          </reference>
        </references>
      </pivotArea>
    </chartFormat>
    <chartFormat chart="0" format="8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1"/>
          </reference>
        </references>
      </pivotArea>
    </chartFormat>
    <chartFormat chart="0" format="8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2"/>
          </reference>
        </references>
      </pivotArea>
    </chartFormat>
    <chartFormat chart="0" format="8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3"/>
          </reference>
        </references>
      </pivotArea>
    </chartFormat>
    <chartFormat chart="0" format="8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4"/>
          </reference>
        </references>
      </pivotArea>
    </chartFormat>
    <chartFormat chart="0" format="8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5"/>
          </reference>
        </references>
      </pivotArea>
    </chartFormat>
    <chartFormat chart="0" format="8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6"/>
          </reference>
        </references>
      </pivotArea>
    </chartFormat>
    <chartFormat chart="0" format="8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7"/>
          </reference>
        </references>
      </pivotArea>
    </chartFormat>
    <chartFormat chart="0" format="8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8"/>
          </reference>
        </references>
      </pivotArea>
    </chartFormat>
    <chartFormat chart="0" format="8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9"/>
          </reference>
        </references>
      </pivotArea>
    </chartFormat>
    <chartFormat chart="0" format="9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0"/>
          </reference>
        </references>
      </pivotArea>
    </chartFormat>
    <chartFormat chart="0" format="9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1"/>
          </reference>
        </references>
      </pivotArea>
    </chartFormat>
    <chartFormat chart="0" format="9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2"/>
          </reference>
        </references>
      </pivotArea>
    </chartFormat>
    <chartFormat chart="0" format="9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3"/>
          </reference>
        </references>
      </pivotArea>
    </chartFormat>
    <chartFormat chart="0" format="9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4"/>
          </reference>
        </references>
      </pivotArea>
    </chartFormat>
    <chartFormat chart="0" format="9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5"/>
          </reference>
        </references>
      </pivotArea>
    </chartFormat>
    <chartFormat chart="0" format="9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6"/>
          </reference>
        </references>
      </pivotArea>
    </chartFormat>
    <chartFormat chart="0" format="9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7"/>
          </reference>
        </references>
      </pivotArea>
    </chartFormat>
    <chartFormat chart="0" format="9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8"/>
          </reference>
        </references>
      </pivotArea>
    </chartFormat>
    <chartFormat chart="0" format="9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9"/>
          </reference>
        </references>
      </pivotArea>
    </chartFormat>
    <chartFormat chart="0" format="10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0"/>
          </reference>
        </references>
      </pivotArea>
    </chartFormat>
    <chartFormat chart="0" format="10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1"/>
          </reference>
        </references>
      </pivotArea>
    </chartFormat>
    <chartFormat chart="0" format="10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2"/>
          </reference>
        </references>
      </pivotArea>
    </chartFormat>
    <chartFormat chart="0" format="10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3"/>
          </reference>
        </references>
      </pivotArea>
    </chartFormat>
    <chartFormat chart="0" format="10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4"/>
          </reference>
        </references>
      </pivotArea>
    </chartFormat>
    <chartFormat chart="0" format="10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5"/>
          </reference>
        </references>
      </pivotArea>
    </chartFormat>
    <chartFormat chart="0" format="10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6"/>
          </reference>
        </references>
      </pivotArea>
    </chartFormat>
    <chartFormat chart="0" format="10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7"/>
          </reference>
        </references>
      </pivotArea>
    </chartFormat>
    <chartFormat chart="0" format="10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8"/>
          </reference>
        </references>
      </pivotArea>
    </chartFormat>
    <chartFormat chart="0" format="10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9"/>
          </reference>
        </references>
      </pivotArea>
    </chartFormat>
    <chartFormat chart="0" format="1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10"/>
          </reference>
        </references>
      </pivotArea>
    </chartFormat>
    <chartFormat chart="0" format="1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11"/>
          </reference>
        </references>
      </pivotArea>
    </chartFormat>
    <chartFormat chart="0" format="11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12"/>
          </reference>
        </references>
      </pivotArea>
    </chartFormat>
    <chartFormat chart="0" format="11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13"/>
          </reference>
        </references>
      </pivotArea>
    </chartFormat>
    <chartFormat chart="0" format="11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14"/>
          </reference>
        </references>
      </pivotArea>
    </chartFormat>
    <chartFormat chart="0" format="11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15"/>
          </reference>
        </references>
      </pivotArea>
    </chartFormat>
    <chartFormat chart="0" format="11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16"/>
          </reference>
        </references>
      </pivotArea>
    </chartFormat>
    <chartFormat chart="0" format="11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17"/>
          </reference>
        </references>
      </pivotArea>
    </chartFormat>
    <chartFormat chart="0" format="11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18"/>
          </reference>
        </references>
      </pivotArea>
    </chartFormat>
    <chartFormat chart="0" format="11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19"/>
          </reference>
        </references>
      </pivotArea>
    </chartFormat>
    <chartFormat chart="0" format="12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20"/>
          </reference>
        </references>
      </pivotArea>
    </chartFormat>
    <chartFormat chart="0" format="12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21"/>
          </reference>
        </references>
      </pivotArea>
    </chartFormat>
    <chartFormat chart="0" format="12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22"/>
          </reference>
        </references>
      </pivotArea>
    </chartFormat>
    <chartFormat chart="0" format="12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23"/>
          </reference>
        </references>
      </pivotArea>
    </chartFormat>
    <chartFormat chart="0" format="12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24"/>
          </reference>
        </references>
      </pivotArea>
    </chartFormat>
    <chartFormat chart="0" format="12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25"/>
          </reference>
        </references>
      </pivotArea>
    </chartFormat>
    <chartFormat chart="0" format="12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26"/>
          </reference>
        </references>
      </pivotArea>
    </chartFormat>
    <chartFormat chart="0" format="12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27"/>
          </reference>
        </references>
      </pivotArea>
    </chartFormat>
    <chartFormat chart="0" format="12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28"/>
          </reference>
        </references>
      </pivotArea>
    </chartFormat>
    <chartFormat chart="0" format="12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29"/>
          </reference>
        </references>
      </pivotArea>
    </chartFormat>
    <chartFormat chart="0" format="13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30"/>
          </reference>
        </references>
      </pivotArea>
    </chartFormat>
    <chartFormat chart="0" format="13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31"/>
          </reference>
        </references>
      </pivotArea>
    </chartFormat>
    <chartFormat chart="0" format="13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32"/>
          </reference>
        </references>
      </pivotArea>
    </chartFormat>
    <chartFormat chart="0" format="13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33"/>
          </reference>
        </references>
      </pivotArea>
    </chartFormat>
    <chartFormat chart="0" format="13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34"/>
          </reference>
        </references>
      </pivotArea>
    </chartFormat>
    <chartFormat chart="0" format="13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35"/>
          </reference>
        </references>
      </pivotArea>
    </chartFormat>
    <chartFormat chart="0" format="13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36"/>
          </reference>
        </references>
      </pivotArea>
    </chartFormat>
    <chartFormat chart="0" format="13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37"/>
          </reference>
        </references>
      </pivotArea>
    </chartFormat>
    <chartFormat chart="0" format="13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38"/>
          </reference>
        </references>
      </pivotArea>
    </chartFormat>
    <chartFormat chart="0" format="13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39"/>
          </reference>
        </references>
      </pivotArea>
    </chartFormat>
    <chartFormat chart="0" format="14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40"/>
          </reference>
        </references>
      </pivotArea>
    </chartFormat>
    <chartFormat chart="0" format="14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41"/>
          </reference>
        </references>
      </pivotArea>
    </chartFormat>
    <chartFormat chart="0" format="14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42"/>
          </reference>
        </references>
      </pivotArea>
    </chartFormat>
    <chartFormat chart="0" format="14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43"/>
          </reference>
        </references>
      </pivotArea>
    </chartFormat>
    <chartFormat chart="0" format="14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44"/>
          </reference>
        </references>
      </pivotArea>
    </chartFormat>
    <chartFormat chart="0" format="14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45"/>
          </reference>
        </references>
      </pivotArea>
    </chartFormat>
    <chartFormat chart="0" format="14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46"/>
          </reference>
        </references>
      </pivotArea>
    </chartFormat>
    <chartFormat chart="0" format="14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47"/>
          </reference>
        </references>
      </pivotArea>
    </chartFormat>
    <chartFormat chart="0" format="14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48"/>
          </reference>
        </references>
      </pivotArea>
    </chartFormat>
    <chartFormat chart="0" format="14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49"/>
          </reference>
        </references>
      </pivotArea>
    </chartFormat>
    <chartFormat chart="0" format="15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50"/>
          </reference>
        </references>
      </pivotArea>
    </chartFormat>
    <chartFormat chart="0" format="15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51"/>
          </reference>
        </references>
      </pivotArea>
    </chartFormat>
    <chartFormat chart="0" format="15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52"/>
          </reference>
        </references>
      </pivotArea>
    </chartFormat>
    <chartFormat chart="0" format="15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53"/>
          </reference>
        </references>
      </pivotArea>
    </chartFormat>
    <chartFormat chart="0" format="15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54"/>
          </reference>
        </references>
      </pivotArea>
    </chartFormat>
    <chartFormat chart="0" format="15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55"/>
          </reference>
        </references>
      </pivotArea>
    </chartFormat>
    <chartFormat chart="0" format="15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56"/>
          </reference>
        </references>
      </pivotArea>
    </chartFormat>
    <chartFormat chart="0" format="15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57"/>
          </reference>
        </references>
      </pivotArea>
    </chartFormat>
    <chartFormat chart="0" format="15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58"/>
          </reference>
        </references>
      </pivotArea>
    </chartFormat>
    <chartFormat chart="0" format="15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59"/>
          </reference>
        </references>
      </pivotArea>
    </chartFormat>
    <chartFormat chart="0" format="16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60"/>
          </reference>
        </references>
      </pivotArea>
    </chartFormat>
    <chartFormat chart="0" format="16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61"/>
          </reference>
        </references>
      </pivotArea>
    </chartFormat>
    <chartFormat chart="0" format="16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62"/>
          </reference>
        </references>
      </pivotArea>
    </chartFormat>
    <chartFormat chart="0" format="16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63"/>
          </reference>
        </references>
      </pivotArea>
    </chartFormat>
    <chartFormat chart="0" format="16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64"/>
          </reference>
        </references>
      </pivotArea>
    </chartFormat>
    <chartFormat chart="0" format="16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65"/>
          </reference>
        </references>
      </pivotArea>
    </chartFormat>
    <chartFormat chart="0" format="16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66"/>
          </reference>
        </references>
      </pivotArea>
    </chartFormat>
    <chartFormat chart="0" format="16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67"/>
          </reference>
        </references>
      </pivotArea>
    </chartFormat>
    <chartFormat chart="0" format="16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68"/>
          </reference>
        </references>
      </pivotArea>
    </chartFormat>
    <chartFormat chart="0" format="16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69"/>
          </reference>
        </references>
      </pivotArea>
    </chartFormat>
    <chartFormat chart="0" format="17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70"/>
          </reference>
        </references>
      </pivotArea>
    </chartFormat>
    <chartFormat chart="0" format="17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71"/>
          </reference>
        </references>
      </pivotArea>
    </chartFormat>
    <chartFormat chart="0" format="17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72"/>
          </reference>
        </references>
      </pivotArea>
    </chartFormat>
    <chartFormat chart="0" format="17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73"/>
          </reference>
        </references>
      </pivotArea>
    </chartFormat>
    <chartFormat chart="0" format="17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74"/>
          </reference>
        </references>
      </pivotArea>
    </chartFormat>
    <chartFormat chart="0" format="17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75"/>
          </reference>
        </references>
      </pivotArea>
    </chartFormat>
    <chartFormat chart="0" format="17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76"/>
          </reference>
        </references>
      </pivotArea>
    </chartFormat>
    <chartFormat chart="0" format="17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77"/>
          </reference>
        </references>
      </pivotArea>
    </chartFormat>
    <chartFormat chart="0" format="17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78"/>
          </reference>
        </references>
      </pivotArea>
    </chartFormat>
    <chartFormat chart="0" format="17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79"/>
          </reference>
        </references>
      </pivotArea>
    </chartFormat>
    <chartFormat chart="0" format="18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80"/>
          </reference>
        </references>
      </pivotArea>
    </chartFormat>
    <chartFormat chart="0" format="18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81"/>
          </reference>
        </references>
      </pivotArea>
    </chartFormat>
    <chartFormat chart="0" format="18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82"/>
          </reference>
        </references>
      </pivotArea>
    </chartFormat>
    <chartFormat chart="0" format="18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83"/>
          </reference>
        </references>
      </pivotArea>
    </chartFormat>
    <chartFormat chart="0" format="18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84"/>
          </reference>
        </references>
      </pivotArea>
    </chartFormat>
    <chartFormat chart="0" format="18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85"/>
          </reference>
        </references>
      </pivotArea>
    </chartFormat>
    <chartFormat chart="0" format="18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86"/>
          </reference>
        </references>
      </pivotArea>
    </chartFormat>
    <chartFormat chart="0" format="18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87"/>
          </reference>
        </references>
      </pivotArea>
    </chartFormat>
    <chartFormat chart="0" format="18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88"/>
          </reference>
        </references>
      </pivotArea>
    </chartFormat>
    <chartFormat chart="0" format="18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89"/>
          </reference>
        </references>
      </pivotArea>
    </chartFormat>
    <chartFormat chart="0" format="19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90"/>
          </reference>
        </references>
      </pivotArea>
    </chartFormat>
    <chartFormat chart="3" format="19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19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19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" format="19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3" format="19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3" format="19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3" format="19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3" format="19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3" format="19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3" format="20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3" format="20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3" format="20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1"/>
          </reference>
        </references>
      </pivotArea>
    </chartFormat>
    <chartFormat chart="3" format="20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2"/>
          </reference>
        </references>
      </pivotArea>
    </chartFormat>
    <chartFormat chart="3" format="20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3"/>
          </reference>
        </references>
      </pivotArea>
    </chartFormat>
    <chartFormat chart="3" format="20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4"/>
          </reference>
        </references>
      </pivotArea>
    </chartFormat>
    <chartFormat chart="3" format="20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5"/>
          </reference>
        </references>
      </pivotArea>
    </chartFormat>
    <chartFormat chart="3" format="20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6"/>
          </reference>
        </references>
      </pivotArea>
    </chartFormat>
    <chartFormat chart="3" format="20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7"/>
          </reference>
        </references>
      </pivotArea>
    </chartFormat>
    <chartFormat chart="3" format="20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8"/>
          </reference>
        </references>
      </pivotArea>
    </chartFormat>
    <chartFormat chart="3" format="2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9"/>
          </reference>
        </references>
      </pivotArea>
    </chartFormat>
    <chartFormat chart="3" format="2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0"/>
          </reference>
        </references>
      </pivotArea>
    </chartFormat>
    <chartFormat chart="3" format="21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1"/>
          </reference>
        </references>
      </pivotArea>
    </chartFormat>
    <chartFormat chart="3" format="21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2"/>
          </reference>
        </references>
      </pivotArea>
    </chartFormat>
    <chartFormat chart="3" format="21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3"/>
          </reference>
        </references>
      </pivotArea>
    </chartFormat>
    <chartFormat chart="3" format="21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4"/>
          </reference>
        </references>
      </pivotArea>
    </chartFormat>
    <chartFormat chart="3" format="21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5"/>
          </reference>
        </references>
      </pivotArea>
    </chartFormat>
    <chartFormat chart="3" format="21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6"/>
          </reference>
        </references>
      </pivotArea>
    </chartFormat>
    <chartFormat chart="3" format="21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7"/>
          </reference>
        </references>
      </pivotArea>
    </chartFormat>
    <chartFormat chart="3" format="21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8"/>
          </reference>
        </references>
      </pivotArea>
    </chartFormat>
    <chartFormat chart="3" format="22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9"/>
          </reference>
        </references>
      </pivotArea>
    </chartFormat>
    <chartFormat chart="3" format="22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0"/>
          </reference>
        </references>
      </pivotArea>
    </chartFormat>
    <chartFormat chart="3" format="22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1"/>
          </reference>
        </references>
      </pivotArea>
    </chartFormat>
    <chartFormat chart="3" format="22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2"/>
          </reference>
        </references>
      </pivotArea>
    </chartFormat>
    <chartFormat chart="3" format="22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3"/>
          </reference>
        </references>
      </pivotArea>
    </chartFormat>
    <chartFormat chart="3" format="22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4"/>
          </reference>
        </references>
      </pivotArea>
    </chartFormat>
    <chartFormat chart="3" format="22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5"/>
          </reference>
        </references>
      </pivotArea>
    </chartFormat>
    <chartFormat chart="3" format="22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6"/>
          </reference>
        </references>
      </pivotArea>
    </chartFormat>
    <chartFormat chart="3" format="22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7"/>
          </reference>
        </references>
      </pivotArea>
    </chartFormat>
    <chartFormat chart="3" format="22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8"/>
          </reference>
        </references>
      </pivotArea>
    </chartFormat>
    <chartFormat chart="3" format="23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9"/>
          </reference>
        </references>
      </pivotArea>
    </chartFormat>
    <chartFormat chart="3" format="23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0"/>
          </reference>
        </references>
      </pivotArea>
    </chartFormat>
    <chartFormat chart="3" format="23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1"/>
          </reference>
        </references>
      </pivotArea>
    </chartFormat>
    <chartFormat chart="3" format="23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2"/>
          </reference>
        </references>
      </pivotArea>
    </chartFormat>
    <chartFormat chart="3" format="23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3"/>
          </reference>
        </references>
      </pivotArea>
    </chartFormat>
    <chartFormat chart="3" format="23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4"/>
          </reference>
        </references>
      </pivotArea>
    </chartFormat>
    <chartFormat chart="3" format="23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5"/>
          </reference>
        </references>
      </pivotArea>
    </chartFormat>
    <chartFormat chart="3" format="23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6"/>
          </reference>
        </references>
      </pivotArea>
    </chartFormat>
    <chartFormat chart="3" format="23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7"/>
          </reference>
        </references>
      </pivotArea>
    </chartFormat>
    <chartFormat chart="3" format="23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8"/>
          </reference>
        </references>
      </pivotArea>
    </chartFormat>
    <chartFormat chart="3" format="24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9"/>
          </reference>
        </references>
      </pivotArea>
    </chartFormat>
    <chartFormat chart="3" format="24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0"/>
          </reference>
        </references>
      </pivotArea>
    </chartFormat>
    <chartFormat chart="3" format="24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1"/>
          </reference>
        </references>
      </pivotArea>
    </chartFormat>
    <chartFormat chart="3" format="24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2"/>
          </reference>
        </references>
      </pivotArea>
    </chartFormat>
    <chartFormat chart="3" format="24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3"/>
          </reference>
        </references>
      </pivotArea>
    </chartFormat>
    <chartFormat chart="3" format="24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4"/>
          </reference>
        </references>
      </pivotArea>
    </chartFormat>
    <chartFormat chart="3" format="24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5"/>
          </reference>
        </references>
      </pivotArea>
    </chartFormat>
    <chartFormat chart="3" format="24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6"/>
          </reference>
        </references>
      </pivotArea>
    </chartFormat>
    <chartFormat chart="3" format="24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7"/>
          </reference>
        </references>
      </pivotArea>
    </chartFormat>
    <chartFormat chart="3" format="24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8"/>
          </reference>
        </references>
      </pivotArea>
    </chartFormat>
    <chartFormat chart="3" format="25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9"/>
          </reference>
        </references>
      </pivotArea>
    </chartFormat>
    <chartFormat chart="3" format="25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0"/>
          </reference>
        </references>
      </pivotArea>
    </chartFormat>
    <chartFormat chart="3" format="25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1"/>
          </reference>
        </references>
      </pivotArea>
    </chartFormat>
    <chartFormat chart="3" format="25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2"/>
          </reference>
        </references>
      </pivotArea>
    </chartFormat>
    <chartFormat chart="3" format="25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3"/>
          </reference>
        </references>
      </pivotArea>
    </chartFormat>
    <chartFormat chart="3" format="25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4"/>
          </reference>
        </references>
      </pivotArea>
    </chartFormat>
    <chartFormat chart="3" format="25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5"/>
          </reference>
        </references>
      </pivotArea>
    </chartFormat>
    <chartFormat chart="3" format="25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6"/>
          </reference>
        </references>
      </pivotArea>
    </chartFormat>
    <chartFormat chart="3" format="25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7"/>
          </reference>
        </references>
      </pivotArea>
    </chartFormat>
    <chartFormat chart="3" format="25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8"/>
          </reference>
        </references>
      </pivotArea>
    </chartFormat>
    <chartFormat chart="3" format="26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9"/>
          </reference>
        </references>
      </pivotArea>
    </chartFormat>
    <chartFormat chart="3" format="26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0"/>
          </reference>
        </references>
      </pivotArea>
    </chartFormat>
    <chartFormat chart="3" format="26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1"/>
          </reference>
        </references>
      </pivotArea>
    </chartFormat>
    <chartFormat chart="3" format="26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2"/>
          </reference>
        </references>
      </pivotArea>
    </chartFormat>
    <chartFormat chart="3" format="26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3"/>
          </reference>
        </references>
      </pivotArea>
    </chartFormat>
    <chartFormat chart="3" format="26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4"/>
          </reference>
        </references>
      </pivotArea>
    </chartFormat>
    <chartFormat chart="3" format="26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5"/>
          </reference>
        </references>
      </pivotArea>
    </chartFormat>
    <chartFormat chart="3" format="26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6"/>
          </reference>
        </references>
      </pivotArea>
    </chartFormat>
    <chartFormat chart="3" format="26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7"/>
          </reference>
        </references>
      </pivotArea>
    </chartFormat>
    <chartFormat chart="3" format="26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8"/>
          </reference>
        </references>
      </pivotArea>
    </chartFormat>
    <chartFormat chart="3" format="27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9"/>
          </reference>
        </references>
      </pivotArea>
    </chartFormat>
    <chartFormat chart="3" format="27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0"/>
          </reference>
        </references>
      </pivotArea>
    </chartFormat>
    <chartFormat chart="3" format="27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1"/>
          </reference>
        </references>
      </pivotArea>
    </chartFormat>
    <chartFormat chart="3" format="27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2"/>
          </reference>
        </references>
      </pivotArea>
    </chartFormat>
    <chartFormat chart="3" format="27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3"/>
          </reference>
        </references>
      </pivotArea>
    </chartFormat>
    <chartFormat chart="3" format="27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4"/>
          </reference>
        </references>
      </pivotArea>
    </chartFormat>
    <chartFormat chart="3" format="27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5"/>
          </reference>
        </references>
      </pivotArea>
    </chartFormat>
    <chartFormat chart="3" format="27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6"/>
          </reference>
        </references>
      </pivotArea>
    </chartFormat>
    <chartFormat chart="3" format="27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7"/>
          </reference>
        </references>
      </pivotArea>
    </chartFormat>
    <chartFormat chart="3" format="27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8"/>
          </reference>
        </references>
      </pivotArea>
    </chartFormat>
    <chartFormat chart="3" format="28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9"/>
          </reference>
        </references>
      </pivotArea>
    </chartFormat>
    <chartFormat chart="3" format="28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0"/>
          </reference>
        </references>
      </pivotArea>
    </chartFormat>
    <chartFormat chart="3" format="28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1"/>
          </reference>
        </references>
      </pivotArea>
    </chartFormat>
    <chartFormat chart="3" format="28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2"/>
          </reference>
        </references>
      </pivotArea>
    </chartFormat>
    <chartFormat chart="3" format="28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3"/>
          </reference>
        </references>
      </pivotArea>
    </chartFormat>
    <chartFormat chart="3" format="28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4"/>
          </reference>
        </references>
      </pivotArea>
    </chartFormat>
    <chartFormat chart="3" format="28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5"/>
          </reference>
        </references>
      </pivotArea>
    </chartFormat>
    <chartFormat chart="3" format="28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6"/>
          </reference>
        </references>
      </pivotArea>
    </chartFormat>
    <chartFormat chart="3" format="28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7"/>
          </reference>
        </references>
      </pivotArea>
    </chartFormat>
    <chartFormat chart="3" format="28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8"/>
          </reference>
        </references>
      </pivotArea>
    </chartFormat>
    <chartFormat chart="3" format="29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9"/>
          </reference>
        </references>
      </pivotArea>
    </chartFormat>
    <chartFormat chart="3" format="29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0"/>
          </reference>
        </references>
      </pivotArea>
    </chartFormat>
    <chartFormat chart="3" format="29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1"/>
          </reference>
        </references>
      </pivotArea>
    </chartFormat>
    <chartFormat chart="3" format="29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2"/>
          </reference>
        </references>
      </pivotArea>
    </chartFormat>
    <chartFormat chart="3" format="29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3"/>
          </reference>
        </references>
      </pivotArea>
    </chartFormat>
    <chartFormat chart="3" format="29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4"/>
          </reference>
        </references>
      </pivotArea>
    </chartFormat>
    <chartFormat chart="3" format="29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5"/>
          </reference>
        </references>
      </pivotArea>
    </chartFormat>
    <chartFormat chart="3" format="29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6"/>
          </reference>
        </references>
      </pivotArea>
    </chartFormat>
    <chartFormat chart="3" format="29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7"/>
          </reference>
        </references>
      </pivotArea>
    </chartFormat>
    <chartFormat chart="3" format="29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8"/>
          </reference>
        </references>
      </pivotArea>
    </chartFormat>
    <chartFormat chart="3" format="30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9"/>
          </reference>
        </references>
      </pivotArea>
    </chartFormat>
    <chartFormat chart="3" format="30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10"/>
          </reference>
        </references>
      </pivotArea>
    </chartFormat>
    <chartFormat chart="3" format="30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11"/>
          </reference>
        </references>
      </pivotArea>
    </chartFormat>
    <chartFormat chart="3" format="30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12"/>
          </reference>
        </references>
      </pivotArea>
    </chartFormat>
    <chartFormat chart="3" format="30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13"/>
          </reference>
        </references>
      </pivotArea>
    </chartFormat>
    <chartFormat chart="3" format="30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14"/>
          </reference>
        </references>
      </pivotArea>
    </chartFormat>
    <chartFormat chart="3" format="30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15"/>
          </reference>
        </references>
      </pivotArea>
    </chartFormat>
    <chartFormat chart="3" format="30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16"/>
          </reference>
        </references>
      </pivotArea>
    </chartFormat>
    <chartFormat chart="3" format="30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17"/>
          </reference>
        </references>
      </pivotArea>
    </chartFormat>
    <chartFormat chart="3" format="30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18"/>
          </reference>
        </references>
      </pivotArea>
    </chartFormat>
    <chartFormat chart="3" format="3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19"/>
          </reference>
        </references>
      </pivotArea>
    </chartFormat>
    <chartFormat chart="3" format="3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20"/>
          </reference>
        </references>
      </pivotArea>
    </chartFormat>
    <chartFormat chart="3" format="31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21"/>
          </reference>
        </references>
      </pivotArea>
    </chartFormat>
    <chartFormat chart="3" format="31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22"/>
          </reference>
        </references>
      </pivotArea>
    </chartFormat>
    <chartFormat chart="3" format="31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23"/>
          </reference>
        </references>
      </pivotArea>
    </chartFormat>
    <chartFormat chart="3" format="31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24"/>
          </reference>
        </references>
      </pivotArea>
    </chartFormat>
    <chartFormat chart="3" format="31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25"/>
          </reference>
        </references>
      </pivotArea>
    </chartFormat>
    <chartFormat chart="3" format="31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26"/>
          </reference>
        </references>
      </pivotArea>
    </chartFormat>
    <chartFormat chart="3" format="31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27"/>
          </reference>
        </references>
      </pivotArea>
    </chartFormat>
    <chartFormat chart="3" format="31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28"/>
          </reference>
        </references>
      </pivotArea>
    </chartFormat>
    <chartFormat chart="3" format="32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29"/>
          </reference>
        </references>
      </pivotArea>
    </chartFormat>
    <chartFormat chart="3" format="32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30"/>
          </reference>
        </references>
      </pivotArea>
    </chartFormat>
    <chartFormat chart="3" format="32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31"/>
          </reference>
        </references>
      </pivotArea>
    </chartFormat>
    <chartFormat chart="3" format="32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32"/>
          </reference>
        </references>
      </pivotArea>
    </chartFormat>
    <chartFormat chart="3" format="32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33"/>
          </reference>
        </references>
      </pivotArea>
    </chartFormat>
    <chartFormat chart="3" format="32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34"/>
          </reference>
        </references>
      </pivotArea>
    </chartFormat>
    <chartFormat chart="3" format="32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35"/>
          </reference>
        </references>
      </pivotArea>
    </chartFormat>
    <chartFormat chart="3" format="32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36"/>
          </reference>
        </references>
      </pivotArea>
    </chartFormat>
    <chartFormat chart="3" format="32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37"/>
          </reference>
        </references>
      </pivotArea>
    </chartFormat>
    <chartFormat chart="3" format="32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38"/>
          </reference>
        </references>
      </pivotArea>
    </chartFormat>
    <chartFormat chart="3" format="33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39"/>
          </reference>
        </references>
      </pivotArea>
    </chartFormat>
    <chartFormat chart="3" format="33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40"/>
          </reference>
        </references>
      </pivotArea>
    </chartFormat>
    <chartFormat chart="3" format="33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41"/>
          </reference>
        </references>
      </pivotArea>
    </chartFormat>
    <chartFormat chart="3" format="33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42"/>
          </reference>
        </references>
      </pivotArea>
    </chartFormat>
    <chartFormat chart="3" format="33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43"/>
          </reference>
        </references>
      </pivotArea>
    </chartFormat>
    <chartFormat chart="3" format="33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44"/>
          </reference>
        </references>
      </pivotArea>
    </chartFormat>
    <chartFormat chart="3" format="33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45"/>
          </reference>
        </references>
      </pivotArea>
    </chartFormat>
    <chartFormat chart="3" format="33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46"/>
          </reference>
        </references>
      </pivotArea>
    </chartFormat>
    <chartFormat chart="3" format="33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47"/>
          </reference>
        </references>
      </pivotArea>
    </chartFormat>
    <chartFormat chart="3" format="33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48"/>
          </reference>
        </references>
      </pivotArea>
    </chartFormat>
    <chartFormat chart="3" format="34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49"/>
          </reference>
        </references>
      </pivotArea>
    </chartFormat>
    <chartFormat chart="3" format="34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50"/>
          </reference>
        </references>
      </pivotArea>
    </chartFormat>
    <chartFormat chart="3" format="34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51"/>
          </reference>
        </references>
      </pivotArea>
    </chartFormat>
    <chartFormat chart="3" format="34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52"/>
          </reference>
        </references>
      </pivotArea>
    </chartFormat>
    <chartFormat chart="3" format="34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53"/>
          </reference>
        </references>
      </pivotArea>
    </chartFormat>
    <chartFormat chart="3" format="34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54"/>
          </reference>
        </references>
      </pivotArea>
    </chartFormat>
    <chartFormat chart="3" format="34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55"/>
          </reference>
        </references>
      </pivotArea>
    </chartFormat>
    <chartFormat chart="3" format="34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56"/>
          </reference>
        </references>
      </pivotArea>
    </chartFormat>
    <chartFormat chart="3" format="34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57"/>
          </reference>
        </references>
      </pivotArea>
    </chartFormat>
    <chartFormat chart="3" format="34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58"/>
          </reference>
        </references>
      </pivotArea>
    </chartFormat>
    <chartFormat chart="3" format="35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59"/>
          </reference>
        </references>
      </pivotArea>
    </chartFormat>
    <chartFormat chart="3" format="35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60"/>
          </reference>
        </references>
      </pivotArea>
    </chartFormat>
    <chartFormat chart="3" format="35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61"/>
          </reference>
        </references>
      </pivotArea>
    </chartFormat>
    <chartFormat chart="3" format="35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62"/>
          </reference>
        </references>
      </pivotArea>
    </chartFormat>
    <chartFormat chart="3" format="35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63"/>
          </reference>
        </references>
      </pivotArea>
    </chartFormat>
    <chartFormat chart="3" format="35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64"/>
          </reference>
        </references>
      </pivotArea>
    </chartFormat>
    <chartFormat chart="3" format="35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65"/>
          </reference>
        </references>
      </pivotArea>
    </chartFormat>
    <chartFormat chart="3" format="35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66"/>
          </reference>
        </references>
      </pivotArea>
    </chartFormat>
    <chartFormat chart="3" format="35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67"/>
          </reference>
        </references>
      </pivotArea>
    </chartFormat>
    <chartFormat chart="3" format="35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68"/>
          </reference>
        </references>
      </pivotArea>
    </chartFormat>
    <chartFormat chart="3" format="36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69"/>
          </reference>
        </references>
      </pivotArea>
    </chartFormat>
    <chartFormat chart="3" format="36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70"/>
          </reference>
        </references>
      </pivotArea>
    </chartFormat>
    <chartFormat chart="3" format="36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71"/>
          </reference>
        </references>
      </pivotArea>
    </chartFormat>
    <chartFormat chart="3" format="36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72"/>
          </reference>
        </references>
      </pivotArea>
    </chartFormat>
    <chartFormat chart="3" format="36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73"/>
          </reference>
        </references>
      </pivotArea>
    </chartFormat>
    <chartFormat chart="3" format="36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74"/>
          </reference>
        </references>
      </pivotArea>
    </chartFormat>
    <chartFormat chart="3" format="36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75"/>
          </reference>
        </references>
      </pivotArea>
    </chartFormat>
    <chartFormat chart="3" format="36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76"/>
          </reference>
        </references>
      </pivotArea>
    </chartFormat>
    <chartFormat chart="3" format="36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77"/>
          </reference>
        </references>
      </pivotArea>
    </chartFormat>
    <chartFormat chart="3" format="36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78"/>
          </reference>
        </references>
      </pivotArea>
    </chartFormat>
    <chartFormat chart="3" format="37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79"/>
          </reference>
        </references>
      </pivotArea>
    </chartFormat>
    <chartFormat chart="3" format="37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80"/>
          </reference>
        </references>
      </pivotArea>
    </chartFormat>
    <chartFormat chart="3" format="37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81"/>
          </reference>
        </references>
      </pivotArea>
    </chartFormat>
    <chartFormat chart="3" format="37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82"/>
          </reference>
        </references>
      </pivotArea>
    </chartFormat>
    <chartFormat chart="3" format="37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83"/>
          </reference>
        </references>
      </pivotArea>
    </chartFormat>
    <chartFormat chart="3" format="37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84"/>
          </reference>
        </references>
      </pivotArea>
    </chartFormat>
    <chartFormat chart="3" format="37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85"/>
          </reference>
        </references>
      </pivotArea>
    </chartFormat>
    <chartFormat chart="3" format="37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86"/>
          </reference>
        </references>
      </pivotArea>
    </chartFormat>
    <chartFormat chart="3" format="37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87"/>
          </reference>
        </references>
      </pivotArea>
    </chartFormat>
    <chartFormat chart="3" format="37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88"/>
          </reference>
        </references>
      </pivotArea>
    </chartFormat>
    <chartFormat chart="3" format="38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89"/>
          </reference>
        </references>
      </pivotArea>
    </chartFormat>
    <chartFormat chart="3" format="38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90"/>
          </reference>
        </references>
      </pivotArea>
    </chartFormat>
    <chartFormat chart="5" format="38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5" format="38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5" format="38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5" format="38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5" format="38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5" format="38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5" format="38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5" format="38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5" format="39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5" format="39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5" format="39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5" format="39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1"/>
          </reference>
        </references>
      </pivotArea>
    </chartFormat>
    <chartFormat chart="5" format="39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2"/>
          </reference>
        </references>
      </pivotArea>
    </chartFormat>
    <chartFormat chart="5" format="39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3"/>
          </reference>
        </references>
      </pivotArea>
    </chartFormat>
    <chartFormat chart="5" format="39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4"/>
          </reference>
        </references>
      </pivotArea>
    </chartFormat>
    <chartFormat chart="5" format="39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5"/>
          </reference>
        </references>
      </pivotArea>
    </chartFormat>
    <chartFormat chart="5" format="39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6"/>
          </reference>
        </references>
      </pivotArea>
    </chartFormat>
    <chartFormat chart="5" format="39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7"/>
          </reference>
        </references>
      </pivotArea>
    </chartFormat>
    <chartFormat chart="5" format="40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8"/>
          </reference>
        </references>
      </pivotArea>
    </chartFormat>
    <chartFormat chart="5" format="40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9"/>
          </reference>
        </references>
      </pivotArea>
    </chartFormat>
    <chartFormat chart="5" format="40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0"/>
          </reference>
        </references>
      </pivotArea>
    </chartFormat>
    <chartFormat chart="5" format="40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1"/>
          </reference>
        </references>
      </pivotArea>
    </chartFormat>
    <chartFormat chart="5" format="40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2"/>
          </reference>
        </references>
      </pivotArea>
    </chartFormat>
    <chartFormat chart="5" format="40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3"/>
          </reference>
        </references>
      </pivotArea>
    </chartFormat>
    <chartFormat chart="5" format="40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4"/>
          </reference>
        </references>
      </pivotArea>
    </chartFormat>
    <chartFormat chart="5" format="40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5"/>
          </reference>
        </references>
      </pivotArea>
    </chartFormat>
    <chartFormat chart="5" format="40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6"/>
          </reference>
        </references>
      </pivotArea>
    </chartFormat>
    <chartFormat chart="5" format="40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7"/>
          </reference>
        </references>
      </pivotArea>
    </chartFormat>
    <chartFormat chart="5" format="4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8"/>
          </reference>
        </references>
      </pivotArea>
    </chartFormat>
    <chartFormat chart="5" format="4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9"/>
          </reference>
        </references>
      </pivotArea>
    </chartFormat>
    <chartFormat chart="5" format="41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0"/>
          </reference>
        </references>
      </pivotArea>
    </chartFormat>
    <chartFormat chart="5" format="41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1"/>
          </reference>
        </references>
      </pivotArea>
    </chartFormat>
    <chartFormat chart="5" format="41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2"/>
          </reference>
        </references>
      </pivotArea>
    </chartFormat>
    <chartFormat chart="5" format="41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3"/>
          </reference>
        </references>
      </pivotArea>
    </chartFormat>
    <chartFormat chart="5" format="41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4"/>
          </reference>
        </references>
      </pivotArea>
    </chartFormat>
    <chartFormat chart="5" format="41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5"/>
          </reference>
        </references>
      </pivotArea>
    </chartFormat>
    <chartFormat chart="5" format="41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6"/>
          </reference>
        </references>
      </pivotArea>
    </chartFormat>
    <chartFormat chart="5" format="41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7"/>
          </reference>
        </references>
      </pivotArea>
    </chartFormat>
    <chartFormat chart="5" format="42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8"/>
          </reference>
        </references>
      </pivotArea>
    </chartFormat>
    <chartFormat chart="5" format="42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9"/>
          </reference>
        </references>
      </pivotArea>
    </chartFormat>
    <chartFormat chart="5" format="42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0"/>
          </reference>
        </references>
      </pivotArea>
    </chartFormat>
    <chartFormat chart="5" format="42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1"/>
          </reference>
        </references>
      </pivotArea>
    </chartFormat>
    <chartFormat chart="5" format="42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2"/>
          </reference>
        </references>
      </pivotArea>
    </chartFormat>
    <chartFormat chart="5" format="42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3"/>
          </reference>
        </references>
      </pivotArea>
    </chartFormat>
    <chartFormat chart="5" format="42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4"/>
          </reference>
        </references>
      </pivotArea>
    </chartFormat>
    <chartFormat chart="5" format="42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5"/>
          </reference>
        </references>
      </pivotArea>
    </chartFormat>
    <chartFormat chart="5" format="42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6"/>
          </reference>
        </references>
      </pivotArea>
    </chartFormat>
    <chartFormat chart="5" format="42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7"/>
          </reference>
        </references>
      </pivotArea>
    </chartFormat>
    <chartFormat chart="5" format="43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8"/>
          </reference>
        </references>
      </pivotArea>
    </chartFormat>
    <chartFormat chart="5" format="43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9"/>
          </reference>
        </references>
      </pivotArea>
    </chartFormat>
    <chartFormat chart="5" format="43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0"/>
          </reference>
        </references>
      </pivotArea>
    </chartFormat>
    <chartFormat chart="5" format="43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1"/>
          </reference>
        </references>
      </pivotArea>
    </chartFormat>
    <chartFormat chart="5" format="43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2"/>
          </reference>
        </references>
      </pivotArea>
    </chartFormat>
    <chartFormat chart="5" format="43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3"/>
          </reference>
        </references>
      </pivotArea>
    </chartFormat>
    <chartFormat chart="5" format="43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4"/>
          </reference>
        </references>
      </pivotArea>
    </chartFormat>
    <chartFormat chart="5" format="43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5"/>
          </reference>
        </references>
      </pivotArea>
    </chartFormat>
    <chartFormat chart="5" format="43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6"/>
          </reference>
        </references>
      </pivotArea>
    </chartFormat>
    <chartFormat chart="5" format="43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7"/>
          </reference>
        </references>
      </pivotArea>
    </chartFormat>
    <chartFormat chart="5" format="44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8"/>
          </reference>
        </references>
      </pivotArea>
    </chartFormat>
    <chartFormat chart="5" format="44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9"/>
          </reference>
        </references>
      </pivotArea>
    </chartFormat>
    <chartFormat chart="5" format="44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0"/>
          </reference>
        </references>
      </pivotArea>
    </chartFormat>
    <chartFormat chart="5" format="44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1"/>
          </reference>
        </references>
      </pivotArea>
    </chartFormat>
    <chartFormat chart="5" format="44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2"/>
          </reference>
        </references>
      </pivotArea>
    </chartFormat>
    <chartFormat chart="5" format="44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3"/>
          </reference>
        </references>
      </pivotArea>
    </chartFormat>
    <chartFormat chart="5" format="44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4"/>
          </reference>
        </references>
      </pivotArea>
    </chartFormat>
    <chartFormat chart="5" format="44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5"/>
          </reference>
        </references>
      </pivotArea>
    </chartFormat>
    <chartFormat chart="5" format="44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6"/>
          </reference>
        </references>
      </pivotArea>
    </chartFormat>
    <chartFormat chart="5" format="44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7"/>
          </reference>
        </references>
      </pivotArea>
    </chartFormat>
    <chartFormat chart="5" format="45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8"/>
          </reference>
        </references>
      </pivotArea>
    </chartFormat>
    <chartFormat chart="5" format="45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9"/>
          </reference>
        </references>
      </pivotArea>
    </chartFormat>
    <chartFormat chart="5" format="45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0"/>
          </reference>
        </references>
      </pivotArea>
    </chartFormat>
    <chartFormat chart="5" format="45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1"/>
          </reference>
        </references>
      </pivotArea>
    </chartFormat>
    <chartFormat chart="5" format="45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2"/>
          </reference>
        </references>
      </pivotArea>
    </chartFormat>
    <chartFormat chart="5" format="45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3"/>
          </reference>
        </references>
      </pivotArea>
    </chartFormat>
    <chartFormat chart="5" format="45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4"/>
          </reference>
        </references>
      </pivotArea>
    </chartFormat>
    <chartFormat chart="5" format="45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5"/>
          </reference>
        </references>
      </pivotArea>
    </chartFormat>
    <chartFormat chart="5" format="45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6"/>
          </reference>
        </references>
      </pivotArea>
    </chartFormat>
    <chartFormat chart="5" format="45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7"/>
          </reference>
        </references>
      </pivotArea>
    </chartFormat>
    <chartFormat chart="5" format="46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8"/>
          </reference>
        </references>
      </pivotArea>
    </chartFormat>
    <chartFormat chart="5" format="46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9"/>
          </reference>
        </references>
      </pivotArea>
    </chartFormat>
    <chartFormat chart="5" format="46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0"/>
          </reference>
        </references>
      </pivotArea>
    </chartFormat>
    <chartFormat chart="5" format="46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1"/>
          </reference>
        </references>
      </pivotArea>
    </chartFormat>
    <chartFormat chart="5" format="46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2"/>
          </reference>
        </references>
      </pivotArea>
    </chartFormat>
    <chartFormat chart="5" format="46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3"/>
          </reference>
        </references>
      </pivotArea>
    </chartFormat>
    <chartFormat chart="5" format="46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4"/>
          </reference>
        </references>
      </pivotArea>
    </chartFormat>
    <chartFormat chart="5" format="46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5"/>
          </reference>
        </references>
      </pivotArea>
    </chartFormat>
    <chartFormat chart="5" format="46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6"/>
          </reference>
        </references>
      </pivotArea>
    </chartFormat>
    <chartFormat chart="5" format="46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7"/>
          </reference>
        </references>
      </pivotArea>
    </chartFormat>
    <chartFormat chart="5" format="47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8"/>
          </reference>
        </references>
      </pivotArea>
    </chartFormat>
    <chartFormat chart="5" format="47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9"/>
          </reference>
        </references>
      </pivotArea>
    </chartFormat>
    <chartFormat chart="5" format="47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0"/>
          </reference>
        </references>
      </pivotArea>
    </chartFormat>
    <chartFormat chart="5" format="47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1"/>
          </reference>
        </references>
      </pivotArea>
    </chartFormat>
    <chartFormat chart="5" format="47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2"/>
          </reference>
        </references>
      </pivotArea>
    </chartFormat>
    <chartFormat chart="5" format="47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3"/>
          </reference>
        </references>
      </pivotArea>
    </chartFormat>
    <chartFormat chart="5" format="47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4"/>
          </reference>
        </references>
      </pivotArea>
    </chartFormat>
    <chartFormat chart="5" format="47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5"/>
          </reference>
        </references>
      </pivotArea>
    </chartFormat>
    <chartFormat chart="5" format="47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6"/>
          </reference>
        </references>
      </pivotArea>
    </chartFormat>
    <chartFormat chart="5" format="47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7"/>
          </reference>
        </references>
      </pivotArea>
    </chartFormat>
    <chartFormat chart="5" format="48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8"/>
          </reference>
        </references>
      </pivotArea>
    </chartFormat>
    <chartFormat chart="5" format="48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9"/>
          </reference>
        </references>
      </pivotArea>
    </chartFormat>
    <chartFormat chart="5" format="48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0"/>
          </reference>
        </references>
      </pivotArea>
    </chartFormat>
    <chartFormat chart="5" format="48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1"/>
          </reference>
        </references>
      </pivotArea>
    </chartFormat>
    <chartFormat chart="5" format="48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2"/>
          </reference>
        </references>
      </pivotArea>
    </chartFormat>
    <chartFormat chart="5" format="48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3"/>
          </reference>
        </references>
      </pivotArea>
    </chartFormat>
    <chartFormat chart="5" format="48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4"/>
          </reference>
        </references>
      </pivotArea>
    </chartFormat>
    <chartFormat chart="5" format="48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5"/>
          </reference>
        </references>
      </pivotArea>
    </chartFormat>
    <chartFormat chart="5" format="48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6"/>
          </reference>
        </references>
      </pivotArea>
    </chartFormat>
    <chartFormat chart="5" format="48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7"/>
          </reference>
        </references>
      </pivotArea>
    </chartFormat>
    <chartFormat chart="5" format="49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8"/>
          </reference>
        </references>
      </pivotArea>
    </chartFormat>
    <chartFormat chart="5" format="49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9"/>
          </reference>
        </references>
      </pivotArea>
    </chartFormat>
    <chartFormat chart="5" format="49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10"/>
          </reference>
        </references>
      </pivotArea>
    </chartFormat>
    <chartFormat chart="5" format="49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11"/>
          </reference>
        </references>
      </pivotArea>
    </chartFormat>
    <chartFormat chart="5" format="49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12"/>
          </reference>
        </references>
      </pivotArea>
    </chartFormat>
    <chartFormat chart="5" format="49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13"/>
          </reference>
        </references>
      </pivotArea>
    </chartFormat>
    <chartFormat chart="5" format="49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14"/>
          </reference>
        </references>
      </pivotArea>
    </chartFormat>
    <chartFormat chart="5" format="49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15"/>
          </reference>
        </references>
      </pivotArea>
    </chartFormat>
    <chartFormat chart="5" format="49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16"/>
          </reference>
        </references>
      </pivotArea>
    </chartFormat>
    <chartFormat chart="5" format="49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17"/>
          </reference>
        </references>
      </pivotArea>
    </chartFormat>
    <chartFormat chart="5" format="50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18"/>
          </reference>
        </references>
      </pivotArea>
    </chartFormat>
    <chartFormat chart="5" format="50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19"/>
          </reference>
        </references>
      </pivotArea>
    </chartFormat>
    <chartFormat chart="5" format="50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20"/>
          </reference>
        </references>
      </pivotArea>
    </chartFormat>
    <chartFormat chart="5" format="50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21"/>
          </reference>
        </references>
      </pivotArea>
    </chartFormat>
    <chartFormat chart="5" format="50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22"/>
          </reference>
        </references>
      </pivotArea>
    </chartFormat>
    <chartFormat chart="5" format="50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23"/>
          </reference>
        </references>
      </pivotArea>
    </chartFormat>
    <chartFormat chart="5" format="50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24"/>
          </reference>
        </references>
      </pivotArea>
    </chartFormat>
    <chartFormat chart="5" format="50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25"/>
          </reference>
        </references>
      </pivotArea>
    </chartFormat>
    <chartFormat chart="5" format="50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26"/>
          </reference>
        </references>
      </pivotArea>
    </chartFormat>
    <chartFormat chart="5" format="50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27"/>
          </reference>
        </references>
      </pivotArea>
    </chartFormat>
    <chartFormat chart="5" format="5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28"/>
          </reference>
        </references>
      </pivotArea>
    </chartFormat>
    <chartFormat chart="5" format="5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29"/>
          </reference>
        </references>
      </pivotArea>
    </chartFormat>
    <chartFormat chart="5" format="51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30"/>
          </reference>
        </references>
      </pivotArea>
    </chartFormat>
    <chartFormat chart="5" format="51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31"/>
          </reference>
        </references>
      </pivotArea>
    </chartFormat>
    <chartFormat chart="5" format="51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32"/>
          </reference>
        </references>
      </pivotArea>
    </chartFormat>
    <chartFormat chart="5" format="51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33"/>
          </reference>
        </references>
      </pivotArea>
    </chartFormat>
    <chartFormat chart="5" format="51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34"/>
          </reference>
        </references>
      </pivotArea>
    </chartFormat>
    <chartFormat chart="5" format="51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35"/>
          </reference>
        </references>
      </pivotArea>
    </chartFormat>
    <chartFormat chart="5" format="51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36"/>
          </reference>
        </references>
      </pivotArea>
    </chartFormat>
    <chartFormat chart="5" format="51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37"/>
          </reference>
        </references>
      </pivotArea>
    </chartFormat>
    <chartFormat chart="5" format="52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38"/>
          </reference>
        </references>
      </pivotArea>
    </chartFormat>
    <chartFormat chart="5" format="52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39"/>
          </reference>
        </references>
      </pivotArea>
    </chartFormat>
    <chartFormat chart="5" format="52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40"/>
          </reference>
        </references>
      </pivotArea>
    </chartFormat>
    <chartFormat chart="5" format="52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41"/>
          </reference>
        </references>
      </pivotArea>
    </chartFormat>
    <chartFormat chart="5" format="52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42"/>
          </reference>
        </references>
      </pivotArea>
    </chartFormat>
    <chartFormat chart="5" format="52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43"/>
          </reference>
        </references>
      </pivotArea>
    </chartFormat>
    <chartFormat chart="5" format="52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44"/>
          </reference>
        </references>
      </pivotArea>
    </chartFormat>
    <chartFormat chart="5" format="52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45"/>
          </reference>
        </references>
      </pivotArea>
    </chartFormat>
    <chartFormat chart="5" format="52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46"/>
          </reference>
        </references>
      </pivotArea>
    </chartFormat>
    <chartFormat chart="5" format="52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47"/>
          </reference>
        </references>
      </pivotArea>
    </chartFormat>
    <chartFormat chart="5" format="53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48"/>
          </reference>
        </references>
      </pivotArea>
    </chartFormat>
    <chartFormat chart="5" format="53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49"/>
          </reference>
        </references>
      </pivotArea>
    </chartFormat>
    <chartFormat chart="5" format="53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50"/>
          </reference>
        </references>
      </pivotArea>
    </chartFormat>
    <chartFormat chart="5" format="53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51"/>
          </reference>
        </references>
      </pivotArea>
    </chartFormat>
    <chartFormat chart="5" format="53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52"/>
          </reference>
        </references>
      </pivotArea>
    </chartFormat>
    <chartFormat chart="5" format="53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53"/>
          </reference>
        </references>
      </pivotArea>
    </chartFormat>
    <chartFormat chart="5" format="53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54"/>
          </reference>
        </references>
      </pivotArea>
    </chartFormat>
    <chartFormat chart="5" format="53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55"/>
          </reference>
        </references>
      </pivotArea>
    </chartFormat>
    <chartFormat chart="5" format="53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56"/>
          </reference>
        </references>
      </pivotArea>
    </chartFormat>
    <chartFormat chart="5" format="53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57"/>
          </reference>
        </references>
      </pivotArea>
    </chartFormat>
    <chartFormat chart="5" format="54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58"/>
          </reference>
        </references>
      </pivotArea>
    </chartFormat>
    <chartFormat chart="5" format="54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59"/>
          </reference>
        </references>
      </pivotArea>
    </chartFormat>
    <chartFormat chart="5" format="54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60"/>
          </reference>
        </references>
      </pivotArea>
    </chartFormat>
    <chartFormat chart="5" format="54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61"/>
          </reference>
        </references>
      </pivotArea>
    </chartFormat>
    <chartFormat chart="5" format="54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62"/>
          </reference>
        </references>
      </pivotArea>
    </chartFormat>
    <chartFormat chart="5" format="54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63"/>
          </reference>
        </references>
      </pivotArea>
    </chartFormat>
    <chartFormat chart="5" format="54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64"/>
          </reference>
        </references>
      </pivotArea>
    </chartFormat>
    <chartFormat chart="5" format="54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65"/>
          </reference>
        </references>
      </pivotArea>
    </chartFormat>
    <chartFormat chart="5" format="54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66"/>
          </reference>
        </references>
      </pivotArea>
    </chartFormat>
    <chartFormat chart="5" format="54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67"/>
          </reference>
        </references>
      </pivotArea>
    </chartFormat>
    <chartFormat chart="5" format="55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68"/>
          </reference>
        </references>
      </pivotArea>
    </chartFormat>
    <chartFormat chart="5" format="55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69"/>
          </reference>
        </references>
      </pivotArea>
    </chartFormat>
    <chartFormat chart="5" format="55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70"/>
          </reference>
        </references>
      </pivotArea>
    </chartFormat>
    <chartFormat chart="5" format="55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71"/>
          </reference>
        </references>
      </pivotArea>
    </chartFormat>
    <chartFormat chart="5" format="55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72"/>
          </reference>
        </references>
      </pivotArea>
    </chartFormat>
    <chartFormat chart="5" format="55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73"/>
          </reference>
        </references>
      </pivotArea>
    </chartFormat>
    <chartFormat chart="5" format="55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74"/>
          </reference>
        </references>
      </pivotArea>
    </chartFormat>
    <chartFormat chart="5" format="55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75"/>
          </reference>
        </references>
      </pivotArea>
    </chartFormat>
    <chartFormat chart="5" format="55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76"/>
          </reference>
        </references>
      </pivotArea>
    </chartFormat>
    <chartFormat chart="5" format="55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77"/>
          </reference>
        </references>
      </pivotArea>
    </chartFormat>
    <chartFormat chart="5" format="56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78"/>
          </reference>
        </references>
      </pivotArea>
    </chartFormat>
    <chartFormat chart="5" format="56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79"/>
          </reference>
        </references>
      </pivotArea>
    </chartFormat>
    <chartFormat chart="5" format="56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80"/>
          </reference>
        </references>
      </pivotArea>
    </chartFormat>
    <chartFormat chart="5" format="56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81"/>
          </reference>
        </references>
      </pivotArea>
    </chartFormat>
    <chartFormat chart="5" format="56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82"/>
          </reference>
        </references>
      </pivotArea>
    </chartFormat>
    <chartFormat chart="5" format="56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83"/>
          </reference>
        </references>
      </pivotArea>
    </chartFormat>
    <chartFormat chart="5" format="56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84"/>
          </reference>
        </references>
      </pivotArea>
    </chartFormat>
    <chartFormat chart="5" format="56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85"/>
          </reference>
        </references>
      </pivotArea>
    </chartFormat>
    <chartFormat chart="5" format="56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86"/>
          </reference>
        </references>
      </pivotArea>
    </chartFormat>
    <chartFormat chart="5" format="56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87"/>
          </reference>
        </references>
      </pivotArea>
    </chartFormat>
    <chartFormat chart="5" format="57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88"/>
          </reference>
        </references>
      </pivotArea>
    </chartFormat>
    <chartFormat chart="5" format="57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89"/>
          </reference>
        </references>
      </pivotArea>
    </chartFormat>
    <chartFormat chart="5" format="57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90"/>
          </reference>
        </references>
      </pivotArea>
    </chartFormat>
    <chartFormat chart="12" format="57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2" format="57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2" format="57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2" format="57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2" format="57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2" format="57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12" format="57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12" format="58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12" format="58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12" format="58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12" format="58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12" format="58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1"/>
          </reference>
        </references>
      </pivotArea>
    </chartFormat>
    <chartFormat chart="12" format="58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2"/>
          </reference>
        </references>
      </pivotArea>
    </chartFormat>
    <chartFormat chart="12" format="58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3"/>
          </reference>
        </references>
      </pivotArea>
    </chartFormat>
    <chartFormat chart="12" format="58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4"/>
          </reference>
        </references>
      </pivotArea>
    </chartFormat>
    <chartFormat chart="12" format="58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5"/>
          </reference>
        </references>
      </pivotArea>
    </chartFormat>
    <chartFormat chart="12" format="58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6"/>
          </reference>
        </references>
      </pivotArea>
    </chartFormat>
    <chartFormat chart="12" format="59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7"/>
          </reference>
        </references>
      </pivotArea>
    </chartFormat>
    <chartFormat chart="12" format="59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8"/>
          </reference>
        </references>
      </pivotArea>
    </chartFormat>
    <chartFormat chart="12" format="59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9"/>
          </reference>
        </references>
      </pivotArea>
    </chartFormat>
    <chartFormat chart="12" format="59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0"/>
          </reference>
        </references>
      </pivotArea>
    </chartFormat>
    <chartFormat chart="12" format="59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1"/>
          </reference>
        </references>
      </pivotArea>
    </chartFormat>
    <chartFormat chart="12" format="59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2"/>
          </reference>
        </references>
      </pivotArea>
    </chartFormat>
    <chartFormat chart="12" format="59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3"/>
          </reference>
        </references>
      </pivotArea>
    </chartFormat>
    <chartFormat chart="12" format="59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4"/>
          </reference>
        </references>
      </pivotArea>
    </chartFormat>
    <chartFormat chart="12" format="59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5"/>
          </reference>
        </references>
      </pivotArea>
    </chartFormat>
    <chartFormat chart="12" format="59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6"/>
          </reference>
        </references>
      </pivotArea>
    </chartFormat>
    <chartFormat chart="12" format="60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7"/>
          </reference>
        </references>
      </pivotArea>
    </chartFormat>
    <chartFormat chart="12" format="60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8"/>
          </reference>
        </references>
      </pivotArea>
    </chartFormat>
    <chartFormat chart="12" format="60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9"/>
          </reference>
        </references>
      </pivotArea>
    </chartFormat>
    <chartFormat chart="12" format="60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0"/>
          </reference>
        </references>
      </pivotArea>
    </chartFormat>
    <chartFormat chart="12" format="60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1"/>
          </reference>
        </references>
      </pivotArea>
    </chartFormat>
    <chartFormat chart="12" format="60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2"/>
          </reference>
        </references>
      </pivotArea>
    </chartFormat>
    <chartFormat chart="12" format="60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3"/>
          </reference>
        </references>
      </pivotArea>
    </chartFormat>
    <chartFormat chart="12" format="60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4"/>
          </reference>
        </references>
      </pivotArea>
    </chartFormat>
    <chartFormat chart="12" format="60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5"/>
          </reference>
        </references>
      </pivotArea>
    </chartFormat>
    <chartFormat chart="12" format="60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6"/>
          </reference>
        </references>
      </pivotArea>
    </chartFormat>
    <chartFormat chart="12" format="6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7"/>
          </reference>
        </references>
      </pivotArea>
    </chartFormat>
    <chartFormat chart="12" format="6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8"/>
          </reference>
        </references>
      </pivotArea>
    </chartFormat>
    <chartFormat chart="12" format="61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9"/>
          </reference>
        </references>
      </pivotArea>
    </chartFormat>
    <chartFormat chart="12" format="61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0"/>
          </reference>
        </references>
      </pivotArea>
    </chartFormat>
    <chartFormat chart="12" format="61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1"/>
          </reference>
        </references>
      </pivotArea>
    </chartFormat>
    <chartFormat chart="12" format="61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2"/>
          </reference>
        </references>
      </pivotArea>
    </chartFormat>
    <chartFormat chart="12" format="61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3"/>
          </reference>
        </references>
      </pivotArea>
    </chartFormat>
    <chartFormat chart="12" format="61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4"/>
          </reference>
        </references>
      </pivotArea>
    </chartFormat>
    <chartFormat chart="12" format="61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5"/>
          </reference>
        </references>
      </pivotArea>
    </chartFormat>
    <chartFormat chart="12" format="61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6"/>
          </reference>
        </references>
      </pivotArea>
    </chartFormat>
    <chartFormat chart="12" format="62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7"/>
          </reference>
        </references>
      </pivotArea>
    </chartFormat>
    <chartFormat chart="12" format="62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8"/>
          </reference>
        </references>
      </pivotArea>
    </chartFormat>
    <chartFormat chart="12" format="62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9"/>
          </reference>
        </references>
      </pivotArea>
    </chartFormat>
    <chartFormat chart="12" format="62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0"/>
          </reference>
        </references>
      </pivotArea>
    </chartFormat>
    <chartFormat chart="12" format="62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1"/>
          </reference>
        </references>
      </pivotArea>
    </chartFormat>
    <chartFormat chart="12" format="62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2"/>
          </reference>
        </references>
      </pivotArea>
    </chartFormat>
    <chartFormat chart="12" format="62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3"/>
          </reference>
        </references>
      </pivotArea>
    </chartFormat>
    <chartFormat chart="12" format="62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4"/>
          </reference>
        </references>
      </pivotArea>
    </chartFormat>
    <chartFormat chart="12" format="62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5"/>
          </reference>
        </references>
      </pivotArea>
    </chartFormat>
    <chartFormat chart="12" format="62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6"/>
          </reference>
        </references>
      </pivotArea>
    </chartFormat>
    <chartFormat chart="12" format="63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7"/>
          </reference>
        </references>
      </pivotArea>
    </chartFormat>
    <chartFormat chart="12" format="63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8"/>
          </reference>
        </references>
      </pivotArea>
    </chartFormat>
    <chartFormat chart="12" format="63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9"/>
          </reference>
        </references>
      </pivotArea>
    </chartFormat>
    <chartFormat chart="12" format="63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0"/>
          </reference>
        </references>
      </pivotArea>
    </chartFormat>
    <chartFormat chart="12" format="63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1"/>
          </reference>
        </references>
      </pivotArea>
    </chartFormat>
    <chartFormat chart="12" format="63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2"/>
          </reference>
        </references>
      </pivotArea>
    </chartFormat>
    <chartFormat chart="12" format="63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3"/>
          </reference>
        </references>
      </pivotArea>
    </chartFormat>
    <chartFormat chart="12" format="63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4"/>
          </reference>
        </references>
      </pivotArea>
    </chartFormat>
    <chartFormat chart="12" format="63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5"/>
          </reference>
        </references>
      </pivotArea>
    </chartFormat>
    <chartFormat chart="12" format="63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6"/>
          </reference>
        </references>
      </pivotArea>
    </chartFormat>
    <chartFormat chart="12" format="64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7"/>
          </reference>
        </references>
      </pivotArea>
    </chartFormat>
    <chartFormat chart="12" format="64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8"/>
          </reference>
        </references>
      </pivotArea>
    </chartFormat>
    <chartFormat chart="12" format="64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9"/>
          </reference>
        </references>
      </pivotArea>
    </chartFormat>
    <chartFormat chart="12" format="64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0"/>
          </reference>
        </references>
      </pivotArea>
    </chartFormat>
    <chartFormat chart="12" format="64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1"/>
          </reference>
        </references>
      </pivotArea>
    </chartFormat>
    <chartFormat chart="12" format="64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2"/>
          </reference>
        </references>
      </pivotArea>
    </chartFormat>
    <chartFormat chart="12" format="64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3"/>
          </reference>
        </references>
      </pivotArea>
    </chartFormat>
    <chartFormat chart="12" format="64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4"/>
          </reference>
        </references>
      </pivotArea>
    </chartFormat>
    <chartFormat chart="12" format="64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5"/>
          </reference>
        </references>
      </pivotArea>
    </chartFormat>
    <chartFormat chart="12" format="64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6"/>
          </reference>
        </references>
      </pivotArea>
    </chartFormat>
    <chartFormat chart="12" format="65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7"/>
          </reference>
        </references>
      </pivotArea>
    </chartFormat>
    <chartFormat chart="12" format="65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8"/>
          </reference>
        </references>
      </pivotArea>
    </chartFormat>
    <chartFormat chart="12" format="65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9"/>
          </reference>
        </references>
      </pivotArea>
    </chartFormat>
    <chartFormat chart="12" format="65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0"/>
          </reference>
        </references>
      </pivotArea>
    </chartFormat>
    <chartFormat chart="12" format="65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1"/>
          </reference>
        </references>
      </pivotArea>
    </chartFormat>
    <chartFormat chart="12" format="65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2"/>
          </reference>
        </references>
      </pivotArea>
    </chartFormat>
    <chartFormat chart="12" format="65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3"/>
          </reference>
        </references>
      </pivotArea>
    </chartFormat>
    <chartFormat chart="12" format="65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4"/>
          </reference>
        </references>
      </pivotArea>
    </chartFormat>
    <chartFormat chart="12" format="65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5"/>
          </reference>
        </references>
      </pivotArea>
    </chartFormat>
    <chartFormat chart="12" format="65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6"/>
          </reference>
        </references>
      </pivotArea>
    </chartFormat>
    <chartFormat chart="12" format="66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7"/>
          </reference>
        </references>
      </pivotArea>
    </chartFormat>
    <chartFormat chart="12" format="66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8"/>
          </reference>
        </references>
      </pivotArea>
    </chartFormat>
    <chartFormat chart="12" format="66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9"/>
          </reference>
        </references>
      </pivotArea>
    </chartFormat>
    <chartFormat chart="12" format="66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0"/>
          </reference>
        </references>
      </pivotArea>
    </chartFormat>
    <chartFormat chart="12" format="66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1"/>
          </reference>
        </references>
      </pivotArea>
    </chartFormat>
    <chartFormat chart="12" format="66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2"/>
          </reference>
        </references>
      </pivotArea>
    </chartFormat>
    <chartFormat chart="12" format="66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3"/>
          </reference>
        </references>
      </pivotArea>
    </chartFormat>
    <chartFormat chart="12" format="66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4"/>
          </reference>
        </references>
      </pivotArea>
    </chartFormat>
    <chartFormat chart="12" format="66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5"/>
          </reference>
        </references>
      </pivotArea>
    </chartFormat>
    <chartFormat chart="12" format="66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6"/>
          </reference>
        </references>
      </pivotArea>
    </chartFormat>
    <chartFormat chart="12" format="67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7"/>
          </reference>
        </references>
      </pivotArea>
    </chartFormat>
    <chartFormat chart="12" format="67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8"/>
          </reference>
        </references>
      </pivotArea>
    </chartFormat>
    <chartFormat chart="12" format="67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9"/>
          </reference>
        </references>
      </pivotArea>
    </chartFormat>
    <chartFormat chart="12" format="67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0"/>
          </reference>
        </references>
      </pivotArea>
    </chartFormat>
    <chartFormat chart="12" format="67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1"/>
          </reference>
        </references>
      </pivotArea>
    </chartFormat>
    <chartFormat chart="12" format="67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2"/>
          </reference>
        </references>
      </pivotArea>
    </chartFormat>
    <chartFormat chart="12" format="67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3"/>
          </reference>
        </references>
      </pivotArea>
    </chartFormat>
    <chartFormat chart="12" format="67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4"/>
          </reference>
        </references>
      </pivotArea>
    </chartFormat>
    <chartFormat chart="12" format="67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5"/>
          </reference>
        </references>
      </pivotArea>
    </chartFormat>
    <chartFormat chart="12" format="67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6"/>
          </reference>
        </references>
      </pivotArea>
    </chartFormat>
    <chartFormat chart="12" format="68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7"/>
          </reference>
        </references>
      </pivotArea>
    </chartFormat>
    <chartFormat chart="12" format="68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8"/>
          </reference>
        </references>
      </pivotArea>
    </chartFormat>
    <chartFormat chart="12" format="68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9"/>
          </reference>
        </references>
      </pivotArea>
    </chartFormat>
    <chartFormat chart="12" format="68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10"/>
          </reference>
        </references>
      </pivotArea>
    </chartFormat>
    <chartFormat chart="12" format="68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11"/>
          </reference>
        </references>
      </pivotArea>
    </chartFormat>
    <chartFormat chart="12" format="68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12"/>
          </reference>
        </references>
      </pivotArea>
    </chartFormat>
    <chartFormat chart="12" format="68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13"/>
          </reference>
        </references>
      </pivotArea>
    </chartFormat>
    <chartFormat chart="12" format="68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14"/>
          </reference>
        </references>
      </pivotArea>
    </chartFormat>
    <chartFormat chart="12" format="68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15"/>
          </reference>
        </references>
      </pivotArea>
    </chartFormat>
    <chartFormat chart="12" format="68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16"/>
          </reference>
        </references>
      </pivotArea>
    </chartFormat>
    <chartFormat chart="12" format="69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17"/>
          </reference>
        </references>
      </pivotArea>
    </chartFormat>
    <chartFormat chart="12" format="69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18"/>
          </reference>
        </references>
      </pivotArea>
    </chartFormat>
    <chartFormat chart="12" format="69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19"/>
          </reference>
        </references>
      </pivotArea>
    </chartFormat>
    <chartFormat chart="12" format="69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20"/>
          </reference>
        </references>
      </pivotArea>
    </chartFormat>
    <chartFormat chart="12" format="69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21"/>
          </reference>
        </references>
      </pivotArea>
    </chartFormat>
    <chartFormat chart="12" format="69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22"/>
          </reference>
        </references>
      </pivotArea>
    </chartFormat>
    <chartFormat chart="12" format="69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23"/>
          </reference>
        </references>
      </pivotArea>
    </chartFormat>
    <chartFormat chart="12" format="69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24"/>
          </reference>
        </references>
      </pivotArea>
    </chartFormat>
    <chartFormat chart="12" format="69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25"/>
          </reference>
        </references>
      </pivotArea>
    </chartFormat>
    <chartFormat chart="12" format="69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26"/>
          </reference>
        </references>
      </pivotArea>
    </chartFormat>
    <chartFormat chart="12" format="70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27"/>
          </reference>
        </references>
      </pivotArea>
    </chartFormat>
    <chartFormat chart="12" format="70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28"/>
          </reference>
        </references>
      </pivotArea>
    </chartFormat>
    <chartFormat chart="12" format="70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29"/>
          </reference>
        </references>
      </pivotArea>
    </chartFormat>
    <chartFormat chart="12" format="70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30"/>
          </reference>
        </references>
      </pivotArea>
    </chartFormat>
    <chartFormat chart="12" format="70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31"/>
          </reference>
        </references>
      </pivotArea>
    </chartFormat>
    <chartFormat chart="12" format="70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32"/>
          </reference>
        </references>
      </pivotArea>
    </chartFormat>
    <chartFormat chart="12" format="70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33"/>
          </reference>
        </references>
      </pivotArea>
    </chartFormat>
    <chartFormat chart="12" format="70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34"/>
          </reference>
        </references>
      </pivotArea>
    </chartFormat>
    <chartFormat chart="12" format="70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35"/>
          </reference>
        </references>
      </pivotArea>
    </chartFormat>
    <chartFormat chart="12" format="70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36"/>
          </reference>
        </references>
      </pivotArea>
    </chartFormat>
    <chartFormat chart="12" format="7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37"/>
          </reference>
        </references>
      </pivotArea>
    </chartFormat>
    <chartFormat chart="12" format="7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38"/>
          </reference>
        </references>
      </pivotArea>
    </chartFormat>
    <chartFormat chart="12" format="71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39"/>
          </reference>
        </references>
      </pivotArea>
    </chartFormat>
    <chartFormat chart="12" format="71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40"/>
          </reference>
        </references>
      </pivotArea>
    </chartFormat>
    <chartFormat chart="12" format="71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41"/>
          </reference>
        </references>
      </pivotArea>
    </chartFormat>
    <chartFormat chart="12" format="71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42"/>
          </reference>
        </references>
      </pivotArea>
    </chartFormat>
    <chartFormat chart="12" format="71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43"/>
          </reference>
        </references>
      </pivotArea>
    </chartFormat>
    <chartFormat chart="12" format="71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44"/>
          </reference>
        </references>
      </pivotArea>
    </chartFormat>
    <chartFormat chart="12" format="71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45"/>
          </reference>
        </references>
      </pivotArea>
    </chartFormat>
    <chartFormat chart="12" format="71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46"/>
          </reference>
        </references>
      </pivotArea>
    </chartFormat>
    <chartFormat chart="12" format="72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47"/>
          </reference>
        </references>
      </pivotArea>
    </chartFormat>
    <chartFormat chart="12" format="72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48"/>
          </reference>
        </references>
      </pivotArea>
    </chartFormat>
    <chartFormat chart="12" format="72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49"/>
          </reference>
        </references>
      </pivotArea>
    </chartFormat>
    <chartFormat chart="12" format="72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50"/>
          </reference>
        </references>
      </pivotArea>
    </chartFormat>
    <chartFormat chart="12" format="72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51"/>
          </reference>
        </references>
      </pivotArea>
    </chartFormat>
    <chartFormat chart="12" format="72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52"/>
          </reference>
        </references>
      </pivotArea>
    </chartFormat>
    <chartFormat chart="12" format="72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53"/>
          </reference>
        </references>
      </pivotArea>
    </chartFormat>
    <chartFormat chart="12" format="72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54"/>
          </reference>
        </references>
      </pivotArea>
    </chartFormat>
    <chartFormat chart="12" format="72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55"/>
          </reference>
        </references>
      </pivotArea>
    </chartFormat>
    <chartFormat chart="12" format="72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56"/>
          </reference>
        </references>
      </pivotArea>
    </chartFormat>
    <chartFormat chart="12" format="73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57"/>
          </reference>
        </references>
      </pivotArea>
    </chartFormat>
    <chartFormat chart="12" format="73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58"/>
          </reference>
        </references>
      </pivotArea>
    </chartFormat>
    <chartFormat chart="12" format="73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59"/>
          </reference>
        </references>
      </pivotArea>
    </chartFormat>
    <chartFormat chart="12" format="73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60"/>
          </reference>
        </references>
      </pivotArea>
    </chartFormat>
    <chartFormat chart="12" format="73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61"/>
          </reference>
        </references>
      </pivotArea>
    </chartFormat>
    <chartFormat chart="12" format="73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62"/>
          </reference>
        </references>
      </pivotArea>
    </chartFormat>
    <chartFormat chart="12" format="73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63"/>
          </reference>
        </references>
      </pivotArea>
    </chartFormat>
    <chartFormat chart="12" format="73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64"/>
          </reference>
        </references>
      </pivotArea>
    </chartFormat>
    <chartFormat chart="12" format="73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65"/>
          </reference>
        </references>
      </pivotArea>
    </chartFormat>
    <chartFormat chart="12" format="73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66"/>
          </reference>
        </references>
      </pivotArea>
    </chartFormat>
    <chartFormat chart="12" format="74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67"/>
          </reference>
        </references>
      </pivotArea>
    </chartFormat>
    <chartFormat chart="12" format="74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68"/>
          </reference>
        </references>
      </pivotArea>
    </chartFormat>
    <chartFormat chart="12" format="74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69"/>
          </reference>
        </references>
      </pivotArea>
    </chartFormat>
    <chartFormat chart="12" format="74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70"/>
          </reference>
        </references>
      </pivotArea>
    </chartFormat>
    <chartFormat chart="12" format="74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71"/>
          </reference>
        </references>
      </pivotArea>
    </chartFormat>
    <chartFormat chart="12" format="74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72"/>
          </reference>
        </references>
      </pivotArea>
    </chartFormat>
    <chartFormat chart="12" format="74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73"/>
          </reference>
        </references>
      </pivotArea>
    </chartFormat>
    <chartFormat chart="12" format="74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74"/>
          </reference>
        </references>
      </pivotArea>
    </chartFormat>
    <chartFormat chart="12" format="74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75"/>
          </reference>
        </references>
      </pivotArea>
    </chartFormat>
    <chartFormat chart="12" format="74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76"/>
          </reference>
        </references>
      </pivotArea>
    </chartFormat>
    <chartFormat chart="12" format="75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77"/>
          </reference>
        </references>
      </pivotArea>
    </chartFormat>
    <chartFormat chart="12" format="75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78"/>
          </reference>
        </references>
      </pivotArea>
    </chartFormat>
    <chartFormat chart="12" format="75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79"/>
          </reference>
        </references>
      </pivotArea>
    </chartFormat>
    <chartFormat chart="12" format="75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80"/>
          </reference>
        </references>
      </pivotArea>
    </chartFormat>
    <chartFormat chart="12" format="75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81"/>
          </reference>
        </references>
      </pivotArea>
    </chartFormat>
    <chartFormat chart="12" format="75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82"/>
          </reference>
        </references>
      </pivotArea>
    </chartFormat>
    <chartFormat chart="12" format="75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83"/>
          </reference>
        </references>
      </pivotArea>
    </chartFormat>
    <chartFormat chart="12" format="75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84"/>
          </reference>
        </references>
      </pivotArea>
    </chartFormat>
    <chartFormat chart="12" format="75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85"/>
          </reference>
        </references>
      </pivotArea>
    </chartFormat>
    <chartFormat chart="12" format="75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86"/>
          </reference>
        </references>
      </pivotArea>
    </chartFormat>
    <chartFormat chart="12" format="76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87"/>
          </reference>
        </references>
      </pivotArea>
    </chartFormat>
    <chartFormat chart="12" format="76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88"/>
          </reference>
        </references>
      </pivotArea>
    </chartFormat>
    <chartFormat chart="12" format="76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89"/>
          </reference>
        </references>
      </pivotArea>
    </chartFormat>
    <chartFormat chart="12" format="76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90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14" type="count" evalOrder="-1" id="3" iMeasureFld="0">
      <autoFilter ref="A1">
        <filterColumn colId="0">
          <top10 val="5" filterVal="5"/>
        </filterColumn>
      </autoFilter>
    </filter>
    <filter fld="5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690AE2-B177-47B8-8095-818AF7896E66}" name="PivotTable3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GK38" firstHeaderRow="1" firstDataRow="2" firstDataCol="1"/>
  <pivotFields count="21">
    <pivotField showAll="0"/>
    <pivotField showAll="0"/>
    <pivotField showAll="0"/>
    <pivotField axis="axisCol" showAll="0">
      <items count="192">
        <item x="17"/>
        <item x="91"/>
        <item x="12"/>
        <item x="18"/>
        <item x="114"/>
        <item x="108"/>
        <item x="13"/>
        <item x="142"/>
        <item x="57"/>
        <item x="10"/>
        <item x="3"/>
        <item x="19"/>
        <item x="47"/>
        <item x="89"/>
        <item x="72"/>
        <item x="36"/>
        <item x="115"/>
        <item x="14"/>
        <item x="189"/>
        <item x="122"/>
        <item x="20"/>
        <item x="69"/>
        <item x="80"/>
        <item x="87"/>
        <item x="46"/>
        <item x="169"/>
        <item x="21"/>
        <item x="144"/>
        <item x="149"/>
        <item x="179"/>
        <item x="167"/>
        <item x="150"/>
        <item x="152"/>
        <item x="34"/>
        <item x="64"/>
        <item x="90"/>
        <item x="68"/>
        <item x="22"/>
        <item x="154"/>
        <item x="84"/>
        <item x="29"/>
        <item x="107"/>
        <item x="180"/>
        <item x="103"/>
        <item x="175"/>
        <item x="116"/>
        <item x="52"/>
        <item x="130"/>
        <item x="113"/>
        <item x="133"/>
        <item x="40"/>
        <item x="131"/>
        <item x="58"/>
        <item x="75"/>
        <item x="15"/>
        <item x="126"/>
        <item x="6"/>
        <item x="78"/>
        <item x="98"/>
        <item x="151"/>
        <item x="27"/>
        <item x="99"/>
        <item x="185"/>
        <item x="147"/>
        <item x="124"/>
        <item x="63"/>
        <item x="33"/>
        <item x="94"/>
        <item x="148"/>
        <item x="157"/>
        <item x="11"/>
        <item x="37"/>
        <item x="77"/>
        <item x="171"/>
        <item x="50"/>
        <item x="28"/>
        <item x="23"/>
        <item x="128"/>
        <item x="141"/>
        <item x="4"/>
        <item x="71"/>
        <item x="110"/>
        <item x="112"/>
        <item x="66"/>
        <item x="139"/>
        <item x="76"/>
        <item x="45"/>
        <item x="38"/>
        <item x="146"/>
        <item x="62"/>
        <item x="31"/>
        <item x="41"/>
        <item x="7"/>
        <item x="190"/>
        <item x="102"/>
        <item x="188"/>
        <item x="135"/>
        <item x="121"/>
        <item x="161"/>
        <item x="49"/>
        <item x="32"/>
        <item x="60"/>
        <item x="153"/>
        <item x="155"/>
        <item x="172"/>
        <item x="118"/>
        <item x="53"/>
        <item x="111"/>
        <item x="82"/>
        <item x="67"/>
        <item x="48"/>
        <item x="95"/>
        <item x="125"/>
        <item x="74"/>
        <item x="43"/>
        <item x="156"/>
        <item x="8"/>
        <item x="170"/>
        <item x="85"/>
        <item x="24"/>
        <item x="138"/>
        <item x="42"/>
        <item x="134"/>
        <item x="127"/>
        <item x="9"/>
        <item x="120"/>
        <item x="55"/>
        <item x="109"/>
        <item x="174"/>
        <item x="97"/>
        <item x="166"/>
        <item x="186"/>
        <item x="83"/>
        <item x="178"/>
        <item x="1"/>
        <item x="2"/>
        <item x="56"/>
        <item x="54"/>
        <item x="162"/>
        <item x="182"/>
        <item x="93"/>
        <item x="81"/>
        <item x="73"/>
        <item x="101"/>
        <item x="65"/>
        <item x="96"/>
        <item x="0"/>
        <item x="137"/>
        <item x="164"/>
        <item x="25"/>
        <item x="61"/>
        <item x="104"/>
        <item x="88"/>
        <item x="51"/>
        <item x="106"/>
        <item x="184"/>
        <item x="165"/>
        <item x="44"/>
        <item x="117"/>
        <item x="39"/>
        <item x="143"/>
        <item x="132"/>
        <item x="181"/>
        <item x="187"/>
        <item x="5"/>
        <item x="86"/>
        <item x="30"/>
        <item x="26"/>
        <item x="168"/>
        <item x="136"/>
        <item x="129"/>
        <item x="119"/>
        <item x="140"/>
        <item x="123"/>
        <item x="16"/>
        <item x="159"/>
        <item x="163"/>
        <item x="35"/>
        <item x="79"/>
        <item x="177"/>
        <item x="158"/>
        <item x="145"/>
        <item x="160"/>
        <item x="173"/>
        <item x="100"/>
        <item x="183"/>
        <item x="176"/>
        <item x="105"/>
        <item x="92"/>
        <item x="70"/>
        <item x="59"/>
        <item t="default"/>
      </items>
    </pivotField>
    <pivotField numFmtId="22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34">
        <item x="3"/>
        <item x="17"/>
        <item x="18"/>
        <item x="6"/>
        <item x="25"/>
        <item x="1"/>
        <item x="24"/>
        <item x="27"/>
        <item x="20"/>
        <item x="19"/>
        <item x="5"/>
        <item x="9"/>
        <item x="8"/>
        <item x="4"/>
        <item x="28"/>
        <item x="11"/>
        <item x="29"/>
        <item x="7"/>
        <item x="21"/>
        <item x="30"/>
        <item x="23"/>
        <item x="12"/>
        <item x="26"/>
        <item x="22"/>
        <item x="15"/>
        <item x="31"/>
        <item x="13"/>
        <item x="14"/>
        <item x="10"/>
        <item x="16"/>
        <item x="32"/>
        <item x="2"/>
        <item x="0"/>
        <item t="default"/>
      </items>
    </pivotField>
    <pivotField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14"/>
  </rowFields>
  <rowItems count="3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 t="grand">
      <x/>
    </i>
  </rowItems>
  <colFields count="1">
    <field x="3"/>
  </colFields>
  <colItems count="19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 t="grand">
      <x/>
    </i>
  </colItems>
  <dataFields count="1">
    <dataField name="Average of Likes" fld="12" subtotal="average" baseField="14" baseItem="0"/>
  </dataField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4" count="33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</reference>
          </references>
        </pivotArea>
      </pivotAreas>
    </conditionalFormat>
  </conditionalFormats>
  <chartFormats count="191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1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2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3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4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5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6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7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8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9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0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1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2"/>
          </reference>
        </references>
      </pivotArea>
    </chartFormat>
    <chartFormat chart="0" format="2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3"/>
          </reference>
        </references>
      </pivotArea>
    </chartFormat>
    <chartFormat chart="0" format="2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4"/>
          </reference>
        </references>
      </pivotArea>
    </chartFormat>
    <chartFormat chart="0" format="2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5"/>
          </reference>
        </references>
      </pivotArea>
    </chartFormat>
    <chartFormat chart="0" format="2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6"/>
          </reference>
        </references>
      </pivotArea>
    </chartFormat>
    <chartFormat chart="0" format="2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7"/>
          </reference>
        </references>
      </pivotArea>
    </chartFormat>
    <chartFormat chart="0" format="2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8"/>
          </reference>
        </references>
      </pivotArea>
    </chartFormat>
    <chartFormat chart="0" format="2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9"/>
          </reference>
        </references>
      </pivotArea>
    </chartFormat>
    <chartFormat chart="0" format="3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0"/>
          </reference>
        </references>
      </pivotArea>
    </chartFormat>
    <chartFormat chart="0" format="3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1"/>
          </reference>
        </references>
      </pivotArea>
    </chartFormat>
    <chartFormat chart="0" format="3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2"/>
          </reference>
        </references>
      </pivotArea>
    </chartFormat>
    <chartFormat chart="0" format="3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3"/>
          </reference>
        </references>
      </pivotArea>
    </chartFormat>
    <chartFormat chart="0" format="3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4"/>
          </reference>
        </references>
      </pivotArea>
    </chartFormat>
    <chartFormat chart="0" format="3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5"/>
          </reference>
        </references>
      </pivotArea>
    </chartFormat>
    <chartFormat chart="0" format="3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6"/>
          </reference>
        </references>
      </pivotArea>
    </chartFormat>
    <chartFormat chart="0" format="3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7"/>
          </reference>
        </references>
      </pivotArea>
    </chartFormat>
    <chartFormat chart="0" format="3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8"/>
          </reference>
        </references>
      </pivotArea>
    </chartFormat>
    <chartFormat chart="0" format="3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9"/>
          </reference>
        </references>
      </pivotArea>
    </chartFormat>
    <chartFormat chart="0" format="4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0"/>
          </reference>
        </references>
      </pivotArea>
    </chartFormat>
    <chartFormat chart="0" format="4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1"/>
          </reference>
        </references>
      </pivotArea>
    </chartFormat>
    <chartFormat chart="0" format="4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2"/>
          </reference>
        </references>
      </pivotArea>
    </chartFormat>
    <chartFormat chart="0" format="4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3"/>
          </reference>
        </references>
      </pivotArea>
    </chartFormat>
    <chartFormat chart="0" format="4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4"/>
          </reference>
        </references>
      </pivotArea>
    </chartFormat>
    <chartFormat chart="0" format="4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5"/>
          </reference>
        </references>
      </pivotArea>
    </chartFormat>
    <chartFormat chart="0" format="4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6"/>
          </reference>
        </references>
      </pivotArea>
    </chartFormat>
    <chartFormat chart="0" format="4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7"/>
          </reference>
        </references>
      </pivotArea>
    </chartFormat>
    <chartFormat chart="0" format="4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8"/>
          </reference>
        </references>
      </pivotArea>
    </chartFormat>
    <chartFormat chart="0" format="4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9"/>
          </reference>
        </references>
      </pivotArea>
    </chartFormat>
    <chartFormat chart="0" format="5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0"/>
          </reference>
        </references>
      </pivotArea>
    </chartFormat>
    <chartFormat chart="0" format="5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1"/>
          </reference>
        </references>
      </pivotArea>
    </chartFormat>
    <chartFormat chart="0" format="5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2"/>
          </reference>
        </references>
      </pivotArea>
    </chartFormat>
    <chartFormat chart="0" format="5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3"/>
          </reference>
        </references>
      </pivotArea>
    </chartFormat>
    <chartFormat chart="0" format="5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4"/>
          </reference>
        </references>
      </pivotArea>
    </chartFormat>
    <chartFormat chart="0" format="5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5"/>
          </reference>
        </references>
      </pivotArea>
    </chartFormat>
    <chartFormat chart="0" format="5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6"/>
          </reference>
        </references>
      </pivotArea>
    </chartFormat>
    <chartFormat chart="0" format="5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7"/>
          </reference>
        </references>
      </pivotArea>
    </chartFormat>
    <chartFormat chart="0" format="5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8"/>
          </reference>
        </references>
      </pivotArea>
    </chartFormat>
    <chartFormat chart="0" format="5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9"/>
          </reference>
        </references>
      </pivotArea>
    </chartFormat>
    <chartFormat chart="0" format="6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0"/>
          </reference>
        </references>
      </pivotArea>
    </chartFormat>
    <chartFormat chart="0" format="6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1"/>
          </reference>
        </references>
      </pivotArea>
    </chartFormat>
    <chartFormat chart="0" format="6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2"/>
          </reference>
        </references>
      </pivotArea>
    </chartFormat>
    <chartFormat chart="0" format="6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3"/>
          </reference>
        </references>
      </pivotArea>
    </chartFormat>
    <chartFormat chart="0" format="6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4"/>
          </reference>
        </references>
      </pivotArea>
    </chartFormat>
    <chartFormat chart="0" format="6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5"/>
          </reference>
        </references>
      </pivotArea>
    </chartFormat>
    <chartFormat chart="0" format="6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6"/>
          </reference>
        </references>
      </pivotArea>
    </chartFormat>
    <chartFormat chart="0" format="6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7"/>
          </reference>
        </references>
      </pivotArea>
    </chartFormat>
    <chartFormat chart="0" format="6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8"/>
          </reference>
        </references>
      </pivotArea>
    </chartFormat>
    <chartFormat chart="0" format="6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9"/>
          </reference>
        </references>
      </pivotArea>
    </chartFormat>
    <chartFormat chart="0" format="7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0"/>
          </reference>
        </references>
      </pivotArea>
    </chartFormat>
    <chartFormat chart="0" format="7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1"/>
          </reference>
        </references>
      </pivotArea>
    </chartFormat>
    <chartFormat chart="0" format="7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2"/>
          </reference>
        </references>
      </pivotArea>
    </chartFormat>
    <chartFormat chart="0" format="7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3"/>
          </reference>
        </references>
      </pivotArea>
    </chartFormat>
    <chartFormat chart="0" format="7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4"/>
          </reference>
        </references>
      </pivotArea>
    </chartFormat>
    <chartFormat chart="0" format="7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5"/>
          </reference>
        </references>
      </pivotArea>
    </chartFormat>
    <chartFormat chart="0" format="7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6"/>
          </reference>
        </references>
      </pivotArea>
    </chartFormat>
    <chartFormat chart="0" format="7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7"/>
          </reference>
        </references>
      </pivotArea>
    </chartFormat>
    <chartFormat chart="0" format="7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8"/>
          </reference>
        </references>
      </pivotArea>
    </chartFormat>
    <chartFormat chart="0" format="7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9"/>
          </reference>
        </references>
      </pivotArea>
    </chartFormat>
    <chartFormat chart="0" format="8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0"/>
          </reference>
        </references>
      </pivotArea>
    </chartFormat>
    <chartFormat chart="0" format="8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1"/>
          </reference>
        </references>
      </pivotArea>
    </chartFormat>
    <chartFormat chart="0" format="8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2"/>
          </reference>
        </references>
      </pivotArea>
    </chartFormat>
    <chartFormat chart="0" format="8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3"/>
          </reference>
        </references>
      </pivotArea>
    </chartFormat>
    <chartFormat chart="0" format="8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4"/>
          </reference>
        </references>
      </pivotArea>
    </chartFormat>
    <chartFormat chart="0" format="8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5"/>
          </reference>
        </references>
      </pivotArea>
    </chartFormat>
    <chartFormat chart="0" format="8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6"/>
          </reference>
        </references>
      </pivotArea>
    </chartFormat>
    <chartFormat chart="0" format="8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7"/>
          </reference>
        </references>
      </pivotArea>
    </chartFormat>
    <chartFormat chart="0" format="8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8"/>
          </reference>
        </references>
      </pivotArea>
    </chartFormat>
    <chartFormat chart="0" format="8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9"/>
          </reference>
        </references>
      </pivotArea>
    </chartFormat>
    <chartFormat chart="0" format="9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0"/>
          </reference>
        </references>
      </pivotArea>
    </chartFormat>
    <chartFormat chart="0" format="9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1"/>
          </reference>
        </references>
      </pivotArea>
    </chartFormat>
    <chartFormat chart="0" format="9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2"/>
          </reference>
        </references>
      </pivotArea>
    </chartFormat>
    <chartFormat chart="0" format="9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3"/>
          </reference>
        </references>
      </pivotArea>
    </chartFormat>
    <chartFormat chart="0" format="9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4"/>
          </reference>
        </references>
      </pivotArea>
    </chartFormat>
    <chartFormat chart="0" format="9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5"/>
          </reference>
        </references>
      </pivotArea>
    </chartFormat>
    <chartFormat chart="0" format="9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6"/>
          </reference>
        </references>
      </pivotArea>
    </chartFormat>
    <chartFormat chart="0" format="9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7"/>
          </reference>
        </references>
      </pivotArea>
    </chartFormat>
    <chartFormat chart="0" format="9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8"/>
          </reference>
        </references>
      </pivotArea>
    </chartFormat>
    <chartFormat chart="0" format="9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9"/>
          </reference>
        </references>
      </pivotArea>
    </chartFormat>
    <chartFormat chart="0" format="10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0"/>
          </reference>
        </references>
      </pivotArea>
    </chartFormat>
    <chartFormat chart="0" format="10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1"/>
          </reference>
        </references>
      </pivotArea>
    </chartFormat>
    <chartFormat chart="0" format="10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2"/>
          </reference>
        </references>
      </pivotArea>
    </chartFormat>
    <chartFormat chart="0" format="10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3"/>
          </reference>
        </references>
      </pivotArea>
    </chartFormat>
    <chartFormat chart="0" format="10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4"/>
          </reference>
        </references>
      </pivotArea>
    </chartFormat>
    <chartFormat chart="0" format="10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5"/>
          </reference>
        </references>
      </pivotArea>
    </chartFormat>
    <chartFormat chart="0" format="10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6"/>
          </reference>
        </references>
      </pivotArea>
    </chartFormat>
    <chartFormat chart="0" format="10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7"/>
          </reference>
        </references>
      </pivotArea>
    </chartFormat>
    <chartFormat chart="0" format="10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8"/>
          </reference>
        </references>
      </pivotArea>
    </chartFormat>
    <chartFormat chart="0" format="10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9"/>
          </reference>
        </references>
      </pivotArea>
    </chartFormat>
    <chartFormat chart="0" format="1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10"/>
          </reference>
        </references>
      </pivotArea>
    </chartFormat>
    <chartFormat chart="0" format="1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11"/>
          </reference>
        </references>
      </pivotArea>
    </chartFormat>
    <chartFormat chart="0" format="11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12"/>
          </reference>
        </references>
      </pivotArea>
    </chartFormat>
    <chartFormat chart="0" format="11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13"/>
          </reference>
        </references>
      </pivotArea>
    </chartFormat>
    <chartFormat chart="0" format="11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14"/>
          </reference>
        </references>
      </pivotArea>
    </chartFormat>
    <chartFormat chart="0" format="11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15"/>
          </reference>
        </references>
      </pivotArea>
    </chartFormat>
    <chartFormat chart="0" format="11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16"/>
          </reference>
        </references>
      </pivotArea>
    </chartFormat>
    <chartFormat chart="0" format="11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17"/>
          </reference>
        </references>
      </pivotArea>
    </chartFormat>
    <chartFormat chart="0" format="11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18"/>
          </reference>
        </references>
      </pivotArea>
    </chartFormat>
    <chartFormat chart="0" format="11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19"/>
          </reference>
        </references>
      </pivotArea>
    </chartFormat>
    <chartFormat chart="0" format="12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20"/>
          </reference>
        </references>
      </pivotArea>
    </chartFormat>
    <chartFormat chart="0" format="12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21"/>
          </reference>
        </references>
      </pivotArea>
    </chartFormat>
    <chartFormat chart="0" format="12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22"/>
          </reference>
        </references>
      </pivotArea>
    </chartFormat>
    <chartFormat chart="0" format="12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23"/>
          </reference>
        </references>
      </pivotArea>
    </chartFormat>
    <chartFormat chart="0" format="12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24"/>
          </reference>
        </references>
      </pivotArea>
    </chartFormat>
    <chartFormat chart="0" format="12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25"/>
          </reference>
        </references>
      </pivotArea>
    </chartFormat>
    <chartFormat chart="0" format="12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26"/>
          </reference>
        </references>
      </pivotArea>
    </chartFormat>
    <chartFormat chart="0" format="12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27"/>
          </reference>
        </references>
      </pivotArea>
    </chartFormat>
    <chartFormat chart="0" format="12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28"/>
          </reference>
        </references>
      </pivotArea>
    </chartFormat>
    <chartFormat chart="0" format="12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29"/>
          </reference>
        </references>
      </pivotArea>
    </chartFormat>
    <chartFormat chart="0" format="13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30"/>
          </reference>
        </references>
      </pivotArea>
    </chartFormat>
    <chartFormat chart="0" format="13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31"/>
          </reference>
        </references>
      </pivotArea>
    </chartFormat>
    <chartFormat chart="0" format="13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32"/>
          </reference>
        </references>
      </pivotArea>
    </chartFormat>
    <chartFormat chart="0" format="13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33"/>
          </reference>
        </references>
      </pivotArea>
    </chartFormat>
    <chartFormat chart="0" format="13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34"/>
          </reference>
        </references>
      </pivotArea>
    </chartFormat>
    <chartFormat chart="0" format="13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35"/>
          </reference>
        </references>
      </pivotArea>
    </chartFormat>
    <chartFormat chart="0" format="13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36"/>
          </reference>
        </references>
      </pivotArea>
    </chartFormat>
    <chartFormat chart="0" format="13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37"/>
          </reference>
        </references>
      </pivotArea>
    </chartFormat>
    <chartFormat chart="0" format="13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38"/>
          </reference>
        </references>
      </pivotArea>
    </chartFormat>
    <chartFormat chart="0" format="13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39"/>
          </reference>
        </references>
      </pivotArea>
    </chartFormat>
    <chartFormat chart="0" format="14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40"/>
          </reference>
        </references>
      </pivotArea>
    </chartFormat>
    <chartFormat chart="0" format="14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41"/>
          </reference>
        </references>
      </pivotArea>
    </chartFormat>
    <chartFormat chart="0" format="14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42"/>
          </reference>
        </references>
      </pivotArea>
    </chartFormat>
    <chartFormat chart="0" format="14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43"/>
          </reference>
        </references>
      </pivotArea>
    </chartFormat>
    <chartFormat chart="0" format="14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44"/>
          </reference>
        </references>
      </pivotArea>
    </chartFormat>
    <chartFormat chart="0" format="14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45"/>
          </reference>
        </references>
      </pivotArea>
    </chartFormat>
    <chartFormat chart="0" format="14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46"/>
          </reference>
        </references>
      </pivotArea>
    </chartFormat>
    <chartFormat chart="0" format="14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47"/>
          </reference>
        </references>
      </pivotArea>
    </chartFormat>
    <chartFormat chart="0" format="14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48"/>
          </reference>
        </references>
      </pivotArea>
    </chartFormat>
    <chartFormat chart="0" format="14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49"/>
          </reference>
        </references>
      </pivotArea>
    </chartFormat>
    <chartFormat chart="0" format="15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50"/>
          </reference>
        </references>
      </pivotArea>
    </chartFormat>
    <chartFormat chart="0" format="15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51"/>
          </reference>
        </references>
      </pivotArea>
    </chartFormat>
    <chartFormat chart="0" format="15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52"/>
          </reference>
        </references>
      </pivotArea>
    </chartFormat>
    <chartFormat chart="0" format="15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53"/>
          </reference>
        </references>
      </pivotArea>
    </chartFormat>
    <chartFormat chart="0" format="15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54"/>
          </reference>
        </references>
      </pivotArea>
    </chartFormat>
    <chartFormat chart="0" format="15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55"/>
          </reference>
        </references>
      </pivotArea>
    </chartFormat>
    <chartFormat chart="0" format="15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56"/>
          </reference>
        </references>
      </pivotArea>
    </chartFormat>
    <chartFormat chart="0" format="15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57"/>
          </reference>
        </references>
      </pivotArea>
    </chartFormat>
    <chartFormat chart="0" format="15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58"/>
          </reference>
        </references>
      </pivotArea>
    </chartFormat>
    <chartFormat chart="0" format="15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59"/>
          </reference>
        </references>
      </pivotArea>
    </chartFormat>
    <chartFormat chart="0" format="16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60"/>
          </reference>
        </references>
      </pivotArea>
    </chartFormat>
    <chartFormat chart="0" format="16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61"/>
          </reference>
        </references>
      </pivotArea>
    </chartFormat>
    <chartFormat chart="0" format="16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62"/>
          </reference>
        </references>
      </pivotArea>
    </chartFormat>
    <chartFormat chart="0" format="16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63"/>
          </reference>
        </references>
      </pivotArea>
    </chartFormat>
    <chartFormat chart="0" format="16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64"/>
          </reference>
        </references>
      </pivotArea>
    </chartFormat>
    <chartFormat chart="0" format="16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65"/>
          </reference>
        </references>
      </pivotArea>
    </chartFormat>
    <chartFormat chart="0" format="16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66"/>
          </reference>
        </references>
      </pivotArea>
    </chartFormat>
    <chartFormat chart="0" format="16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67"/>
          </reference>
        </references>
      </pivotArea>
    </chartFormat>
    <chartFormat chart="0" format="16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68"/>
          </reference>
        </references>
      </pivotArea>
    </chartFormat>
    <chartFormat chart="0" format="16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69"/>
          </reference>
        </references>
      </pivotArea>
    </chartFormat>
    <chartFormat chart="0" format="17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70"/>
          </reference>
        </references>
      </pivotArea>
    </chartFormat>
    <chartFormat chart="0" format="17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71"/>
          </reference>
        </references>
      </pivotArea>
    </chartFormat>
    <chartFormat chart="0" format="17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72"/>
          </reference>
        </references>
      </pivotArea>
    </chartFormat>
    <chartFormat chart="0" format="17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73"/>
          </reference>
        </references>
      </pivotArea>
    </chartFormat>
    <chartFormat chart="0" format="17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74"/>
          </reference>
        </references>
      </pivotArea>
    </chartFormat>
    <chartFormat chart="0" format="17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75"/>
          </reference>
        </references>
      </pivotArea>
    </chartFormat>
    <chartFormat chart="0" format="17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76"/>
          </reference>
        </references>
      </pivotArea>
    </chartFormat>
    <chartFormat chart="0" format="17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77"/>
          </reference>
        </references>
      </pivotArea>
    </chartFormat>
    <chartFormat chart="0" format="17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78"/>
          </reference>
        </references>
      </pivotArea>
    </chartFormat>
    <chartFormat chart="0" format="17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79"/>
          </reference>
        </references>
      </pivotArea>
    </chartFormat>
    <chartFormat chart="0" format="18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80"/>
          </reference>
        </references>
      </pivotArea>
    </chartFormat>
    <chartFormat chart="0" format="18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81"/>
          </reference>
        </references>
      </pivotArea>
    </chartFormat>
    <chartFormat chart="0" format="18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82"/>
          </reference>
        </references>
      </pivotArea>
    </chartFormat>
    <chartFormat chart="0" format="18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83"/>
          </reference>
        </references>
      </pivotArea>
    </chartFormat>
    <chartFormat chart="0" format="18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84"/>
          </reference>
        </references>
      </pivotArea>
    </chartFormat>
    <chartFormat chart="0" format="18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85"/>
          </reference>
        </references>
      </pivotArea>
    </chartFormat>
    <chartFormat chart="0" format="18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86"/>
          </reference>
        </references>
      </pivotArea>
    </chartFormat>
    <chartFormat chart="0" format="18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87"/>
          </reference>
        </references>
      </pivotArea>
    </chartFormat>
    <chartFormat chart="0" format="18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88"/>
          </reference>
        </references>
      </pivotArea>
    </chartFormat>
    <chartFormat chart="0" format="18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89"/>
          </reference>
        </references>
      </pivotArea>
    </chartFormat>
    <chartFormat chart="0" format="19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9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C82ADC-8E23-4D91-ACF4-CCDAFA87E860}" name="PivotTable3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7:B21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Distinct Count of Cleaned Sentiment" fld="1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pivotHierarchies count="2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Distinct Count of Cleaned Sentiment"/>
  </pivotHierarchies>
  <pivotTableStyleInfo name="PivotStyleLight16" showRowHeaders="1" showColHeaders="1" showRowStripes="0" showColStripes="0" showLastColumn="1"/>
  <rowHierarchiesUsage count="1"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3) Sentiment dataset - Codeveda Project linkedIn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F06FC3-A1BE-4D7A-8FEC-E7CDF3E812EF}" name="PivotTable2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8:B9" firstHeaderRow="0" firstDataRow="1" firstDataCol="0"/>
  <pivotFields count="21">
    <pivotField showAll="0"/>
    <pivotField showAll="0"/>
    <pivotField showAll="0"/>
    <pivotField showAll="0"/>
    <pivotField numFmtId="22"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Sum of Retweets" fld="11" baseField="0" baseItem="0"/>
    <dataField name="Sum of Likes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73E616-0ABA-4720-BC95-4586D3693A9D}" name="PivotTable1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4" firstHeaderRow="0" firstDataRow="1" firstDataCol="0"/>
  <pivotFields count="21">
    <pivotField showAll="0"/>
    <pivotField showAll="0"/>
    <pivotField showAll="0"/>
    <pivotField showAll="0"/>
    <pivotField numFmtId="22"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Average of Retweets" fld="11" subtotal="average" baseField="0" baseItem="1" numFmtId="2"/>
    <dataField name="Average of Likes" fld="12" subtotal="average" baseField="0" baseItem="1" numFmtId="2"/>
  </dataFields>
  <formats count="2">
    <format dxfId="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C94038-E599-4519-B6FD-74E172914000}" name="Table1" displayName="Table1" ref="A1:T733" totalsRowShown="0">
  <autoFilter ref="A1:T733" xr:uid="{31C94038-E599-4519-B6FD-74E172914000}"/>
  <tableColumns count="20">
    <tableColumn id="1" xr3:uid="{8824704B-EA6C-4323-8EA2-8A4DAB1D4C75}" name="Text"/>
    <tableColumn id="2" xr3:uid="{7C45F1CD-019D-4FE7-A847-9DDFBDE26D0A}" name="Cleaned Text"/>
    <tableColumn id="3" xr3:uid="{5360ACCD-FFEE-406A-811C-3DDB0281C0D8}" name="Sentiment"/>
    <tableColumn id="4" xr3:uid="{6607F3F4-9D01-4AD0-BDE6-7BC7A5BD19BA}" name="Cleaned Sentiment"/>
    <tableColumn id="5" xr3:uid="{56D4949B-3F0F-40E3-AB10-6A00EED9F73F}" name="Timestamp" dataDxfId="4"/>
    <tableColumn id="6" xr3:uid="{79D97E64-6BB3-4856-AF37-F6AD49F9398C}" name="Day_Name" dataDxfId="3">
      <calculatedColumnFormula>TEXT(E2,"DDDD")</calculatedColumnFormula>
    </tableColumn>
    <tableColumn id="7" xr3:uid="{C7C35B64-4FBB-4D57-8D25-55E8D1ED9840}" name="User"/>
    <tableColumn id="8" xr3:uid="{C73FA281-1E64-4FD1-A202-917C71013E5A}" name="Cleaned user"/>
    <tableColumn id="9" xr3:uid="{04DBFC4D-841E-4D9B-866F-E162D8808BC6}" name="Platform"/>
    <tableColumn id="10" xr3:uid="{4F03F2DC-3BFF-4990-A930-3D06C30E717D}" name="Cleaned Platform"/>
    <tableColumn id="11" xr3:uid="{47EC70A8-CE36-4FDA-A7C2-B0ED7C9930D1}" name="Hashtags"/>
    <tableColumn id="12" xr3:uid="{188D52DC-5094-4BF7-8FB6-D80C8943BEF2}" name="Retweets"/>
    <tableColumn id="13" xr3:uid="{8F80BFC4-7E49-4AFD-9A78-13A3EC78EC28}" name="Likes"/>
    <tableColumn id="14" xr3:uid="{524D6F7A-8990-4E9D-9FAC-41CB04FC4A05}" name="Country"/>
    <tableColumn id="15" xr3:uid="{CD1C7439-07C0-4FF5-8541-291FF7BA4813}" name="Cleaned Country"/>
    <tableColumn id="16" xr3:uid="{C7D7FBAD-7677-4C2B-A046-BD450C1FE966}" name="Year"/>
    <tableColumn id="17" xr3:uid="{88EEC633-26FA-4E70-A5B6-9C74F32A039E}" name="Month"/>
    <tableColumn id="18" xr3:uid="{C8C80C7D-856F-4799-AE60-9BBD2B7761C9}" name="Day"/>
    <tableColumn id="19" xr3:uid="{6D9AB167-400A-4269-9E64-573832109DA8}" name="Hour"/>
    <tableColumn id="20" xr3:uid="{935BA2AB-381C-4470-8207-58A869E1D5D3}" name="Month Name" dataDxfId="2">
      <calculatedColumnFormula>TEXT(Table1[[#This Row],[Month]],"MMMM")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8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4FFAB-2470-4D76-A85D-FFF32A463561}">
  <dimension ref="A1:O733"/>
  <sheetViews>
    <sheetView topLeftCell="E1" workbookViewId="0">
      <selection activeCell="C24" sqref="C24"/>
    </sheetView>
  </sheetViews>
  <sheetFormatPr defaultRowHeight="15" x14ac:dyDescent="0.25"/>
  <cols>
    <col min="1" max="1" width="4" bestFit="1" customWidth="1"/>
    <col min="2" max="2" width="11.5703125" bestFit="1" customWidth="1"/>
    <col min="3" max="3" width="146.7109375" bestFit="1" customWidth="1"/>
    <col min="4" max="4" width="20.28515625" bestFit="1" customWidth="1"/>
    <col min="5" max="5" width="15.85546875" bestFit="1" customWidth="1"/>
    <col min="6" max="6" width="40.140625" bestFit="1" customWidth="1"/>
    <col min="7" max="7" width="10.5703125" bestFit="1" customWidth="1"/>
    <col min="8" max="8" width="45" bestFit="1" customWidth="1"/>
    <col min="9" max="9" width="9.42578125" bestFit="1" customWidth="1"/>
    <col min="10" max="10" width="5.42578125" bestFit="1" customWidth="1"/>
    <col min="11" max="11" width="15.7109375" bestFit="1" customWidth="1"/>
    <col min="12" max="12" width="5" bestFit="1" customWidth="1"/>
    <col min="13" max="13" width="6.85546875" bestFit="1" customWidth="1"/>
    <col min="14" max="14" width="4.28515625" bestFit="1" customWidth="1"/>
    <col min="15" max="15" width="5.28515625" bestFit="1" customWidth="1"/>
  </cols>
  <sheetData>
    <row r="1" spans="1:15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25">
      <c r="A2">
        <v>0</v>
      </c>
      <c r="B2">
        <v>0</v>
      </c>
      <c r="C2" t="s">
        <v>14</v>
      </c>
      <c r="D2" t="s">
        <v>15</v>
      </c>
      <c r="E2" s="1">
        <v>44941.520833333336</v>
      </c>
      <c r="F2" t="s">
        <v>16</v>
      </c>
      <c r="G2" t="s">
        <v>17</v>
      </c>
      <c r="H2" t="s">
        <v>18</v>
      </c>
      <c r="I2">
        <v>15</v>
      </c>
      <c r="J2">
        <v>30</v>
      </c>
      <c r="K2" t="s">
        <v>19</v>
      </c>
      <c r="L2">
        <v>2023</v>
      </c>
      <c r="M2">
        <v>1</v>
      </c>
      <c r="N2">
        <v>15</v>
      </c>
      <c r="O2">
        <v>12</v>
      </c>
    </row>
    <row r="3" spans="1:15" x14ac:dyDescent="0.25">
      <c r="A3">
        <v>1</v>
      </c>
      <c r="B3">
        <v>1</v>
      </c>
      <c r="C3" t="s">
        <v>20</v>
      </c>
      <c r="D3" t="s">
        <v>21</v>
      </c>
      <c r="E3" s="1">
        <v>44941.364583333336</v>
      </c>
      <c r="F3" t="s">
        <v>22</v>
      </c>
      <c r="G3" t="s">
        <v>17</v>
      </c>
      <c r="H3" t="s">
        <v>23</v>
      </c>
      <c r="I3">
        <v>5</v>
      </c>
      <c r="J3">
        <v>10</v>
      </c>
      <c r="K3" t="s">
        <v>24</v>
      </c>
      <c r="L3">
        <v>2023</v>
      </c>
      <c r="M3">
        <v>1</v>
      </c>
      <c r="N3">
        <v>15</v>
      </c>
      <c r="O3">
        <v>8</v>
      </c>
    </row>
    <row r="4" spans="1:15" x14ac:dyDescent="0.25">
      <c r="A4">
        <v>2</v>
      </c>
      <c r="B4">
        <v>2</v>
      </c>
      <c r="C4" t="s">
        <v>25</v>
      </c>
      <c r="D4" t="s">
        <v>15</v>
      </c>
      <c r="E4" s="1">
        <v>44941.65625</v>
      </c>
      <c r="F4" t="s">
        <v>26</v>
      </c>
      <c r="G4" t="s">
        <v>27</v>
      </c>
      <c r="H4" t="s">
        <v>28</v>
      </c>
      <c r="I4">
        <v>20</v>
      </c>
      <c r="J4">
        <v>40</v>
      </c>
      <c r="K4" t="s">
        <v>29</v>
      </c>
      <c r="L4">
        <v>2023</v>
      </c>
      <c r="M4">
        <v>1</v>
      </c>
      <c r="N4">
        <v>15</v>
      </c>
      <c r="O4">
        <v>15</v>
      </c>
    </row>
    <row r="5" spans="1:15" x14ac:dyDescent="0.25">
      <c r="A5">
        <v>3</v>
      </c>
      <c r="B5">
        <v>3</v>
      </c>
      <c r="C5" t="s">
        <v>30</v>
      </c>
      <c r="D5" t="s">
        <v>15</v>
      </c>
      <c r="E5" s="1">
        <v>44941.763888888891</v>
      </c>
      <c r="F5" t="s">
        <v>31</v>
      </c>
      <c r="G5" t="s">
        <v>32</v>
      </c>
      <c r="H5" t="s">
        <v>33</v>
      </c>
      <c r="I5">
        <v>8</v>
      </c>
      <c r="J5">
        <v>15</v>
      </c>
      <c r="K5" t="s">
        <v>34</v>
      </c>
      <c r="L5">
        <v>2023</v>
      </c>
      <c r="M5">
        <v>1</v>
      </c>
      <c r="N5">
        <v>15</v>
      </c>
      <c r="O5">
        <v>18</v>
      </c>
    </row>
    <row r="6" spans="1:15" x14ac:dyDescent="0.25">
      <c r="A6">
        <v>4</v>
      </c>
      <c r="B6">
        <v>4</v>
      </c>
      <c r="C6" t="s">
        <v>35</v>
      </c>
      <c r="D6" t="s">
        <v>36</v>
      </c>
      <c r="E6" s="1">
        <v>44941.829861111109</v>
      </c>
      <c r="F6" t="s">
        <v>37</v>
      </c>
      <c r="G6" t="s">
        <v>27</v>
      </c>
      <c r="H6" t="s">
        <v>38</v>
      </c>
      <c r="I6">
        <v>12</v>
      </c>
      <c r="J6">
        <v>25</v>
      </c>
      <c r="K6" t="s">
        <v>39</v>
      </c>
      <c r="L6">
        <v>2023</v>
      </c>
      <c r="M6">
        <v>1</v>
      </c>
      <c r="N6">
        <v>15</v>
      </c>
      <c r="O6">
        <v>19</v>
      </c>
    </row>
    <row r="7" spans="1:15" x14ac:dyDescent="0.25">
      <c r="A7">
        <v>5</v>
      </c>
      <c r="B7">
        <v>5</v>
      </c>
      <c r="C7" t="s">
        <v>40</v>
      </c>
      <c r="D7" t="s">
        <v>15</v>
      </c>
      <c r="E7" s="1">
        <v>44942.381944444445</v>
      </c>
      <c r="F7" t="s">
        <v>41</v>
      </c>
      <c r="G7" t="s">
        <v>17</v>
      </c>
      <c r="H7" t="s">
        <v>42</v>
      </c>
      <c r="I7">
        <v>25</v>
      </c>
      <c r="J7">
        <v>50</v>
      </c>
      <c r="K7" t="s">
        <v>43</v>
      </c>
      <c r="L7">
        <v>2023</v>
      </c>
      <c r="M7">
        <v>1</v>
      </c>
      <c r="N7">
        <v>16</v>
      </c>
      <c r="O7">
        <v>9</v>
      </c>
    </row>
    <row r="8" spans="1:15" x14ac:dyDescent="0.25">
      <c r="A8">
        <v>6</v>
      </c>
      <c r="B8">
        <v>6</v>
      </c>
      <c r="C8" t="s">
        <v>44</v>
      </c>
      <c r="D8" t="s">
        <v>15</v>
      </c>
      <c r="E8" s="1">
        <v>44942.614583333336</v>
      </c>
      <c r="F8" t="s">
        <v>45</v>
      </c>
      <c r="G8" t="s">
        <v>32</v>
      </c>
      <c r="H8" t="s">
        <v>46</v>
      </c>
      <c r="I8">
        <v>10</v>
      </c>
      <c r="J8">
        <v>20</v>
      </c>
      <c r="K8" t="s">
        <v>24</v>
      </c>
      <c r="L8">
        <v>2023</v>
      </c>
      <c r="M8">
        <v>1</v>
      </c>
      <c r="N8">
        <v>16</v>
      </c>
      <c r="O8">
        <v>14</v>
      </c>
    </row>
    <row r="9" spans="1:15" x14ac:dyDescent="0.25">
      <c r="A9">
        <v>7</v>
      </c>
      <c r="B9">
        <v>7</v>
      </c>
      <c r="C9" t="s">
        <v>47</v>
      </c>
      <c r="D9" t="s">
        <v>15</v>
      </c>
      <c r="E9" s="1">
        <v>44942.8125</v>
      </c>
      <c r="F9" t="s">
        <v>48</v>
      </c>
      <c r="G9" t="s">
        <v>27</v>
      </c>
      <c r="H9" t="s">
        <v>49</v>
      </c>
      <c r="I9">
        <v>15</v>
      </c>
      <c r="J9">
        <v>30</v>
      </c>
      <c r="K9" t="s">
        <v>50</v>
      </c>
      <c r="L9">
        <v>2023</v>
      </c>
      <c r="M9">
        <v>1</v>
      </c>
      <c r="N9">
        <v>16</v>
      </c>
      <c r="O9">
        <v>19</v>
      </c>
    </row>
    <row r="10" spans="1:15" x14ac:dyDescent="0.25">
      <c r="A10">
        <v>8</v>
      </c>
      <c r="B10">
        <v>8</v>
      </c>
      <c r="C10" t="s">
        <v>51</v>
      </c>
      <c r="D10" t="s">
        <v>21</v>
      </c>
      <c r="E10" s="1">
        <v>44943.333333333336</v>
      </c>
      <c r="F10" t="s">
        <v>52</v>
      </c>
      <c r="G10" t="s">
        <v>17</v>
      </c>
      <c r="H10" t="s">
        <v>53</v>
      </c>
      <c r="I10">
        <v>30</v>
      </c>
      <c r="J10">
        <v>60</v>
      </c>
      <c r="K10" t="s">
        <v>19</v>
      </c>
      <c r="L10">
        <v>2023</v>
      </c>
      <c r="M10">
        <v>1</v>
      </c>
      <c r="N10">
        <v>17</v>
      </c>
      <c r="O10">
        <v>8</v>
      </c>
    </row>
    <row r="11" spans="1:15" x14ac:dyDescent="0.25">
      <c r="A11">
        <v>9</v>
      </c>
      <c r="B11">
        <v>9</v>
      </c>
      <c r="C11" t="s">
        <v>54</v>
      </c>
      <c r="D11" t="s">
        <v>36</v>
      </c>
      <c r="E11" s="1">
        <v>44943.513888888891</v>
      </c>
      <c r="F11" t="s">
        <v>55</v>
      </c>
      <c r="G11" t="s">
        <v>32</v>
      </c>
      <c r="H11" t="s">
        <v>56</v>
      </c>
      <c r="I11">
        <v>18</v>
      </c>
      <c r="J11">
        <v>35</v>
      </c>
      <c r="K11" t="s">
        <v>39</v>
      </c>
      <c r="L11">
        <v>2023</v>
      </c>
      <c r="M11">
        <v>1</v>
      </c>
      <c r="N11">
        <v>17</v>
      </c>
      <c r="O11">
        <v>12</v>
      </c>
    </row>
    <row r="12" spans="1:15" x14ac:dyDescent="0.25">
      <c r="A12">
        <v>10</v>
      </c>
      <c r="B12">
        <v>10</v>
      </c>
      <c r="C12" t="s">
        <v>57</v>
      </c>
      <c r="D12" t="s">
        <v>15</v>
      </c>
      <c r="E12" s="1">
        <v>44943.635416666664</v>
      </c>
      <c r="F12" t="s">
        <v>58</v>
      </c>
      <c r="G12" t="s">
        <v>27</v>
      </c>
      <c r="H12" t="s">
        <v>59</v>
      </c>
      <c r="I12">
        <v>22</v>
      </c>
      <c r="J12">
        <v>45</v>
      </c>
      <c r="K12" t="s">
        <v>60</v>
      </c>
      <c r="L12">
        <v>2023</v>
      </c>
      <c r="M12">
        <v>1</v>
      </c>
      <c r="N12">
        <v>17</v>
      </c>
      <c r="O12">
        <v>15</v>
      </c>
    </row>
    <row r="13" spans="1:15" x14ac:dyDescent="0.25">
      <c r="A13">
        <v>11</v>
      </c>
      <c r="B13">
        <v>11</v>
      </c>
      <c r="C13" t="s">
        <v>61</v>
      </c>
      <c r="D13" t="s">
        <v>21</v>
      </c>
      <c r="E13" s="1">
        <v>44944.4375</v>
      </c>
      <c r="F13" t="s">
        <v>62</v>
      </c>
      <c r="G13" t="s">
        <v>17</v>
      </c>
      <c r="H13" t="s">
        <v>63</v>
      </c>
      <c r="I13">
        <v>7</v>
      </c>
      <c r="J13">
        <v>15</v>
      </c>
      <c r="K13" t="s">
        <v>24</v>
      </c>
      <c r="L13">
        <v>2023</v>
      </c>
      <c r="M13">
        <v>1</v>
      </c>
      <c r="N13">
        <v>18</v>
      </c>
      <c r="O13">
        <v>10</v>
      </c>
    </row>
    <row r="14" spans="1:15" x14ac:dyDescent="0.25">
      <c r="A14">
        <v>12</v>
      </c>
      <c r="B14">
        <v>12</v>
      </c>
      <c r="C14" t="s">
        <v>64</v>
      </c>
      <c r="D14" t="s">
        <v>15</v>
      </c>
      <c r="E14" s="1">
        <v>44944.618055555555</v>
      </c>
      <c r="F14" t="s">
        <v>65</v>
      </c>
      <c r="G14" t="s">
        <v>32</v>
      </c>
      <c r="H14" t="s">
        <v>66</v>
      </c>
      <c r="I14">
        <v>12</v>
      </c>
      <c r="J14">
        <v>25</v>
      </c>
      <c r="K14" t="s">
        <v>34</v>
      </c>
      <c r="L14">
        <v>2023</v>
      </c>
      <c r="M14">
        <v>1</v>
      </c>
      <c r="N14">
        <v>18</v>
      </c>
      <c r="O14">
        <v>14</v>
      </c>
    </row>
    <row r="15" spans="1:15" x14ac:dyDescent="0.25">
      <c r="A15">
        <v>13</v>
      </c>
      <c r="B15">
        <v>13</v>
      </c>
      <c r="C15" t="s">
        <v>67</v>
      </c>
      <c r="D15" t="s">
        <v>15</v>
      </c>
      <c r="E15" s="1">
        <v>44944.75</v>
      </c>
      <c r="F15" t="s">
        <v>68</v>
      </c>
      <c r="G15" t="s">
        <v>27</v>
      </c>
      <c r="H15" t="s">
        <v>69</v>
      </c>
      <c r="I15">
        <v>28</v>
      </c>
      <c r="J15">
        <v>55</v>
      </c>
      <c r="K15" t="s">
        <v>29</v>
      </c>
      <c r="L15">
        <v>2023</v>
      </c>
      <c r="M15">
        <v>1</v>
      </c>
      <c r="N15">
        <v>18</v>
      </c>
      <c r="O15">
        <v>18</v>
      </c>
    </row>
    <row r="16" spans="1:15" x14ac:dyDescent="0.25">
      <c r="A16">
        <v>14</v>
      </c>
      <c r="B16">
        <v>14</v>
      </c>
      <c r="C16" t="s">
        <v>70</v>
      </c>
      <c r="D16" t="s">
        <v>36</v>
      </c>
      <c r="E16" s="1">
        <v>44945.40625</v>
      </c>
      <c r="F16" t="s">
        <v>71</v>
      </c>
      <c r="G16" t="s">
        <v>17</v>
      </c>
      <c r="H16" t="s">
        <v>72</v>
      </c>
      <c r="I16">
        <v>15</v>
      </c>
      <c r="J16">
        <v>30</v>
      </c>
      <c r="K16" t="s">
        <v>43</v>
      </c>
      <c r="L16">
        <v>2023</v>
      </c>
      <c r="M16">
        <v>1</v>
      </c>
      <c r="N16">
        <v>19</v>
      </c>
      <c r="O16">
        <v>9</v>
      </c>
    </row>
    <row r="17" spans="1:15" x14ac:dyDescent="0.25">
      <c r="A17">
        <v>15</v>
      </c>
      <c r="B17">
        <v>15</v>
      </c>
      <c r="C17" t="s">
        <v>73</v>
      </c>
      <c r="D17" t="s">
        <v>15</v>
      </c>
      <c r="E17" s="1">
        <v>44945.555555555555</v>
      </c>
      <c r="F17" t="s">
        <v>74</v>
      </c>
      <c r="G17" t="s">
        <v>32</v>
      </c>
      <c r="H17" t="s">
        <v>75</v>
      </c>
      <c r="I17">
        <v>20</v>
      </c>
      <c r="J17">
        <v>40</v>
      </c>
      <c r="K17" t="s">
        <v>19</v>
      </c>
      <c r="L17">
        <v>2023</v>
      </c>
      <c r="M17">
        <v>1</v>
      </c>
      <c r="N17">
        <v>19</v>
      </c>
      <c r="O17">
        <v>13</v>
      </c>
    </row>
    <row r="18" spans="1:15" x14ac:dyDescent="0.25">
      <c r="A18">
        <v>16</v>
      </c>
      <c r="B18">
        <v>16</v>
      </c>
      <c r="C18" t="s">
        <v>76</v>
      </c>
      <c r="D18" t="s">
        <v>15</v>
      </c>
      <c r="E18" s="1">
        <v>44945.715277777781</v>
      </c>
      <c r="F18" t="s">
        <v>77</v>
      </c>
      <c r="G18" t="s">
        <v>27</v>
      </c>
      <c r="H18" t="s">
        <v>78</v>
      </c>
      <c r="I18">
        <v>15</v>
      </c>
      <c r="J18">
        <v>30</v>
      </c>
      <c r="K18" t="s">
        <v>79</v>
      </c>
      <c r="L18">
        <v>2023</v>
      </c>
      <c r="M18">
        <v>1</v>
      </c>
      <c r="N18">
        <v>19</v>
      </c>
      <c r="O18">
        <v>17</v>
      </c>
    </row>
    <row r="19" spans="1:15" x14ac:dyDescent="0.25">
      <c r="A19">
        <v>17</v>
      </c>
      <c r="B19">
        <v>17</v>
      </c>
      <c r="C19" t="s">
        <v>80</v>
      </c>
      <c r="D19" t="s">
        <v>15</v>
      </c>
      <c r="E19" s="1">
        <v>44946.003472222219</v>
      </c>
      <c r="F19" t="s">
        <v>81</v>
      </c>
      <c r="G19" t="s">
        <v>17</v>
      </c>
      <c r="H19" t="s">
        <v>82</v>
      </c>
      <c r="I19">
        <v>18</v>
      </c>
      <c r="J19">
        <v>35</v>
      </c>
      <c r="K19" t="s">
        <v>34</v>
      </c>
      <c r="L19">
        <v>2023</v>
      </c>
      <c r="M19">
        <v>1</v>
      </c>
      <c r="N19">
        <v>20</v>
      </c>
      <c r="O19">
        <v>0</v>
      </c>
    </row>
    <row r="20" spans="1:15" x14ac:dyDescent="0.25">
      <c r="A20">
        <v>18</v>
      </c>
      <c r="B20">
        <v>18</v>
      </c>
      <c r="C20" t="s">
        <v>83</v>
      </c>
      <c r="D20" t="s">
        <v>36</v>
      </c>
      <c r="E20" s="1">
        <v>44946.479166666664</v>
      </c>
      <c r="F20" t="s">
        <v>84</v>
      </c>
      <c r="G20" t="s">
        <v>32</v>
      </c>
      <c r="H20" t="s">
        <v>85</v>
      </c>
      <c r="I20">
        <v>25</v>
      </c>
      <c r="J20">
        <v>50</v>
      </c>
      <c r="K20" t="s">
        <v>60</v>
      </c>
      <c r="L20">
        <v>2023</v>
      </c>
      <c r="M20">
        <v>1</v>
      </c>
      <c r="N20">
        <v>20</v>
      </c>
      <c r="O20">
        <v>11</v>
      </c>
    </row>
    <row r="21" spans="1:15" x14ac:dyDescent="0.25">
      <c r="A21">
        <v>19</v>
      </c>
      <c r="B21">
        <v>19</v>
      </c>
      <c r="C21" t="s">
        <v>86</v>
      </c>
      <c r="D21" t="s">
        <v>21</v>
      </c>
      <c r="E21" s="1">
        <v>44946.635416666664</v>
      </c>
      <c r="F21" t="s">
        <v>87</v>
      </c>
      <c r="G21" t="s">
        <v>27</v>
      </c>
      <c r="H21" t="s">
        <v>88</v>
      </c>
      <c r="I21">
        <v>8</v>
      </c>
      <c r="J21">
        <v>15</v>
      </c>
      <c r="K21" t="s">
        <v>89</v>
      </c>
      <c r="L21">
        <v>2023</v>
      </c>
      <c r="M21">
        <v>1</v>
      </c>
      <c r="N21">
        <v>20</v>
      </c>
      <c r="O21">
        <v>15</v>
      </c>
    </row>
    <row r="22" spans="1:15" x14ac:dyDescent="0.25">
      <c r="A22">
        <v>20</v>
      </c>
      <c r="B22">
        <v>20</v>
      </c>
      <c r="C22" t="s">
        <v>90</v>
      </c>
      <c r="D22" t="s">
        <v>15</v>
      </c>
      <c r="E22" s="1">
        <v>44947.361111111109</v>
      </c>
      <c r="F22" t="s">
        <v>91</v>
      </c>
      <c r="G22" t="s">
        <v>17</v>
      </c>
      <c r="H22" t="s">
        <v>92</v>
      </c>
      <c r="I22">
        <v>22</v>
      </c>
      <c r="J22">
        <v>45</v>
      </c>
      <c r="K22" t="s">
        <v>43</v>
      </c>
      <c r="L22">
        <v>2023</v>
      </c>
      <c r="M22">
        <v>1</v>
      </c>
      <c r="N22">
        <v>21</v>
      </c>
      <c r="O22">
        <v>8</v>
      </c>
    </row>
    <row r="23" spans="1:15" x14ac:dyDescent="0.25">
      <c r="A23">
        <v>21</v>
      </c>
      <c r="B23">
        <v>21</v>
      </c>
      <c r="C23" t="s">
        <v>93</v>
      </c>
      <c r="D23" t="s">
        <v>15</v>
      </c>
      <c r="E23" s="1">
        <v>44947.555555555555</v>
      </c>
      <c r="F23" t="s">
        <v>94</v>
      </c>
      <c r="G23" t="s">
        <v>32</v>
      </c>
      <c r="H23" t="s">
        <v>95</v>
      </c>
      <c r="I23">
        <v>15</v>
      </c>
      <c r="J23">
        <v>30</v>
      </c>
      <c r="K23" t="s">
        <v>60</v>
      </c>
      <c r="L23">
        <v>2023</v>
      </c>
      <c r="M23">
        <v>1</v>
      </c>
      <c r="N23">
        <v>21</v>
      </c>
      <c r="O23">
        <v>13</v>
      </c>
    </row>
    <row r="24" spans="1:15" x14ac:dyDescent="0.25">
      <c r="A24">
        <v>22</v>
      </c>
      <c r="B24">
        <v>22</v>
      </c>
      <c r="C24" t="s">
        <v>96</v>
      </c>
      <c r="D24" t="s">
        <v>15</v>
      </c>
      <c r="E24" s="1">
        <v>44947.697916666664</v>
      </c>
      <c r="F24" t="s">
        <v>97</v>
      </c>
      <c r="G24" t="s">
        <v>27</v>
      </c>
      <c r="H24" t="s">
        <v>98</v>
      </c>
      <c r="I24">
        <v>30</v>
      </c>
      <c r="J24">
        <v>60</v>
      </c>
      <c r="K24" t="s">
        <v>99</v>
      </c>
      <c r="L24">
        <v>2023</v>
      </c>
      <c r="M24">
        <v>1</v>
      </c>
      <c r="N24">
        <v>21</v>
      </c>
      <c r="O24">
        <v>16</v>
      </c>
    </row>
    <row r="25" spans="1:15" x14ac:dyDescent="0.25">
      <c r="A25">
        <v>23</v>
      </c>
      <c r="B25">
        <v>23</v>
      </c>
      <c r="C25" t="s">
        <v>100</v>
      </c>
      <c r="D25" t="s">
        <v>15</v>
      </c>
      <c r="E25" s="1">
        <v>44948.385416666664</v>
      </c>
      <c r="F25" t="s">
        <v>101</v>
      </c>
      <c r="G25" t="s">
        <v>17</v>
      </c>
      <c r="H25" t="s">
        <v>102</v>
      </c>
      <c r="I25">
        <v>20</v>
      </c>
      <c r="J25">
        <v>40</v>
      </c>
      <c r="K25" t="s">
        <v>34</v>
      </c>
      <c r="L25">
        <v>2023</v>
      </c>
      <c r="M25">
        <v>1</v>
      </c>
      <c r="N25">
        <v>22</v>
      </c>
      <c r="O25">
        <v>9</v>
      </c>
    </row>
    <row r="26" spans="1:15" x14ac:dyDescent="0.25">
      <c r="A26">
        <v>24</v>
      </c>
      <c r="B26">
        <v>24</v>
      </c>
      <c r="C26" t="s">
        <v>103</v>
      </c>
      <c r="D26" t="s">
        <v>15</v>
      </c>
      <c r="E26" s="1">
        <v>44948.604166666664</v>
      </c>
      <c r="F26" t="s">
        <v>104</v>
      </c>
      <c r="G26" t="s">
        <v>32</v>
      </c>
      <c r="H26" t="s">
        <v>105</v>
      </c>
      <c r="I26">
        <v>12</v>
      </c>
      <c r="J26">
        <v>25</v>
      </c>
      <c r="K26" t="s">
        <v>106</v>
      </c>
      <c r="L26">
        <v>2023</v>
      </c>
      <c r="M26">
        <v>1</v>
      </c>
      <c r="N26">
        <v>22</v>
      </c>
      <c r="O26">
        <v>14</v>
      </c>
    </row>
    <row r="27" spans="1:15" x14ac:dyDescent="0.25">
      <c r="A27">
        <v>25</v>
      </c>
      <c r="B27">
        <v>25</v>
      </c>
      <c r="C27" t="s">
        <v>107</v>
      </c>
      <c r="D27" t="s">
        <v>15</v>
      </c>
      <c r="E27" s="1">
        <v>44948.5</v>
      </c>
      <c r="F27" t="s">
        <v>108</v>
      </c>
      <c r="G27" t="s">
        <v>27</v>
      </c>
      <c r="H27" t="s">
        <v>109</v>
      </c>
      <c r="I27">
        <v>15</v>
      </c>
      <c r="J27">
        <v>30</v>
      </c>
      <c r="K27" t="s">
        <v>110</v>
      </c>
      <c r="L27">
        <v>2023</v>
      </c>
      <c r="M27">
        <v>1</v>
      </c>
      <c r="N27">
        <v>22</v>
      </c>
      <c r="O27">
        <v>12</v>
      </c>
    </row>
    <row r="28" spans="1:15" x14ac:dyDescent="0.25">
      <c r="A28">
        <v>27</v>
      </c>
      <c r="B28">
        <v>28</v>
      </c>
      <c r="C28" t="s">
        <v>111</v>
      </c>
      <c r="D28" t="s">
        <v>15</v>
      </c>
      <c r="E28" s="1">
        <v>44949.680555555555</v>
      </c>
      <c r="F28" t="s">
        <v>112</v>
      </c>
      <c r="G28" t="s">
        <v>32</v>
      </c>
      <c r="H28" t="s">
        <v>113</v>
      </c>
      <c r="I28">
        <v>25</v>
      </c>
      <c r="J28">
        <v>50</v>
      </c>
      <c r="K28" t="s">
        <v>114</v>
      </c>
      <c r="L28">
        <v>2023</v>
      </c>
      <c r="M28">
        <v>1</v>
      </c>
      <c r="N28">
        <v>23</v>
      </c>
      <c r="O28">
        <v>16</v>
      </c>
    </row>
    <row r="29" spans="1:15" x14ac:dyDescent="0.25">
      <c r="A29">
        <v>28</v>
      </c>
      <c r="B29">
        <v>29</v>
      </c>
      <c r="C29" t="s">
        <v>115</v>
      </c>
      <c r="D29" t="s">
        <v>15</v>
      </c>
      <c r="E29" s="1">
        <v>44949.822916666664</v>
      </c>
      <c r="F29" t="s">
        <v>116</v>
      </c>
      <c r="G29" t="s">
        <v>27</v>
      </c>
      <c r="H29" t="s">
        <v>117</v>
      </c>
      <c r="I29">
        <v>15</v>
      </c>
      <c r="J29">
        <v>30</v>
      </c>
      <c r="K29" t="s">
        <v>39</v>
      </c>
      <c r="L29">
        <v>2023</v>
      </c>
      <c r="M29">
        <v>1</v>
      </c>
      <c r="N29">
        <v>23</v>
      </c>
      <c r="O29">
        <v>19</v>
      </c>
    </row>
    <row r="30" spans="1:15" x14ac:dyDescent="0.25">
      <c r="A30">
        <v>29</v>
      </c>
      <c r="B30">
        <v>30</v>
      </c>
      <c r="C30" t="s">
        <v>118</v>
      </c>
      <c r="D30" t="s">
        <v>15</v>
      </c>
      <c r="E30" s="1">
        <v>44950.479166666664</v>
      </c>
      <c r="F30" t="s">
        <v>119</v>
      </c>
      <c r="G30" t="s">
        <v>17</v>
      </c>
      <c r="H30" t="s">
        <v>120</v>
      </c>
      <c r="I30">
        <v>22</v>
      </c>
      <c r="J30">
        <v>45</v>
      </c>
      <c r="K30" t="s">
        <v>19</v>
      </c>
      <c r="L30">
        <v>2023</v>
      </c>
      <c r="M30">
        <v>1</v>
      </c>
      <c r="N30">
        <v>24</v>
      </c>
      <c r="O30">
        <v>11</v>
      </c>
    </row>
    <row r="31" spans="1:15" x14ac:dyDescent="0.25">
      <c r="A31">
        <v>30</v>
      </c>
      <c r="B31">
        <v>31</v>
      </c>
      <c r="C31" t="s">
        <v>121</v>
      </c>
      <c r="D31" t="s">
        <v>15</v>
      </c>
      <c r="E31" s="1">
        <v>44950.625</v>
      </c>
      <c r="F31" t="s">
        <v>122</v>
      </c>
      <c r="G31" t="s">
        <v>32</v>
      </c>
      <c r="H31" t="s">
        <v>123</v>
      </c>
      <c r="I31">
        <v>12</v>
      </c>
      <c r="J31">
        <v>25</v>
      </c>
      <c r="K31" t="s">
        <v>124</v>
      </c>
      <c r="L31">
        <v>2023</v>
      </c>
      <c r="M31">
        <v>1</v>
      </c>
      <c r="N31">
        <v>24</v>
      </c>
      <c r="O31">
        <v>15</v>
      </c>
    </row>
    <row r="32" spans="1:15" x14ac:dyDescent="0.25">
      <c r="A32">
        <v>31</v>
      </c>
      <c r="B32">
        <v>32</v>
      </c>
      <c r="C32" t="s">
        <v>125</v>
      </c>
      <c r="D32" t="s">
        <v>15</v>
      </c>
      <c r="E32" s="1">
        <v>44950.729166666664</v>
      </c>
      <c r="F32" t="s">
        <v>126</v>
      </c>
      <c r="G32" t="s">
        <v>27</v>
      </c>
      <c r="H32" t="s">
        <v>127</v>
      </c>
      <c r="I32">
        <v>18</v>
      </c>
      <c r="J32">
        <v>35</v>
      </c>
      <c r="K32" t="s">
        <v>128</v>
      </c>
      <c r="L32">
        <v>2023</v>
      </c>
      <c r="M32">
        <v>1</v>
      </c>
      <c r="N32">
        <v>24</v>
      </c>
      <c r="O32">
        <v>17</v>
      </c>
    </row>
    <row r="33" spans="1:15" x14ac:dyDescent="0.25">
      <c r="A33">
        <v>32</v>
      </c>
      <c r="B33">
        <v>33</v>
      </c>
      <c r="C33" t="s">
        <v>129</v>
      </c>
      <c r="D33" t="s">
        <v>15</v>
      </c>
      <c r="E33" s="1">
        <v>44951.75</v>
      </c>
      <c r="F33" t="s">
        <v>130</v>
      </c>
      <c r="G33" t="s">
        <v>17</v>
      </c>
      <c r="H33" t="s">
        <v>131</v>
      </c>
      <c r="I33">
        <v>15</v>
      </c>
      <c r="J33">
        <v>30</v>
      </c>
      <c r="K33" t="s">
        <v>43</v>
      </c>
      <c r="L33">
        <v>2023</v>
      </c>
      <c r="M33">
        <v>1</v>
      </c>
      <c r="N33">
        <v>25</v>
      </c>
      <c r="O33">
        <v>18</v>
      </c>
    </row>
    <row r="34" spans="1:15" x14ac:dyDescent="0.25">
      <c r="A34">
        <v>33</v>
      </c>
      <c r="B34">
        <v>34</v>
      </c>
      <c r="C34" t="s">
        <v>132</v>
      </c>
      <c r="D34" t="s">
        <v>15</v>
      </c>
      <c r="E34" s="1">
        <v>44951.552083333336</v>
      </c>
      <c r="F34" t="s">
        <v>133</v>
      </c>
      <c r="G34" t="s">
        <v>32</v>
      </c>
      <c r="H34" t="s">
        <v>134</v>
      </c>
      <c r="I34">
        <v>30</v>
      </c>
      <c r="J34">
        <v>60</v>
      </c>
      <c r="K34" t="s">
        <v>99</v>
      </c>
      <c r="L34">
        <v>2023</v>
      </c>
      <c r="M34">
        <v>1</v>
      </c>
      <c r="N34">
        <v>25</v>
      </c>
      <c r="O34">
        <v>13</v>
      </c>
    </row>
    <row r="35" spans="1:15" x14ac:dyDescent="0.25">
      <c r="A35">
        <v>34</v>
      </c>
      <c r="B35">
        <v>35</v>
      </c>
      <c r="C35" t="s">
        <v>135</v>
      </c>
      <c r="D35" t="s">
        <v>15</v>
      </c>
      <c r="E35" s="1">
        <v>44952.40625</v>
      </c>
      <c r="F35" t="s">
        <v>136</v>
      </c>
      <c r="G35" t="s">
        <v>27</v>
      </c>
      <c r="H35" t="s">
        <v>137</v>
      </c>
      <c r="I35">
        <v>25</v>
      </c>
      <c r="J35">
        <v>50</v>
      </c>
      <c r="K35" t="s">
        <v>60</v>
      </c>
      <c r="L35">
        <v>2023</v>
      </c>
      <c r="M35">
        <v>1</v>
      </c>
      <c r="N35">
        <v>26</v>
      </c>
      <c r="O35">
        <v>9</v>
      </c>
    </row>
    <row r="36" spans="1:15" x14ac:dyDescent="0.25">
      <c r="A36">
        <v>35</v>
      </c>
      <c r="B36">
        <v>36</v>
      </c>
      <c r="C36" t="s">
        <v>138</v>
      </c>
      <c r="D36" t="s">
        <v>15</v>
      </c>
      <c r="E36" s="1">
        <v>44952.597222222219</v>
      </c>
      <c r="F36" t="s">
        <v>139</v>
      </c>
      <c r="G36" t="s">
        <v>17</v>
      </c>
      <c r="H36" t="s">
        <v>140</v>
      </c>
      <c r="I36">
        <v>15</v>
      </c>
      <c r="J36">
        <v>30</v>
      </c>
      <c r="K36" t="s">
        <v>24</v>
      </c>
      <c r="L36">
        <v>2023</v>
      </c>
      <c r="M36">
        <v>1</v>
      </c>
      <c r="N36">
        <v>26</v>
      </c>
      <c r="O36">
        <v>14</v>
      </c>
    </row>
    <row r="37" spans="1:15" x14ac:dyDescent="0.25">
      <c r="A37">
        <v>36</v>
      </c>
      <c r="B37">
        <v>37</v>
      </c>
      <c r="C37" t="s">
        <v>141</v>
      </c>
      <c r="D37" t="s">
        <v>15</v>
      </c>
      <c r="E37" s="1">
        <v>44952.736111111109</v>
      </c>
      <c r="F37" t="s">
        <v>142</v>
      </c>
      <c r="G37" t="s">
        <v>32</v>
      </c>
      <c r="H37" t="s">
        <v>143</v>
      </c>
      <c r="I37">
        <v>22</v>
      </c>
      <c r="J37">
        <v>45</v>
      </c>
      <c r="K37" t="s">
        <v>128</v>
      </c>
      <c r="L37">
        <v>2023</v>
      </c>
      <c r="M37">
        <v>1</v>
      </c>
      <c r="N37">
        <v>26</v>
      </c>
      <c r="O37">
        <v>17</v>
      </c>
    </row>
    <row r="38" spans="1:15" x14ac:dyDescent="0.25">
      <c r="A38">
        <v>37</v>
      </c>
      <c r="B38">
        <v>38</v>
      </c>
      <c r="C38" t="s">
        <v>144</v>
      </c>
      <c r="D38" t="s">
        <v>15</v>
      </c>
      <c r="E38" s="1">
        <v>44953.833333333336</v>
      </c>
      <c r="F38" t="s">
        <v>145</v>
      </c>
      <c r="G38" t="s">
        <v>27</v>
      </c>
      <c r="H38" t="s">
        <v>146</v>
      </c>
      <c r="I38">
        <v>18</v>
      </c>
      <c r="J38">
        <v>35</v>
      </c>
      <c r="K38" t="s">
        <v>99</v>
      </c>
      <c r="L38">
        <v>2023</v>
      </c>
      <c r="M38">
        <v>1</v>
      </c>
      <c r="N38">
        <v>27</v>
      </c>
      <c r="O38">
        <v>20</v>
      </c>
    </row>
    <row r="39" spans="1:15" x14ac:dyDescent="0.25">
      <c r="A39">
        <v>38</v>
      </c>
      <c r="B39">
        <v>39</v>
      </c>
      <c r="C39" t="s">
        <v>147</v>
      </c>
      <c r="D39" t="s">
        <v>15</v>
      </c>
      <c r="E39" s="1">
        <v>44953.520833333336</v>
      </c>
      <c r="F39" t="s">
        <v>148</v>
      </c>
      <c r="G39" t="s">
        <v>17</v>
      </c>
      <c r="H39" t="s">
        <v>149</v>
      </c>
      <c r="I39">
        <v>15</v>
      </c>
      <c r="J39">
        <v>30</v>
      </c>
      <c r="K39" t="s">
        <v>43</v>
      </c>
      <c r="L39">
        <v>2023</v>
      </c>
      <c r="M39">
        <v>1</v>
      </c>
      <c r="N39">
        <v>27</v>
      </c>
      <c r="O39">
        <v>12</v>
      </c>
    </row>
    <row r="40" spans="1:15" x14ac:dyDescent="0.25">
      <c r="A40">
        <v>39</v>
      </c>
      <c r="B40">
        <v>40</v>
      </c>
      <c r="C40" t="s">
        <v>150</v>
      </c>
      <c r="D40" t="s">
        <v>15</v>
      </c>
      <c r="E40" s="1">
        <v>44953.673611111109</v>
      </c>
      <c r="F40" t="s">
        <v>151</v>
      </c>
      <c r="G40" t="s">
        <v>32</v>
      </c>
      <c r="H40" t="s">
        <v>152</v>
      </c>
      <c r="I40">
        <v>12</v>
      </c>
      <c r="J40">
        <v>25</v>
      </c>
      <c r="K40" t="s">
        <v>124</v>
      </c>
      <c r="L40">
        <v>2023</v>
      </c>
      <c r="M40">
        <v>1</v>
      </c>
      <c r="N40">
        <v>27</v>
      </c>
      <c r="O40">
        <v>16</v>
      </c>
    </row>
    <row r="41" spans="1:15" x14ac:dyDescent="0.25">
      <c r="A41">
        <v>40</v>
      </c>
      <c r="B41">
        <v>41</v>
      </c>
      <c r="C41" t="s">
        <v>153</v>
      </c>
      <c r="D41" t="s">
        <v>15</v>
      </c>
      <c r="E41" s="1">
        <v>44954.375</v>
      </c>
      <c r="F41" t="s">
        <v>154</v>
      </c>
      <c r="G41" t="s">
        <v>27</v>
      </c>
      <c r="H41" t="s">
        <v>155</v>
      </c>
      <c r="I41">
        <v>30</v>
      </c>
      <c r="J41">
        <v>60</v>
      </c>
      <c r="K41" t="s">
        <v>60</v>
      </c>
      <c r="L41">
        <v>2023</v>
      </c>
      <c r="M41">
        <v>1</v>
      </c>
      <c r="N41">
        <v>28</v>
      </c>
      <c r="O41">
        <v>9</v>
      </c>
    </row>
    <row r="42" spans="1:15" x14ac:dyDescent="0.25">
      <c r="A42">
        <v>41</v>
      </c>
      <c r="B42">
        <v>42</v>
      </c>
      <c r="C42" t="s">
        <v>156</v>
      </c>
      <c r="D42" t="s">
        <v>15</v>
      </c>
      <c r="E42" s="1">
        <v>44954.614583333336</v>
      </c>
      <c r="F42" t="s">
        <v>157</v>
      </c>
      <c r="G42" t="s">
        <v>17</v>
      </c>
      <c r="H42" t="s">
        <v>158</v>
      </c>
      <c r="I42">
        <v>25</v>
      </c>
      <c r="J42">
        <v>50</v>
      </c>
      <c r="K42" t="s">
        <v>19</v>
      </c>
      <c r="L42">
        <v>2023</v>
      </c>
      <c r="M42">
        <v>1</v>
      </c>
      <c r="N42">
        <v>28</v>
      </c>
      <c r="O42">
        <v>14</v>
      </c>
    </row>
    <row r="43" spans="1:15" x14ac:dyDescent="0.25">
      <c r="A43">
        <v>42</v>
      </c>
      <c r="B43">
        <v>43</v>
      </c>
      <c r="C43" t="s">
        <v>159</v>
      </c>
      <c r="D43" t="s">
        <v>15</v>
      </c>
      <c r="E43" s="1">
        <v>44954.8125</v>
      </c>
      <c r="F43" t="s">
        <v>160</v>
      </c>
      <c r="G43" t="s">
        <v>32</v>
      </c>
      <c r="H43" t="s">
        <v>161</v>
      </c>
      <c r="I43">
        <v>15</v>
      </c>
      <c r="J43">
        <v>30</v>
      </c>
      <c r="K43" t="s">
        <v>110</v>
      </c>
      <c r="L43">
        <v>2023</v>
      </c>
      <c r="M43">
        <v>1</v>
      </c>
      <c r="N43">
        <v>28</v>
      </c>
      <c r="O43">
        <v>19</v>
      </c>
    </row>
    <row r="44" spans="1:15" x14ac:dyDescent="0.25">
      <c r="A44">
        <v>43</v>
      </c>
      <c r="B44">
        <v>44</v>
      </c>
      <c r="C44" t="s">
        <v>162</v>
      </c>
      <c r="D44" t="s">
        <v>15</v>
      </c>
      <c r="E44" s="1">
        <v>44955.708333333336</v>
      </c>
      <c r="F44" t="s">
        <v>163</v>
      </c>
      <c r="G44" t="s">
        <v>27</v>
      </c>
      <c r="H44" t="s">
        <v>164</v>
      </c>
      <c r="I44">
        <v>22</v>
      </c>
      <c r="J44">
        <v>45</v>
      </c>
      <c r="K44" t="s">
        <v>165</v>
      </c>
      <c r="L44">
        <v>2023</v>
      </c>
      <c r="M44">
        <v>1</v>
      </c>
      <c r="N44">
        <v>29</v>
      </c>
      <c r="O44">
        <v>17</v>
      </c>
    </row>
    <row r="45" spans="1:15" x14ac:dyDescent="0.25">
      <c r="A45">
        <v>44</v>
      </c>
      <c r="B45">
        <v>45</v>
      </c>
      <c r="C45" t="s">
        <v>166</v>
      </c>
      <c r="D45" t="s">
        <v>15</v>
      </c>
      <c r="E45" s="1">
        <v>44955.847222222219</v>
      </c>
      <c r="F45" t="s">
        <v>167</v>
      </c>
      <c r="G45" t="s">
        <v>17</v>
      </c>
      <c r="H45" t="s">
        <v>168</v>
      </c>
      <c r="I45">
        <v>18</v>
      </c>
      <c r="J45">
        <v>35</v>
      </c>
      <c r="K45" t="s">
        <v>24</v>
      </c>
      <c r="L45">
        <v>2023</v>
      </c>
      <c r="M45">
        <v>1</v>
      </c>
      <c r="N45">
        <v>29</v>
      </c>
      <c r="O45">
        <v>20</v>
      </c>
    </row>
    <row r="46" spans="1:15" x14ac:dyDescent="0.25">
      <c r="A46">
        <v>45</v>
      </c>
      <c r="B46">
        <v>46</v>
      </c>
      <c r="C46" t="s">
        <v>169</v>
      </c>
      <c r="D46" t="s">
        <v>15</v>
      </c>
      <c r="E46" s="1">
        <v>44956.479166666664</v>
      </c>
      <c r="F46" t="s">
        <v>170</v>
      </c>
      <c r="G46" t="s">
        <v>32</v>
      </c>
      <c r="H46" t="s">
        <v>171</v>
      </c>
      <c r="I46">
        <v>15</v>
      </c>
      <c r="J46">
        <v>30</v>
      </c>
      <c r="K46" t="s">
        <v>19</v>
      </c>
      <c r="L46">
        <v>2023</v>
      </c>
      <c r="M46">
        <v>1</v>
      </c>
      <c r="N46">
        <v>30</v>
      </c>
      <c r="O46">
        <v>11</v>
      </c>
    </row>
    <row r="47" spans="1:15" x14ac:dyDescent="0.25">
      <c r="A47">
        <v>46</v>
      </c>
      <c r="B47">
        <v>47</v>
      </c>
      <c r="C47" t="s">
        <v>172</v>
      </c>
      <c r="D47" t="s">
        <v>15</v>
      </c>
      <c r="E47" s="1">
        <v>44956.65625</v>
      </c>
      <c r="F47" t="s">
        <v>173</v>
      </c>
      <c r="G47" t="s">
        <v>27</v>
      </c>
      <c r="H47" t="s">
        <v>174</v>
      </c>
      <c r="I47">
        <v>12</v>
      </c>
      <c r="J47">
        <v>25</v>
      </c>
      <c r="K47" t="s">
        <v>175</v>
      </c>
      <c r="L47">
        <v>2023</v>
      </c>
      <c r="M47">
        <v>1</v>
      </c>
      <c r="N47">
        <v>30</v>
      </c>
      <c r="O47">
        <v>15</v>
      </c>
    </row>
    <row r="48" spans="1:15" x14ac:dyDescent="0.25">
      <c r="A48">
        <v>47</v>
      </c>
      <c r="B48">
        <v>48</v>
      </c>
      <c r="C48" t="s">
        <v>176</v>
      </c>
      <c r="D48" t="s">
        <v>15</v>
      </c>
      <c r="E48" s="1">
        <v>44956.770833333336</v>
      </c>
      <c r="F48" t="s">
        <v>177</v>
      </c>
      <c r="G48" t="s">
        <v>17</v>
      </c>
      <c r="H48" t="s">
        <v>178</v>
      </c>
      <c r="I48">
        <v>28</v>
      </c>
      <c r="J48">
        <v>55</v>
      </c>
      <c r="K48" t="s">
        <v>43</v>
      </c>
      <c r="L48">
        <v>2023</v>
      </c>
      <c r="M48">
        <v>1</v>
      </c>
      <c r="N48">
        <v>30</v>
      </c>
      <c r="O48">
        <v>18</v>
      </c>
    </row>
    <row r="49" spans="1:15" x14ac:dyDescent="0.25">
      <c r="A49">
        <v>48</v>
      </c>
      <c r="B49">
        <v>49</v>
      </c>
      <c r="C49" t="s">
        <v>179</v>
      </c>
      <c r="D49" t="s">
        <v>15</v>
      </c>
      <c r="E49" s="1">
        <v>44957.447916666664</v>
      </c>
      <c r="F49" t="s">
        <v>180</v>
      </c>
      <c r="G49" t="s">
        <v>32</v>
      </c>
      <c r="H49" t="s">
        <v>181</v>
      </c>
      <c r="I49">
        <v>15</v>
      </c>
      <c r="J49">
        <v>30</v>
      </c>
      <c r="K49" t="s">
        <v>39</v>
      </c>
      <c r="L49">
        <v>2023</v>
      </c>
      <c r="M49">
        <v>1</v>
      </c>
      <c r="N49">
        <v>31</v>
      </c>
      <c r="O49">
        <v>10</v>
      </c>
    </row>
    <row r="50" spans="1:15" x14ac:dyDescent="0.25">
      <c r="A50">
        <v>49</v>
      </c>
      <c r="B50">
        <v>50</v>
      </c>
      <c r="C50" t="s">
        <v>182</v>
      </c>
      <c r="D50" t="s">
        <v>15</v>
      </c>
      <c r="E50" s="1">
        <v>44957.791666666664</v>
      </c>
      <c r="F50" t="s">
        <v>183</v>
      </c>
      <c r="G50" t="s">
        <v>27</v>
      </c>
      <c r="H50" t="s">
        <v>184</v>
      </c>
      <c r="I50">
        <v>20</v>
      </c>
      <c r="J50">
        <v>40</v>
      </c>
      <c r="K50" t="s">
        <v>89</v>
      </c>
      <c r="L50">
        <v>2023</v>
      </c>
      <c r="M50">
        <v>1</v>
      </c>
      <c r="N50">
        <v>31</v>
      </c>
      <c r="O50">
        <v>19</v>
      </c>
    </row>
    <row r="51" spans="1:15" x14ac:dyDescent="0.25">
      <c r="A51">
        <v>50</v>
      </c>
      <c r="B51">
        <v>51</v>
      </c>
      <c r="C51" t="s">
        <v>185</v>
      </c>
      <c r="D51" t="s">
        <v>15</v>
      </c>
      <c r="E51" s="1">
        <v>44957.680555555555</v>
      </c>
      <c r="F51" t="s">
        <v>186</v>
      </c>
      <c r="G51" t="s">
        <v>17</v>
      </c>
      <c r="H51" t="s">
        <v>187</v>
      </c>
      <c r="I51">
        <v>15</v>
      </c>
      <c r="J51">
        <v>30</v>
      </c>
      <c r="K51" t="s">
        <v>24</v>
      </c>
      <c r="L51">
        <v>2023</v>
      </c>
      <c r="M51">
        <v>1</v>
      </c>
      <c r="N51">
        <v>31</v>
      </c>
      <c r="O51">
        <v>16</v>
      </c>
    </row>
    <row r="52" spans="1:15" x14ac:dyDescent="0.25">
      <c r="A52">
        <v>51</v>
      </c>
      <c r="B52">
        <v>52</v>
      </c>
      <c r="C52" t="s">
        <v>188</v>
      </c>
      <c r="D52" t="s">
        <v>15</v>
      </c>
      <c r="E52" s="1">
        <v>44958.333333333336</v>
      </c>
      <c r="F52" t="s">
        <v>189</v>
      </c>
      <c r="G52" t="s">
        <v>32</v>
      </c>
      <c r="H52" t="s">
        <v>190</v>
      </c>
      <c r="I52">
        <v>22</v>
      </c>
      <c r="J52">
        <v>45</v>
      </c>
      <c r="K52" t="s">
        <v>191</v>
      </c>
      <c r="L52">
        <v>2023</v>
      </c>
      <c r="M52">
        <v>2</v>
      </c>
      <c r="N52">
        <v>1</v>
      </c>
      <c r="O52">
        <v>8</v>
      </c>
    </row>
    <row r="53" spans="1:15" x14ac:dyDescent="0.25">
      <c r="A53">
        <v>52</v>
      </c>
      <c r="B53">
        <v>53</v>
      </c>
      <c r="C53" t="s">
        <v>192</v>
      </c>
      <c r="D53" t="s">
        <v>15</v>
      </c>
      <c r="E53" s="1">
        <v>44958.5625</v>
      </c>
      <c r="F53" t="s">
        <v>193</v>
      </c>
      <c r="G53" t="s">
        <v>27</v>
      </c>
      <c r="H53" t="s">
        <v>194</v>
      </c>
      <c r="I53">
        <v>18</v>
      </c>
      <c r="J53">
        <v>35</v>
      </c>
      <c r="K53" t="s">
        <v>195</v>
      </c>
      <c r="L53">
        <v>2023</v>
      </c>
      <c r="M53">
        <v>2</v>
      </c>
      <c r="N53">
        <v>1</v>
      </c>
      <c r="O53">
        <v>13</v>
      </c>
    </row>
    <row r="54" spans="1:15" x14ac:dyDescent="0.25">
      <c r="A54">
        <v>53</v>
      </c>
      <c r="B54">
        <v>55</v>
      </c>
      <c r="C54" t="s">
        <v>196</v>
      </c>
      <c r="D54" t="s">
        <v>197</v>
      </c>
      <c r="E54" s="1">
        <v>44968.395833333336</v>
      </c>
      <c r="F54" t="s">
        <v>198</v>
      </c>
      <c r="G54" t="s">
        <v>17</v>
      </c>
      <c r="H54" t="s">
        <v>199</v>
      </c>
      <c r="I54">
        <v>20</v>
      </c>
      <c r="J54">
        <v>40</v>
      </c>
      <c r="K54" t="s">
        <v>200</v>
      </c>
      <c r="L54">
        <v>2023</v>
      </c>
      <c r="M54">
        <v>2</v>
      </c>
      <c r="N54">
        <v>11</v>
      </c>
      <c r="O54">
        <v>9</v>
      </c>
    </row>
    <row r="55" spans="1:15" x14ac:dyDescent="0.25">
      <c r="A55">
        <v>54</v>
      </c>
      <c r="B55">
        <v>56</v>
      </c>
      <c r="C55" t="s">
        <v>201</v>
      </c>
      <c r="D55" t="s">
        <v>202</v>
      </c>
      <c r="E55" s="1">
        <v>44968.885416666664</v>
      </c>
      <c r="F55" t="s">
        <v>203</v>
      </c>
      <c r="G55" t="s">
        <v>27</v>
      </c>
      <c r="H55" t="s">
        <v>204</v>
      </c>
      <c r="I55">
        <v>15</v>
      </c>
      <c r="J55">
        <v>30</v>
      </c>
      <c r="K55" t="s">
        <v>205</v>
      </c>
      <c r="L55">
        <v>2023</v>
      </c>
      <c r="M55">
        <v>2</v>
      </c>
      <c r="N55">
        <v>11</v>
      </c>
      <c r="O55">
        <v>21</v>
      </c>
    </row>
    <row r="56" spans="1:15" x14ac:dyDescent="0.25">
      <c r="A56">
        <v>55</v>
      </c>
      <c r="B56">
        <v>57</v>
      </c>
      <c r="C56" t="s">
        <v>206</v>
      </c>
      <c r="D56" t="s">
        <v>207</v>
      </c>
      <c r="E56" s="1">
        <v>44969.614583333336</v>
      </c>
      <c r="F56" t="s">
        <v>208</v>
      </c>
      <c r="G56" t="s">
        <v>32</v>
      </c>
      <c r="H56" t="s">
        <v>209</v>
      </c>
      <c r="I56">
        <v>25</v>
      </c>
      <c r="J56">
        <v>50</v>
      </c>
      <c r="K56" t="s">
        <v>210</v>
      </c>
      <c r="L56">
        <v>2023</v>
      </c>
      <c r="M56">
        <v>2</v>
      </c>
      <c r="N56">
        <v>12</v>
      </c>
      <c r="O56">
        <v>14</v>
      </c>
    </row>
    <row r="57" spans="1:15" x14ac:dyDescent="0.25">
      <c r="A57">
        <v>56</v>
      </c>
      <c r="B57">
        <v>58</v>
      </c>
      <c r="C57" t="s">
        <v>211</v>
      </c>
      <c r="D57" t="s">
        <v>212</v>
      </c>
      <c r="E57" s="1">
        <v>44969.763888888891</v>
      </c>
      <c r="F57" t="s">
        <v>213</v>
      </c>
      <c r="G57" t="s">
        <v>17</v>
      </c>
      <c r="H57" t="s">
        <v>214</v>
      </c>
      <c r="I57">
        <v>18</v>
      </c>
      <c r="J57">
        <v>35</v>
      </c>
      <c r="K57" t="s">
        <v>191</v>
      </c>
      <c r="L57">
        <v>2023</v>
      </c>
      <c r="M57">
        <v>2</v>
      </c>
      <c r="N57">
        <v>12</v>
      </c>
      <c r="O57">
        <v>18</v>
      </c>
    </row>
    <row r="58" spans="1:15" x14ac:dyDescent="0.25">
      <c r="A58">
        <v>57</v>
      </c>
      <c r="B58">
        <v>59</v>
      </c>
      <c r="C58" t="s">
        <v>215</v>
      </c>
      <c r="D58" t="s">
        <v>216</v>
      </c>
      <c r="E58" s="1">
        <v>44970.416666666664</v>
      </c>
      <c r="F58" t="s">
        <v>217</v>
      </c>
      <c r="G58" t="s">
        <v>27</v>
      </c>
      <c r="H58" t="s">
        <v>218</v>
      </c>
      <c r="I58">
        <v>30</v>
      </c>
      <c r="J58">
        <v>60</v>
      </c>
      <c r="K58" t="s">
        <v>99</v>
      </c>
      <c r="L58">
        <v>2023</v>
      </c>
      <c r="M58">
        <v>2</v>
      </c>
      <c r="N58">
        <v>13</v>
      </c>
      <c r="O58">
        <v>10</v>
      </c>
    </row>
    <row r="59" spans="1:15" x14ac:dyDescent="0.25">
      <c r="A59">
        <v>58</v>
      </c>
      <c r="B59">
        <v>60</v>
      </c>
      <c r="C59" t="s">
        <v>219</v>
      </c>
      <c r="D59" t="s">
        <v>220</v>
      </c>
      <c r="E59" s="1">
        <v>44970.8125</v>
      </c>
      <c r="F59" t="s">
        <v>221</v>
      </c>
      <c r="G59" t="s">
        <v>32</v>
      </c>
      <c r="H59" t="s">
        <v>222</v>
      </c>
      <c r="I59">
        <v>22</v>
      </c>
      <c r="J59">
        <v>45</v>
      </c>
      <c r="K59" t="s">
        <v>79</v>
      </c>
      <c r="L59">
        <v>2023</v>
      </c>
      <c r="M59">
        <v>2</v>
      </c>
      <c r="N59">
        <v>13</v>
      </c>
      <c r="O59">
        <v>19</v>
      </c>
    </row>
    <row r="60" spans="1:15" x14ac:dyDescent="0.25">
      <c r="A60">
        <v>59</v>
      </c>
      <c r="B60">
        <v>61</v>
      </c>
      <c r="C60" t="s">
        <v>223</v>
      </c>
      <c r="D60" t="s">
        <v>224</v>
      </c>
      <c r="E60" s="1">
        <v>44971.354166666664</v>
      </c>
      <c r="F60" t="s">
        <v>225</v>
      </c>
      <c r="G60" t="s">
        <v>17</v>
      </c>
      <c r="H60" t="s">
        <v>226</v>
      </c>
      <c r="I60">
        <v>15</v>
      </c>
      <c r="J60">
        <v>30</v>
      </c>
      <c r="K60" t="s">
        <v>227</v>
      </c>
      <c r="L60">
        <v>2023</v>
      </c>
      <c r="M60">
        <v>2</v>
      </c>
      <c r="N60">
        <v>14</v>
      </c>
      <c r="O60">
        <v>8</v>
      </c>
    </row>
    <row r="61" spans="1:15" x14ac:dyDescent="0.25">
      <c r="A61">
        <v>60</v>
      </c>
      <c r="B61">
        <v>62</v>
      </c>
      <c r="C61" t="s">
        <v>228</v>
      </c>
      <c r="D61" t="s">
        <v>229</v>
      </c>
      <c r="E61" s="1">
        <v>44971.597222222219</v>
      </c>
      <c r="F61" t="s">
        <v>230</v>
      </c>
      <c r="G61" t="s">
        <v>27</v>
      </c>
      <c r="H61" t="s">
        <v>231</v>
      </c>
      <c r="I61">
        <v>18</v>
      </c>
      <c r="J61">
        <v>35</v>
      </c>
      <c r="K61" t="s">
        <v>232</v>
      </c>
      <c r="L61">
        <v>2023</v>
      </c>
      <c r="M61">
        <v>2</v>
      </c>
      <c r="N61">
        <v>14</v>
      </c>
      <c r="O61">
        <v>14</v>
      </c>
    </row>
    <row r="62" spans="1:15" x14ac:dyDescent="0.25">
      <c r="A62">
        <v>61</v>
      </c>
      <c r="B62">
        <v>63</v>
      </c>
      <c r="C62" t="s">
        <v>233</v>
      </c>
      <c r="D62" t="s">
        <v>234</v>
      </c>
      <c r="E62" s="1">
        <v>44971.822916666664</v>
      </c>
      <c r="F62" t="s">
        <v>235</v>
      </c>
      <c r="G62" t="s">
        <v>32</v>
      </c>
      <c r="H62" t="s">
        <v>236</v>
      </c>
      <c r="I62">
        <v>25</v>
      </c>
      <c r="J62">
        <v>50</v>
      </c>
      <c r="K62" t="s">
        <v>237</v>
      </c>
      <c r="L62">
        <v>2023</v>
      </c>
      <c r="M62">
        <v>2</v>
      </c>
      <c r="N62">
        <v>14</v>
      </c>
      <c r="O62">
        <v>19</v>
      </c>
    </row>
    <row r="63" spans="1:15" x14ac:dyDescent="0.25">
      <c r="A63">
        <v>62</v>
      </c>
      <c r="B63">
        <v>64</v>
      </c>
      <c r="C63" t="s">
        <v>238</v>
      </c>
      <c r="D63" t="s">
        <v>239</v>
      </c>
      <c r="E63" s="1">
        <v>44972.479166666664</v>
      </c>
      <c r="F63" t="s">
        <v>240</v>
      </c>
      <c r="G63" t="s">
        <v>17</v>
      </c>
      <c r="H63" t="s">
        <v>241</v>
      </c>
      <c r="I63">
        <v>20</v>
      </c>
      <c r="J63">
        <v>40</v>
      </c>
      <c r="K63" t="s">
        <v>89</v>
      </c>
      <c r="L63">
        <v>2023</v>
      </c>
      <c r="M63">
        <v>2</v>
      </c>
      <c r="N63">
        <v>15</v>
      </c>
      <c r="O63">
        <v>11</v>
      </c>
    </row>
    <row r="64" spans="1:15" x14ac:dyDescent="0.25">
      <c r="A64">
        <v>63</v>
      </c>
      <c r="B64">
        <v>65</v>
      </c>
      <c r="C64" t="s">
        <v>242</v>
      </c>
      <c r="D64" t="s">
        <v>243</v>
      </c>
      <c r="E64" s="1">
        <v>44972.666666666664</v>
      </c>
      <c r="F64" t="s">
        <v>244</v>
      </c>
      <c r="G64" t="s">
        <v>27</v>
      </c>
      <c r="H64" t="s">
        <v>245</v>
      </c>
      <c r="I64">
        <v>15</v>
      </c>
      <c r="J64">
        <v>30</v>
      </c>
      <c r="K64" t="s">
        <v>60</v>
      </c>
      <c r="L64">
        <v>2023</v>
      </c>
      <c r="M64">
        <v>2</v>
      </c>
      <c r="N64">
        <v>15</v>
      </c>
      <c r="O64">
        <v>16</v>
      </c>
    </row>
    <row r="65" spans="1:15" x14ac:dyDescent="0.25">
      <c r="A65">
        <v>64</v>
      </c>
      <c r="B65">
        <v>66</v>
      </c>
      <c r="C65" t="s">
        <v>246</v>
      </c>
      <c r="D65" t="s">
        <v>247</v>
      </c>
      <c r="E65" s="1">
        <v>44972.854166666664</v>
      </c>
      <c r="F65" t="s">
        <v>248</v>
      </c>
      <c r="G65" t="s">
        <v>32</v>
      </c>
      <c r="H65" t="s">
        <v>249</v>
      </c>
      <c r="I65">
        <v>22</v>
      </c>
      <c r="J65">
        <v>45</v>
      </c>
      <c r="K65" t="s">
        <v>250</v>
      </c>
      <c r="L65">
        <v>2023</v>
      </c>
      <c r="M65">
        <v>2</v>
      </c>
      <c r="N65">
        <v>15</v>
      </c>
      <c r="O65">
        <v>20</v>
      </c>
    </row>
    <row r="66" spans="1:15" x14ac:dyDescent="0.25">
      <c r="A66">
        <v>65</v>
      </c>
      <c r="B66">
        <v>67</v>
      </c>
      <c r="C66" t="s">
        <v>251</v>
      </c>
      <c r="D66" t="s">
        <v>252</v>
      </c>
      <c r="E66" s="1">
        <v>44973.375</v>
      </c>
      <c r="F66" t="s">
        <v>253</v>
      </c>
      <c r="G66" t="s">
        <v>17</v>
      </c>
      <c r="H66" t="s">
        <v>254</v>
      </c>
      <c r="I66">
        <v>18</v>
      </c>
      <c r="J66">
        <v>35</v>
      </c>
      <c r="K66" t="s">
        <v>210</v>
      </c>
      <c r="L66">
        <v>2023</v>
      </c>
      <c r="M66">
        <v>2</v>
      </c>
      <c r="N66">
        <v>16</v>
      </c>
      <c r="O66">
        <v>9</v>
      </c>
    </row>
    <row r="67" spans="1:15" x14ac:dyDescent="0.25">
      <c r="A67">
        <v>66</v>
      </c>
      <c r="B67">
        <v>68</v>
      </c>
      <c r="C67" t="s">
        <v>255</v>
      </c>
      <c r="D67" t="s">
        <v>256</v>
      </c>
      <c r="E67" s="1">
        <v>44973.614583333336</v>
      </c>
      <c r="F67" t="s">
        <v>257</v>
      </c>
      <c r="G67" t="s">
        <v>27</v>
      </c>
      <c r="H67" t="s">
        <v>258</v>
      </c>
      <c r="I67">
        <v>25</v>
      </c>
      <c r="J67">
        <v>50</v>
      </c>
      <c r="K67" t="s">
        <v>205</v>
      </c>
      <c r="L67">
        <v>2023</v>
      </c>
      <c r="M67">
        <v>2</v>
      </c>
      <c r="N67">
        <v>16</v>
      </c>
      <c r="O67">
        <v>14</v>
      </c>
    </row>
    <row r="68" spans="1:15" x14ac:dyDescent="0.25">
      <c r="A68">
        <v>67</v>
      </c>
      <c r="B68">
        <v>69</v>
      </c>
      <c r="C68" t="s">
        <v>259</v>
      </c>
      <c r="D68" t="s">
        <v>260</v>
      </c>
      <c r="E68" s="1">
        <v>44973.763888888891</v>
      </c>
      <c r="F68" t="s">
        <v>261</v>
      </c>
      <c r="G68" t="s">
        <v>32</v>
      </c>
      <c r="H68" t="s">
        <v>262</v>
      </c>
      <c r="I68">
        <v>15</v>
      </c>
      <c r="J68">
        <v>30</v>
      </c>
      <c r="K68" t="s">
        <v>200</v>
      </c>
      <c r="L68">
        <v>2023</v>
      </c>
      <c r="M68">
        <v>2</v>
      </c>
      <c r="N68">
        <v>16</v>
      </c>
      <c r="O68">
        <v>18</v>
      </c>
    </row>
    <row r="69" spans="1:15" x14ac:dyDescent="0.25">
      <c r="A69">
        <v>68</v>
      </c>
      <c r="B69">
        <v>70</v>
      </c>
      <c r="C69" t="s">
        <v>263</v>
      </c>
      <c r="D69" t="s">
        <v>264</v>
      </c>
      <c r="E69" s="1">
        <v>44974.447916666664</v>
      </c>
      <c r="F69" t="s">
        <v>265</v>
      </c>
      <c r="G69" t="s">
        <v>17</v>
      </c>
      <c r="H69" t="s">
        <v>266</v>
      </c>
      <c r="I69">
        <v>22</v>
      </c>
      <c r="J69">
        <v>45</v>
      </c>
      <c r="K69" t="s">
        <v>128</v>
      </c>
      <c r="L69">
        <v>2023</v>
      </c>
      <c r="M69">
        <v>2</v>
      </c>
      <c r="N69">
        <v>17</v>
      </c>
      <c r="O69">
        <v>10</v>
      </c>
    </row>
    <row r="70" spans="1:15" x14ac:dyDescent="0.25">
      <c r="A70">
        <v>69</v>
      </c>
      <c r="B70">
        <v>71</v>
      </c>
      <c r="C70" t="s">
        <v>267</v>
      </c>
      <c r="D70" t="s">
        <v>268</v>
      </c>
      <c r="E70" s="1">
        <v>44974.3125</v>
      </c>
      <c r="F70" t="s">
        <v>269</v>
      </c>
      <c r="G70" t="s">
        <v>27</v>
      </c>
      <c r="H70" t="s">
        <v>270</v>
      </c>
      <c r="I70">
        <v>20</v>
      </c>
      <c r="J70">
        <v>40</v>
      </c>
      <c r="K70" t="s">
        <v>60</v>
      </c>
      <c r="L70">
        <v>2023</v>
      </c>
      <c r="M70">
        <v>2</v>
      </c>
      <c r="N70">
        <v>17</v>
      </c>
      <c r="O70">
        <v>7</v>
      </c>
    </row>
    <row r="71" spans="1:15" x14ac:dyDescent="0.25">
      <c r="A71">
        <v>70</v>
      </c>
      <c r="B71">
        <v>72</v>
      </c>
      <c r="C71" t="s">
        <v>271</v>
      </c>
      <c r="D71" t="s">
        <v>272</v>
      </c>
      <c r="E71" s="1">
        <v>44974.625</v>
      </c>
      <c r="F71" t="s">
        <v>273</v>
      </c>
      <c r="G71" t="s">
        <v>32</v>
      </c>
      <c r="H71" t="s">
        <v>274</v>
      </c>
      <c r="I71">
        <v>18</v>
      </c>
      <c r="J71">
        <v>35</v>
      </c>
      <c r="K71" t="s">
        <v>89</v>
      </c>
      <c r="L71">
        <v>2023</v>
      </c>
      <c r="M71">
        <v>2</v>
      </c>
      <c r="N71">
        <v>17</v>
      </c>
      <c r="O71">
        <v>15</v>
      </c>
    </row>
    <row r="72" spans="1:15" x14ac:dyDescent="0.25">
      <c r="A72">
        <v>71</v>
      </c>
      <c r="B72">
        <v>73</v>
      </c>
      <c r="C72" t="s">
        <v>275</v>
      </c>
      <c r="D72" t="s">
        <v>276</v>
      </c>
      <c r="E72" s="1">
        <v>44975.395833333336</v>
      </c>
      <c r="F72" t="s">
        <v>277</v>
      </c>
      <c r="G72" t="s">
        <v>17</v>
      </c>
      <c r="H72" t="s">
        <v>278</v>
      </c>
      <c r="I72">
        <v>15</v>
      </c>
      <c r="J72">
        <v>30</v>
      </c>
      <c r="K72" t="s">
        <v>114</v>
      </c>
      <c r="L72">
        <v>2023</v>
      </c>
      <c r="M72">
        <v>2</v>
      </c>
      <c r="N72">
        <v>18</v>
      </c>
      <c r="O72">
        <v>9</v>
      </c>
    </row>
    <row r="73" spans="1:15" x14ac:dyDescent="0.25">
      <c r="A73">
        <v>72</v>
      </c>
      <c r="B73">
        <v>74</v>
      </c>
      <c r="C73" t="s">
        <v>279</v>
      </c>
      <c r="D73" t="s">
        <v>280</v>
      </c>
      <c r="E73" s="1">
        <v>44975.597222222219</v>
      </c>
      <c r="F73" t="s">
        <v>281</v>
      </c>
      <c r="G73" t="s">
        <v>27</v>
      </c>
      <c r="H73" t="s">
        <v>282</v>
      </c>
      <c r="I73">
        <v>25</v>
      </c>
      <c r="J73">
        <v>50</v>
      </c>
      <c r="K73" t="s">
        <v>175</v>
      </c>
      <c r="L73">
        <v>2023</v>
      </c>
      <c r="M73">
        <v>2</v>
      </c>
      <c r="N73">
        <v>18</v>
      </c>
      <c r="O73">
        <v>14</v>
      </c>
    </row>
    <row r="74" spans="1:15" x14ac:dyDescent="0.25">
      <c r="A74">
        <v>73</v>
      </c>
      <c r="B74">
        <v>75</v>
      </c>
      <c r="C74" t="s">
        <v>283</v>
      </c>
      <c r="D74" t="s">
        <v>284</v>
      </c>
      <c r="E74" s="1">
        <v>44975.78125</v>
      </c>
      <c r="F74" t="s">
        <v>285</v>
      </c>
      <c r="G74" t="s">
        <v>32</v>
      </c>
      <c r="H74" t="s">
        <v>286</v>
      </c>
      <c r="I74">
        <v>22</v>
      </c>
      <c r="J74">
        <v>45</v>
      </c>
      <c r="K74" t="s">
        <v>79</v>
      </c>
      <c r="L74">
        <v>2023</v>
      </c>
      <c r="M74">
        <v>2</v>
      </c>
      <c r="N74">
        <v>18</v>
      </c>
      <c r="O74">
        <v>18</v>
      </c>
    </row>
    <row r="75" spans="1:15" x14ac:dyDescent="0.25">
      <c r="A75">
        <v>74</v>
      </c>
      <c r="B75">
        <v>76</v>
      </c>
      <c r="C75" t="s">
        <v>287</v>
      </c>
      <c r="D75" t="s">
        <v>288</v>
      </c>
      <c r="E75" s="1">
        <v>44976.479166666664</v>
      </c>
      <c r="F75" t="s">
        <v>289</v>
      </c>
      <c r="G75" t="s">
        <v>17</v>
      </c>
      <c r="H75" t="s">
        <v>290</v>
      </c>
      <c r="I75">
        <v>20</v>
      </c>
      <c r="J75">
        <v>40</v>
      </c>
      <c r="K75" t="s">
        <v>89</v>
      </c>
      <c r="L75">
        <v>2023</v>
      </c>
      <c r="M75">
        <v>2</v>
      </c>
      <c r="N75">
        <v>19</v>
      </c>
      <c r="O75">
        <v>11</v>
      </c>
    </row>
    <row r="76" spans="1:15" x14ac:dyDescent="0.25">
      <c r="A76">
        <v>75</v>
      </c>
      <c r="B76">
        <v>77</v>
      </c>
      <c r="C76" t="s">
        <v>291</v>
      </c>
      <c r="D76" t="s">
        <v>292</v>
      </c>
      <c r="E76" s="1">
        <v>44976.666666666664</v>
      </c>
      <c r="F76" t="s">
        <v>293</v>
      </c>
      <c r="G76" t="s">
        <v>27</v>
      </c>
      <c r="H76" t="s">
        <v>294</v>
      </c>
      <c r="I76">
        <v>30</v>
      </c>
      <c r="J76">
        <v>60</v>
      </c>
      <c r="K76" t="s">
        <v>295</v>
      </c>
      <c r="L76">
        <v>2023</v>
      </c>
      <c r="M76">
        <v>2</v>
      </c>
      <c r="N76">
        <v>19</v>
      </c>
      <c r="O76">
        <v>16</v>
      </c>
    </row>
    <row r="77" spans="1:15" x14ac:dyDescent="0.25">
      <c r="A77">
        <v>76</v>
      </c>
      <c r="B77">
        <v>78</v>
      </c>
      <c r="C77" t="s">
        <v>296</v>
      </c>
      <c r="D77" t="s">
        <v>297</v>
      </c>
      <c r="E77" s="1">
        <v>44976.822916666664</v>
      </c>
      <c r="F77" t="s">
        <v>298</v>
      </c>
      <c r="G77" t="s">
        <v>32</v>
      </c>
      <c r="H77" t="s">
        <v>299</v>
      </c>
      <c r="I77">
        <v>15</v>
      </c>
      <c r="J77">
        <v>30</v>
      </c>
      <c r="K77" t="s">
        <v>210</v>
      </c>
      <c r="L77">
        <v>2023</v>
      </c>
      <c r="M77">
        <v>2</v>
      </c>
      <c r="N77">
        <v>19</v>
      </c>
      <c r="O77">
        <v>19</v>
      </c>
    </row>
    <row r="78" spans="1:15" x14ac:dyDescent="0.25">
      <c r="A78">
        <v>77</v>
      </c>
      <c r="B78">
        <v>79</v>
      </c>
      <c r="C78" t="s">
        <v>300</v>
      </c>
      <c r="D78" t="s">
        <v>197</v>
      </c>
      <c r="E78" s="1">
        <v>44977.395833333336</v>
      </c>
      <c r="F78" t="s">
        <v>301</v>
      </c>
      <c r="G78" t="s">
        <v>17</v>
      </c>
      <c r="H78" t="s">
        <v>302</v>
      </c>
      <c r="I78">
        <v>20</v>
      </c>
      <c r="J78">
        <v>40</v>
      </c>
      <c r="K78" t="s">
        <v>200</v>
      </c>
      <c r="L78">
        <v>2023</v>
      </c>
      <c r="M78">
        <v>2</v>
      </c>
      <c r="N78">
        <v>20</v>
      </c>
      <c r="O78">
        <v>9</v>
      </c>
    </row>
    <row r="79" spans="1:15" x14ac:dyDescent="0.25">
      <c r="A79">
        <v>78</v>
      </c>
      <c r="B79">
        <v>80</v>
      </c>
      <c r="C79" t="s">
        <v>303</v>
      </c>
      <c r="D79" t="s">
        <v>202</v>
      </c>
      <c r="E79" s="1">
        <v>44977.885416666664</v>
      </c>
      <c r="F79" t="s">
        <v>304</v>
      </c>
      <c r="G79" t="s">
        <v>27</v>
      </c>
      <c r="H79" t="s">
        <v>305</v>
      </c>
      <c r="I79">
        <v>15</v>
      </c>
      <c r="J79">
        <v>30</v>
      </c>
      <c r="K79" t="s">
        <v>205</v>
      </c>
      <c r="L79">
        <v>2023</v>
      </c>
      <c r="M79">
        <v>2</v>
      </c>
      <c r="N79">
        <v>20</v>
      </c>
      <c r="O79">
        <v>21</v>
      </c>
    </row>
    <row r="80" spans="1:15" x14ac:dyDescent="0.25">
      <c r="A80">
        <v>79</v>
      </c>
      <c r="B80">
        <v>81</v>
      </c>
      <c r="C80" t="s">
        <v>306</v>
      </c>
      <c r="D80" t="s">
        <v>207</v>
      </c>
      <c r="E80" s="1">
        <v>44978.614583333336</v>
      </c>
      <c r="F80" t="s">
        <v>307</v>
      </c>
      <c r="G80" t="s">
        <v>32</v>
      </c>
      <c r="H80" t="s">
        <v>308</v>
      </c>
      <c r="I80">
        <v>25</v>
      </c>
      <c r="J80">
        <v>50</v>
      </c>
      <c r="K80" t="s">
        <v>210</v>
      </c>
      <c r="L80">
        <v>2023</v>
      </c>
      <c r="M80">
        <v>2</v>
      </c>
      <c r="N80">
        <v>21</v>
      </c>
      <c r="O80">
        <v>14</v>
      </c>
    </row>
    <row r="81" spans="1:15" x14ac:dyDescent="0.25">
      <c r="A81">
        <v>80</v>
      </c>
      <c r="B81">
        <v>82</v>
      </c>
      <c r="C81" t="s">
        <v>309</v>
      </c>
      <c r="D81" t="s">
        <v>212</v>
      </c>
      <c r="E81" s="1">
        <v>44978.763888888891</v>
      </c>
      <c r="F81" t="s">
        <v>310</v>
      </c>
      <c r="G81" t="s">
        <v>17</v>
      </c>
      <c r="H81" t="s">
        <v>311</v>
      </c>
      <c r="I81">
        <v>18</v>
      </c>
      <c r="J81">
        <v>35</v>
      </c>
      <c r="K81" t="s">
        <v>191</v>
      </c>
      <c r="L81">
        <v>2023</v>
      </c>
      <c r="M81">
        <v>2</v>
      </c>
      <c r="N81">
        <v>21</v>
      </c>
      <c r="O81">
        <v>18</v>
      </c>
    </row>
    <row r="82" spans="1:15" x14ac:dyDescent="0.25">
      <c r="A82">
        <v>81</v>
      </c>
      <c r="B82">
        <v>83</v>
      </c>
      <c r="C82" t="s">
        <v>312</v>
      </c>
      <c r="D82" t="s">
        <v>216</v>
      </c>
      <c r="E82" s="1">
        <v>44979.416666666664</v>
      </c>
      <c r="F82" t="s">
        <v>313</v>
      </c>
      <c r="G82" t="s">
        <v>27</v>
      </c>
      <c r="H82" t="s">
        <v>314</v>
      </c>
      <c r="I82">
        <v>30</v>
      </c>
      <c r="J82">
        <v>60</v>
      </c>
      <c r="K82" t="s">
        <v>232</v>
      </c>
      <c r="L82">
        <v>2023</v>
      </c>
      <c r="M82">
        <v>2</v>
      </c>
      <c r="N82">
        <v>22</v>
      </c>
      <c r="O82">
        <v>10</v>
      </c>
    </row>
    <row r="83" spans="1:15" x14ac:dyDescent="0.25">
      <c r="A83">
        <v>82</v>
      </c>
      <c r="B83">
        <v>84</v>
      </c>
      <c r="C83" t="s">
        <v>315</v>
      </c>
      <c r="D83" t="s">
        <v>220</v>
      </c>
      <c r="E83" s="1">
        <v>44979.8125</v>
      </c>
      <c r="F83" t="s">
        <v>316</v>
      </c>
      <c r="G83" t="s">
        <v>32</v>
      </c>
      <c r="H83" t="s">
        <v>317</v>
      </c>
      <c r="I83">
        <v>22</v>
      </c>
      <c r="J83">
        <v>45</v>
      </c>
      <c r="K83" t="s">
        <v>79</v>
      </c>
      <c r="L83">
        <v>2023</v>
      </c>
      <c r="M83">
        <v>2</v>
      </c>
      <c r="N83">
        <v>22</v>
      </c>
      <c r="O83">
        <v>19</v>
      </c>
    </row>
    <row r="84" spans="1:15" x14ac:dyDescent="0.25">
      <c r="A84">
        <v>83</v>
      </c>
      <c r="B84">
        <v>85</v>
      </c>
      <c r="C84" t="s">
        <v>318</v>
      </c>
      <c r="D84" t="s">
        <v>224</v>
      </c>
      <c r="E84" s="1">
        <v>44980.354166666664</v>
      </c>
      <c r="F84" t="s">
        <v>319</v>
      </c>
      <c r="G84" t="s">
        <v>17</v>
      </c>
      <c r="H84" t="s">
        <v>226</v>
      </c>
      <c r="I84">
        <v>15</v>
      </c>
      <c r="J84">
        <v>30</v>
      </c>
      <c r="K84" t="s">
        <v>227</v>
      </c>
      <c r="L84">
        <v>2023</v>
      </c>
      <c r="M84">
        <v>2</v>
      </c>
      <c r="N84">
        <v>23</v>
      </c>
      <c r="O84">
        <v>8</v>
      </c>
    </row>
    <row r="85" spans="1:15" x14ac:dyDescent="0.25">
      <c r="A85">
        <v>84</v>
      </c>
      <c r="B85">
        <v>86</v>
      </c>
      <c r="C85" t="s">
        <v>320</v>
      </c>
      <c r="D85" t="s">
        <v>229</v>
      </c>
      <c r="E85" s="1">
        <v>44980.597222222219</v>
      </c>
      <c r="F85" t="s">
        <v>321</v>
      </c>
      <c r="G85" t="s">
        <v>27</v>
      </c>
      <c r="H85" t="s">
        <v>322</v>
      </c>
      <c r="I85">
        <v>18</v>
      </c>
      <c r="J85">
        <v>35</v>
      </c>
      <c r="K85" t="s">
        <v>232</v>
      </c>
      <c r="L85">
        <v>2023</v>
      </c>
      <c r="M85">
        <v>2</v>
      </c>
      <c r="N85">
        <v>23</v>
      </c>
      <c r="O85">
        <v>14</v>
      </c>
    </row>
    <row r="86" spans="1:15" x14ac:dyDescent="0.25">
      <c r="A86">
        <v>85</v>
      </c>
      <c r="B86">
        <v>87</v>
      </c>
      <c r="C86" t="s">
        <v>323</v>
      </c>
      <c r="D86" t="s">
        <v>234</v>
      </c>
      <c r="E86" s="1">
        <v>44980.822916666664</v>
      </c>
      <c r="F86" t="s">
        <v>324</v>
      </c>
      <c r="G86" t="s">
        <v>32</v>
      </c>
      <c r="H86" t="s">
        <v>325</v>
      </c>
      <c r="I86">
        <v>25</v>
      </c>
      <c r="J86">
        <v>50</v>
      </c>
      <c r="K86" t="s">
        <v>99</v>
      </c>
      <c r="L86">
        <v>2023</v>
      </c>
      <c r="M86">
        <v>2</v>
      </c>
      <c r="N86">
        <v>23</v>
      </c>
      <c r="O86">
        <v>19</v>
      </c>
    </row>
    <row r="87" spans="1:15" x14ac:dyDescent="0.25">
      <c r="A87">
        <v>86</v>
      </c>
      <c r="B87">
        <v>88</v>
      </c>
      <c r="C87" t="s">
        <v>326</v>
      </c>
      <c r="D87" t="s">
        <v>239</v>
      </c>
      <c r="E87" s="1">
        <v>44981.479166666664</v>
      </c>
      <c r="F87" t="s">
        <v>327</v>
      </c>
      <c r="G87" t="s">
        <v>17</v>
      </c>
      <c r="H87" t="s">
        <v>328</v>
      </c>
      <c r="I87">
        <v>20</v>
      </c>
      <c r="J87">
        <v>40</v>
      </c>
      <c r="K87" t="s">
        <v>29</v>
      </c>
      <c r="L87">
        <v>2023</v>
      </c>
      <c r="M87">
        <v>2</v>
      </c>
      <c r="N87">
        <v>24</v>
      </c>
      <c r="O87">
        <v>11</v>
      </c>
    </row>
    <row r="88" spans="1:15" x14ac:dyDescent="0.25">
      <c r="A88">
        <v>87</v>
      </c>
      <c r="B88">
        <v>89</v>
      </c>
      <c r="C88" t="s">
        <v>329</v>
      </c>
      <c r="D88" t="s">
        <v>243</v>
      </c>
      <c r="E88" s="1">
        <v>44981.666666666664</v>
      </c>
      <c r="F88" t="s">
        <v>330</v>
      </c>
      <c r="G88" t="s">
        <v>27</v>
      </c>
      <c r="H88" t="s">
        <v>331</v>
      </c>
      <c r="I88">
        <v>15</v>
      </c>
      <c r="J88">
        <v>30</v>
      </c>
      <c r="K88" t="s">
        <v>60</v>
      </c>
      <c r="L88">
        <v>2023</v>
      </c>
      <c r="M88">
        <v>2</v>
      </c>
      <c r="N88">
        <v>24</v>
      </c>
      <c r="O88">
        <v>16</v>
      </c>
    </row>
    <row r="89" spans="1:15" x14ac:dyDescent="0.25">
      <c r="A89">
        <v>88</v>
      </c>
      <c r="B89">
        <v>90</v>
      </c>
      <c r="C89" t="s">
        <v>332</v>
      </c>
      <c r="D89" t="s">
        <v>247</v>
      </c>
      <c r="E89" s="1">
        <v>44981.854166666664</v>
      </c>
      <c r="F89" t="s">
        <v>333</v>
      </c>
      <c r="G89" t="s">
        <v>32</v>
      </c>
      <c r="H89" t="s">
        <v>334</v>
      </c>
      <c r="I89">
        <v>22</v>
      </c>
      <c r="J89">
        <v>45</v>
      </c>
      <c r="K89" t="s">
        <v>39</v>
      </c>
      <c r="L89">
        <v>2023</v>
      </c>
      <c r="M89">
        <v>2</v>
      </c>
      <c r="N89">
        <v>24</v>
      </c>
      <c r="O89">
        <v>20</v>
      </c>
    </row>
    <row r="90" spans="1:15" x14ac:dyDescent="0.25">
      <c r="A90">
        <v>89</v>
      </c>
      <c r="B90">
        <v>91</v>
      </c>
      <c r="C90" t="s">
        <v>335</v>
      </c>
      <c r="D90" t="s">
        <v>252</v>
      </c>
      <c r="E90" s="1">
        <v>44982.375</v>
      </c>
      <c r="F90" t="s">
        <v>336</v>
      </c>
      <c r="G90" t="s">
        <v>17</v>
      </c>
      <c r="H90" t="s">
        <v>337</v>
      </c>
      <c r="I90">
        <v>18</v>
      </c>
      <c r="J90">
        <v>35</v>
      </c>
      <c r="K90" t="s">
        <v>210</v>
      </c>
      <c r="L90">
        <v>2023</v>
      </c>
      <c r="M90">
        <v>2</v>
      </c>
      <c r="N90">
        <v>25</v>
      </c>
      <c r="O90">
        <v>9</v>
      </c>
    </row>
    <row r="91" spans="1:15" x14ac:dyDescent="0.25">
      <c r="A91">
        <v>90</v>
      </c>
      <c r="B91">
        <v>92</v>
      </c>
      <c r="C91" t="s">
        <v>338</v>
      </c>
      <c r="D91" t="s">
        <v>256</v>
      </c>
      <c r="E91" s="1">
        <v>44982.614583333336</v>
      </c>
      <c r="F91" t="s">
        <v>339</v>
      </c>
      <c r="G91" t="s">
        <v>27</v>
      </c>
      <c r="H91" t="s">
        <v>340</v>
      </c>
      <c r="I91">
        <v>25</v>
      </c>
      <c r="J91">
        <v>50</v>
      </c>
      <c r="K91" t="s">
        <v>205</v>
      </c>
      <c r="L91">
        <v>2023</v>
      </c>
      <c r="M91">
        <v>2</v>
      </c>
      <c r="N91">
        <v>25</v>
      </c>
      <c r="O91">
        <v>14</v>
      </c>
    </row>
    <row r="92" spans="1:15" x14ac:dyDescent="0.25">
      <c r="A92">
        <v>91</v>
      </c>
      <c r="B92">
        <v>93</v>
      </c>
      <c r="C92" t="s">
        <v>341</v>
      </c>
      <c r="D92" t="s">
        <v>260</v>
      </c>
      <c r="E92" s="1">
        <v>44982.763888888891</v>
      </c>
      <c r="F92" t="s">
        <v>342</v>
      </c>
      <c r="G92" t="s">
        <v>32</v>
      </c>
      <c r="H92" t="s">
        <v>343</v>
      </c>
      <c r="I92">
        <v>15</v>
      </c>
      <c r="J92">
        <v>30</v>
      </c>
      <c r="K92" t="s">
        <v>200</v>
      </c>
      <c r="L92">
        <v>2023</v>
      </c>
      <c r="M92">
        <v>2</v>
      </c>
      <c r="N92">
        <v>25</v>
      </c>
      <c r="O92">
        <v>18</v>
      </c>
    </row>
    <row r="93" spans="1:15" x14ac:dyDescent="0.25">
      <c r="A93">
        <v>92</v>
      </c>
      <c r="B93">
        <v>94</v>
      </c>
      <c r="C93" t="s">
        <v>344</v>
      </c>
      <c r="D93" t="s">
        <v>264</v>
      </c>
      <c r="E93" s="1">
        <v>44983.447916666664</v>
      </c>
      <c r="F93" t="s">
        <v>345</v>
      </c>
      <c r="G93" t="s">
        <v>17</v>
      </c>
      <c r="H93" t="s">
        <v>346</v>
      </c>
      <c r="I93">
        <v>22</v>
      </c>
      <c r="J93">
        <v>45</v>
      </c>
      <c r="K93" t="s">
        <v>191</v>
      </c>
      <c r="L93">
        <v>2023</v>
      </c>
      <c r="M93">
        <v>2</v>
      </c>
      <c r="N93">
        <v>26</v>
      </c>
      <c r="O93">
        <v>10</v>
      </c>
    </row>
    <row r="94" spans="1:15" x14ac:dyDescent="0.25">
      <c r="A94">
        <v>93</v>
      </c>
      <c r="B94">
        <v>95</v>
      </c>
      <c r="C94" t="s">
        <v>347</v>
      </c>
      <c r="D94" t="s">
        <v>268</v>
      </c>
      <c r="E94" s="1">
        <v>44983.3125</v>
      </c>
      <c r="F94" t="s">
        <v>348</v>
      </c>
      <c r="G94" t="s">
        <v>27</v>
      </c>
      <c r="H94" t="s">
        <v>349</v>
      </c>
      <c r="I94">
        <v>20</v>
      </c>
      <c r="J94">
        <v>40</v>
      </c>
      <c r="K94" t="s">
        <v>295</v>
      </c>
      <c r="L94">
        <v>2023</v>
      </c>
      <c r="M94">
        <v>2</v>
      </c>
      <c r="N94">
        <v>26</v>
      </c>
      <c r="O94">
        <v>7</v>
      </c>
    </row>
    <row r="95" spans="1:15" x14ac:dyDescent="0.25">
      <c r="A95">
        <v>94</v>
      </c>
      <c r="B95">
        <v>96</v>
      </c>
      <c r="C95" t="s">
        <v>350</v>
      </c>
      <c r="D95" t="s">
        <v>272</v>
      </c>
      <c r="E95" s="1">
        <v>44983.625</v>
      </c>
      <c r="F95" t="s">
        <v>351</v>
      </c>
      <c r="G95" t="s">
        <v>32</v>
      </c>
      <c r="H95" t="s">
        <v>352</v>
      </c>
      <c r="I95">
        <v>18</v>
      </c>
      <c r="J95">
        <v>35</v>
      </c>
      <c r="K95" t="s">
        <v>89</v>
      </c>
      <c r="L95">
        <v>2023</v>
      </c>
      <c r="M95">
        <v>2</v>
      </c>
      <c r="N95">
        <v>26</v>
      </c>
      <c r="O95">
        <v>15</v>
      </c>
    </row>
    <row r="96" spans="1:15" x14ac:dyDescent="0.25">
      <c r="A96">
        <v>95</v>
      </c>
      <c r="B96">
        <v>97</v>
      </c>
      <c r="C96" t="s">
        <v>353</v>
      </c>
      <c r="D96" t="s">
        <v>276</v>
      </c>
      <c r="E96" s="1">
        <v>44984.395833333336</v>
      </c>
      <c r="F96" t="s">
        <v>354</v>
      </c>
      <c r="G96" t="s">
        <v>17</v>
      </c>
      <c r="H96" t="s">
        <v>355</v>
      </c>
      <c r="I96">
        <v>15</v>
      </c>
      <c r="J96">
        <v>30</v>
      </c>
      <c r="K96" t="s">
        <v>114</v>
      </c>
      <c r="L96">
        <v>2023</v>
      </c>
      <c r="M96">
        <v>2</v>
      </c>
      <c r="N96">
        <v>27</v>
      </c>
      <c r="O96">
        <v>9</v>
      </c>
    </row>
    <row r="97" spans="1:15" x14ac:dyDescent="0.25">
      <c r="A97">
        <v>96</v>
      </c>
      <c r="B97">
        <v>98</v>
      </c>
      <c r="C97" t="s">
        <v>356</v>
      </c>
      <c r="D97" t="s">
        <v>280</v>
      </c>
      <c r="E97" s="1">
        <v>44984.597222222219</v>
      </c>
      <c r="F97" t="s">
        <v>357</v>
      </c>
      <c r="G97" t="s">
        <v>27</v>
      </c>
      <c r="H97" t="s">
        <v>358</v>
      </c>
      <c r="I97">
        <v>25</v>
      </c>
      <c r="J97">
        <v>50</v>
      </c>
      <c r="K97" t="s">
        <v>175</v>
      </c>
      <c r="L97">
        <v>2023</v>
      </c>
      <c r="M97">
        <v>2</v>
      </c>
      <c r="N97">
        <v>27</v>
      </c>
      <c r="O97">
        <v>14</v>
      </c>
    </row>
    <row r="98" spans="1:15" x14ac:dyDescent="0.25">
      <c r="A98">
        <v>97</v>
      </c>
      <c r="B98">
        <v>99</v>
      </c>
      <c r="C98" t="s">
        <v>359</v>
      </c>
      <c r="D98" t="s">
        <v>284</v>
      </c>
      <c r="E98" s="1">
        <v>44984.78125</v>
      </c>
      <c r="F98" t="s">
        <v>360</v>
      </c>
      <c r="G98" t="s">
        <v>32</v>
      </c>
      <c r="H98" t="s">
        <v>361</v>
      </c>
      <c r="I98">
        <v>22</v>
      </c>
      <c r="J98">
        <v>45</v>
      </c>
      <c r="K98" t="s">
        <v>124</v>
      </c>
      <c r="L98">
        <v>2023</v>
      </c>
      <c r="M98">
        <v>2</v>
      </c>
      <c r="N98">
        <v>27</v>
      </c>
      <c r="O98">
        <v>18</v>
      </c>
    </row>
    <row r="99" spans="1:15" x14ac:dyDescent="0.25">
      <c r="A99">
        <v>98</v>
      </c>
      <c r="B99">
        <v>100</v>
      </c>
      <c r="C99" t="s">
        <v>362</v>
      </c>
      <c r="D99" t="s">
        <v>288</v>
      </c>
      <c r="E99" s="1">
        <v>44985.479166666664</v>
      </c>
      <c r="F99" t="s">
        <v>363</v>
      </c>
      <c r="G99" t="s">
        <v>17</v>
      </c>
      <c r="H99" t="s">
        <v>364</v>
      </c>
      <c r="I99">
        <v>20</v>
      </c>
      <c r="J99">
        <v>40</v>
      </c>
      <c r="K99" t="s">
        <v>89</v>
      </c>
      <c r="L99">
        <v>2023</v>
      </c>
      <c r="M99">
        <v>2</v>
      </c>
      <c r="N99">
        <v>28</v>
      </c>
      <c r="O99">
        <v>11</v>
      </c>
    </row>
    <row r="100" spans="1:15" x14ac:dyDescent="0.25">
      <c r="A100">
        <v>99</v>
      </c>
      <c r="B100">
        <v>101</v>
      </c>
      <c r="C100" t="s">
        <v>365</v>
      </c>
      <c r="D100" t="s">
        <v>292</v>
      </c>
      <c r="E100" s="1">
        <v>44985.666666666664</v>
      </c>
      <c r="F100" t="s">
        <v>366</v>
      </c>
      <c r="G100" t="s">
        <v>27</v>
      </c>
      <c r="H100" t="s">
        <v>367</v>
      </c>
      <c r="I100">
        <v>30</v>
      </c>
      <c r="J100">
        <v>60</v>
      </c>
      <c r="K100" t="s">
        <v>368</v>
      </c>
      <c r="L100">
        <v>2023</v>
      </c>
      <c r="M100">
        <v>2</v>
      </c>
      <c r="N100">
        <v>28</v>
      </c>
      <c r="O100">
        <v>16</v>
      </c>
    </row>
    <row r="101" spans="1:15" x14ac:dyDescent="0.25">
      <c r="A101">
        <v>100</v>
      </c>
      <c r="B101">
        <v>102</v>
      </c>
      <c r="C101" t="s">
        <v>369</v>
      </c>
      <c r="D101" t="s">
        <v>297</v>
      </c>
      <c r="E101" s="1">
        <v>44985.822916666664</v>
      </c>
      <c r="F101" t="s">
        <v>370</v>
      </c>
      <c r="G101" t="s">
        <v>32</v>
      </c>
      <c r="H101" t="s">
        <v>299</v>
      </c>
      <c r="I101">
        <v>15</v>
      </c>
      <c r="J101">
        <v>30</v>
      </c>
      <c r="K101" t="s">
        <v>114</v>
      </c>
      <c r="L101">
        <v>2023</v>
      </c>
      <c r="M101">
        <v>2</v>
      </c>
      <c r="N101">
        <v>28</v>
      </c>
      <c r="O101">
        <v>19</v>
      </c>
    </row>
    <row r="102" spans="1:15" x14ac:dyDescent="0.25">
      <c r="A102">
        <v>101</v>
      </c>
      <c r="B102">
        <v>103</v>
      </c>
      <c r="C102" t="s">
        <v>371</v>
      </c>
      <c r="D102" t="s">
        <v>260</v>
      </c>
      <c r="E102" s="1">
        <v>44986.447916666664</v>
      </c>
      <c r="F102" t="s">
        <v>372</v>
      </c>
      <c r="G102" t="s">
        <v>17</v>
      </c>
      <c r="H102" t="s">
        <v>373</v>
      </c>
      <c r="I102">
        <v>22</v>
      </c>
      <c r="J102">
        <v>45</v>
      </c>
      <c r="K102" t="s">
        <v>39</v>
      </c>
      <c r="L102">
        <v>2023</v>
      </c>
      <c r="M102">
        <v>3</v>
      </c>
      <c r="N102">
        <v>1</v>
      </c>
      <c r="O102">
        <v>10</v>
      </c>
    </row>
    <row r="103" spans="1:15" x14ac:dyDescent="0.25">
      <c r="A103">
        <v>102</v>
      </c>
      <c r="B103">
        <v>104</v>
      </c>
      <c r="C103" t="s">
        <v>374</v>
      </c>
      <c r="D103" t="s">
        <v>284</v>
      </c>
      <c r="E103" s="1">
        <v>44986.5625</v>
      </c>
      <c r="F103" t="s">
        <v>375</v>
      </c>
      <c r="G103" t="s">
        <v>27</v>
      </c>
      <c r="H103" t="s">
        <v>376</v>
      </c>
      <c r="I103">
        <v>18</v>
      </c>
      <c r="J103">
        <v>35</v>
      </c>
      <c r="K103" t="s">
        <v>205</v>
      </c>
      <c r="L103">
        <v>2023</v>
      </c>
      <c r="M103">
        <v>3</v>
      </c>
      <c r="N103">
        <v>1</v>
      </c>
      <c r="O103">
        <v>13</v>
      </c>
    </row>
    <row r="104" spans="1:15" x14ac:dyDescent="0.25">
      <c r="A104">
        <v>103</v>
      </c>
      <c r="B104">
        <v>105</v>
      </c>
      <c r="C104" t="s">
        <v>377</v>
      </c>
      <c r="D104" t="s">
        <v>272</v>
      </c>
      <c r="E104" s="1">
        <v>44986.739583333336</v>
      </c>
      <c r="F104" t="s">
        <v>378</v>
      </c>
      <c r="G104" t="s">
        <v>17</v>
      </c>
      <c r="H104" t="s">
        <v>379</v>
      </c>
      <c r="I104">
        <v>15</v>
      </c>
      <c r="J104">
        <v>30</v>
      </c>
      <c r="K104" t="s">
        <v>79</v>
      </c>
      <c r="L104">
        <v>2023</v>
      </c>
      <c r="M104">
        <v>3</v>
      </c>
      <c r="N104">
        <v>1</v>
      </c>
      <c r="O104">
        <v>17</v>
      </c>
    </row>
    <row r="105" spans="1:15" x14ac:dyDescent="0.25">
      <c r="A105">
        <v>104</v>
      </c>
      <c r="B105">
        <v>106</v>
      </c>
      <c r="C105" t="s">
        <v>380</v>
      </c>
      <c r="D105" t="s">
        <v>276</v>
      </c>
      <c r="E105" s="1">
        <v>44987.75</v>
      </c>
      <c r="F105" t="s">
        <v>381</v>
      </c>
      <c r="G105" t="s">
        <v>32</v>
      </c>
      <c r="H105" t="s">
        <v>382</v>
      </c>
      <c r="I105">
        <v>15</v>
      </c>
      <c r="J105">
        <v>30</v>
      </c>
      <c r="K105" t="s">
        <v>128</v>
      </c>
      <c r="L105">
        <v>2023</v>
      </c>
      <c r="M105">
        <v>3</v>
      </c>
      <c r="N105">
        <v>2</v>
      </c>
      <c r="O105">
        <v>18</v>
      </c>
    </row>
    <row r="106" spans="1:15" x14ac:dyDescent="0.25">
      <c r="A106">
        <v>105</v>
      </c>
      <c r="B106">
        <v>107</v>
      </c>
      <c r="C106" t="s">
        <v>383</v>
      </c>
      <c r="D106" t="s">
        <v>384</v>
      </c>
      <c r="E106" s="1">
        <v>44987.552083333336</v>
      </c>
      <c r="F106" t="s">
        <v>385</v>
      </c>
      <c r="G106" t="s">
        <v>27</v>
      </c>
      <c r="H106" t="s">
        <v>386</v>
      </c>
      <c r="I106">
        <v>30</v>
      </c>
      <c r="J106">
        <v>60</v>
      </c>
      <c r="K106" t="s">
        <v>387</v>
      </c>
      <c r="L106">
        <v>2023</v>
      </c>
      <c r="M106">
        <v>3</v>
      </c>
      <c r="N106">
        <v>2</v>
      </c>
      <c r="O106">
        <v>13</v>
      </c>
    </row>
    <row r="107" spans="1:15" x14ac:dyDescent="0.25">
      <c r="A107">
        <v>106</v>
      </c>
      <c r="B107">
        <v>108</v>
      </c>
      <c r="C107" t="s">
        <v>388</v>
      </c>
      <c r="D107" t="s">
        <v>389</v>
      </c>
      <c r="E107" s="1">
        <v>44987.697916666664</v>
      </c>
      <c r="F107" t="s">
        <v>390</v>
      </c>
      <c r="G107" t="s">
        <v>17</v>
      </c>
      <c r="H107" t="s">
        <v>391</v>
      </c>
      <c r="I107">
        <v>25</v>
      </c>
      <c r="J107">
        <v>50</v>
      </c>
      <c r="K107" t="s">
        <v>114</v>
      </c>
      <c r="L107">
        <v>2023</v>
      </c>
      <c r="M107">
        <v>3</v>
      </c>
      <c r="N107">
        <v>2</v>
      </c>
      <c r="O107">
        <v>16</v>
      </c>
    </row>
    <row r="108" spans="1:15" x14ac:dyDescent="0.25">
      <c r="A108">
        <v>107</v>
      </c>
      <c r="B108">
        <v>109</v>
      </c>
      <c r="C108" t="s">
        <v>392</v>
      </c>
      <c r="D108" t="s">
        <v>288</v>
      </c>
      <c r="E108" s="1">
        <v>44988.479166666664</v>
      </c>
      <c r="F108" t="s">
        <v>393</v>
      </c>
      <c r="G108" t="s">
        <v>32</v>
      </c>
      <c r="H108" t="s">
        <v>394</v>
      </c>
      <c r="I108">
        <v>22</v>
      </c>
      <c r="J108">
        <v>45</v>
      </c>
      <c r="K108" t="s">
        <v>89</v>
      </c>
      <c r="L108">
        <v>2023</v>
      </c>
      <c r="M108">
        <v>3</v>
      </c>
      <c r="N108">
        <v>3</v>
      </c>
      <c r="O108">
        <v>11</v>
      </c>
    </row>
    <row r="109" spans="1:15" x14ac:dyDescent="0.25">
      <c r="A109">
        <v>108</v>
      </c>
      <c r="B109">
        <v>110</v>
      </c>
      <c r="C109" t="s">
        <v>395</v>
      </c>
      <c r="D109" t="s">
        <v>292</v>
      </c>
      <c r="E109" s="1">
        <v>44988.604166666664</v>
      </c>
      <c r="F109" t="s">
        <v>396</v>
      </c>
      <c r="G109" t="s">
        <v>27</v>
      </c>
      <c r="H109" t="s">
        <v>397</v>
      </c>
      <c r="I109">
        <v>12</v>
      </c>
      <c r="J109">
        <v>25</v>
      </c>
      <c r="K109" t="s">
        <v>124</v>
      </c>
      <c r="L109">
        <v>2023</v>
      </c>
      <c r="M109">
        <v>3</v>
      </c>
      <c r="N109">
        <v>3</v>
      </c>
      <c r="O109">
        <v>14</v>
      </c>
    </row>
    <row r="110" spans="1:15" x14ac:dyDescent="0.25">
      <c r="A110">
        <v>109</v>
      </c>
      <c r="B110">
        <v>111</v>
      </c>
      <c r="C110" t="s">
        <v>398</v>
      </c>
      <c r="D110" t="s">
        <v>399</v>
      </c>
      <c r="E110" s="1">
        <v>44988.5</v>
      </c>
      <c r="F110" t="s">
        <v>400</v>
      </c>
      <c r="G110" t="s">
        <v>17</v>
      </c>
      <c r="H110" t="s">
        <v>401</v>
      </c>
      <c r="I110">
        <v>15</v>
      </c>
      <c r="J110">
        <v>30</v>
      </c>
      <c r="K110" t="s">
        <v>128</v>
      </c>
      <c r="L110">
        <v>2023</v>
      </c>
      <c r="M110">
        <v>3</v>
      </c>
      <c r="N110">
        <v>3</v>
      </c>
      <c r="O110">
        <v>12</v>
      </c>
    </row>
    <row r="111" spans="1:15" x14ac:dyDescent="0.25">
      <c r="A111">
        <v>110</v>
      </c>
      <c r="B111">
        <v>112</v>
      </c>
      <c r="C111" t="s">
        <v>402</v>
      </c>
      <c r="D111" t="s">
        <v>403</v>
      </c>
      <c r="E111" s="1">
        <v>40313.645833333336</v>
      </c>
      <c r="F111" t="s">
        <v>404</v>
      </c>
      <c r="G111" t="s">
        <v>17</v>
      </c>
      <c r="H111" t="s">
        <v>405</v>
      </c>
      <c r="I111">
        <v>20</v>
      </c>
      <c r="J111">
        <v>40</v>
      </c>
      <c r="K111" t="s">
        <v>79</v>
      </c>
      <c r="L111">
        <v>2010</v>
      </c>
      <c r="M111">
        <v>5</v>
      </c>
      <c r="N111">
        <v>15</v>
      </c>
      <c r="O111">
        <v>15</v>
      </c>
    </row>
    <row r="112" spans="1:15" x14ac:dyDescent="0.25">
      <c r="A112">
        <v>111</v>
      </c>
      <c r="B112">
        <v>113</v>
      </c>
      <c r="C112" t="s">
        <v>406</v>
      </c>
      <c r="D112" t="s">
        <v>407</v>
      </c>
      <c r="E112" s="1">
        <v>44418.885416666664</v>
      </c>
      <c r="F112" t="s">
        <v>408</v>
      </c>
      <c r="G112" t="s">
        <v>27</v>
      </c>
      <c r="H112" t="s">
        <v>409</v>
      </c>
      <c r="I112">
        <v>15</v>
      </c>
      <c r="J112">
        <v>30</v>
      </c>
      <c r="K112" t="s">
        <v>19</v>
      </c>
      <c r="L112">
        <v>2021</v>
      </c>
      <c r="M112">
        <v>8</v>
      </c>
      <c r="N112">
        <v>10</v>
      </c>
      <c r="O112">
        <v>21</v>
      </c>
    </row>
    <row r="113" spans="1:15" x14ac:dyDescent="0.25">
      <c r="A113">
        <v>112</v>
      </c>
      <c r="B113">
        <v>114</v>
      </c>
      <c r="C113" t="s">
        <v>410</v>
      </c>
      <c r="D113" t="s">
        <v>411</v>
      </c>
      <c r="E113" s="1">
        <v>40714.614583333336</v>
      </c>
      <c r="F113" t="s">
        <v>412</v>
      </c>
      <c r="G113" t="s">
        <v>32</v>
      </c>
      <c r="H113" t="s">
        <v>413</v>
      </c>
      <c r="I113">
        <v>25</v>
      </c>
      <c r="J113">
        <v>50</v>
      </c>
      <c r="K113" t="s">
        <v>414</v>
      </c>
      <c r="L113">
        <v>2011</v>
      </c>
      <c r="M113">
        <v>6</v>
      </c>
      <c r="N113">
        <v>20</v>
      </c>
      <c r="O113">
        <v>14</v>
      </c>
    </row>
    <row r="114" spans="1:15" x14ac:dyDescent="0.25">
      <c r="A114">
        <v>113</v>
      </c>
      <c r="B114">
        <v>115</v>
      </c>
      <c r="C114" t="s">
        <v>415</v>
      </c>
      <c r="D114" t="s">
        <v>416</v>
      </c>
      <c r="E114" s="1">
        <v>44604.763888888891</v>
      </c>
      <c r="F114" t="s">
        <v>417</v>
      </c>
      <c r="G114" t="s">
        <v>17</v>
      </c>
      <c r="H114" t="s">
        <v>418</v>
      </c>
      <c r="I114">
        <v>18</v>
      </c>
      <c r="J114">
        <v>35</v>
      </c>
      <c r="K114" t="s">
        <v>419</v>
      </c>
      <c r="L114">
        <v>2022</v>
      </c>
      <c r="M114">
        <v>2</v>
      </c>
      <c r="N114">
        <v>12</v>
      </c>
      <c r="O114">
        <v>18</v>
      </c>
    </row>
    <row r="115" spans="1:15" x14ac:dyDescent="0.25">
      <c r="A115">
        <v>114</v>
      </c>
      <c r="B115">
        <v>116</v>
      </c>
      <c r="C115" t="s">
        <v>420</v>
      </c>
      <c r="D115" t="s">
        <v>421</v>
      </c>
      <c r="E115" s="1">
        <v>41238.416666666664</v>
      </c>
      <c r="F115" t="s">
        <v>422</v>
      </c>
      <c r="G115" t="s">
        <v>27</v>
      </c>
      <c r="H115" t="s">
        <v>423</v>
      </c>
      <c r="I115">
        <v>30</v>
      </c>
      <c r="J115">
        <v>60</v>
      </c>
      <c r="K115" t="s">
        <v>250</v>
      </c>
      <c r="L115">
        <v>2012</v>
      </c>
      <c r="M115">
        <v>11</v>
      </c>
      <c r="N115">
        <v>25</v>
      </c>
      <c r="O115">
        <v>10</v>
      </c>
    </row>
    <row r="116" spans="1:15" x14ac:dyDescent="0.25">
      <c r="A116">
        <v>115</v>
      </c>
      <c r="B116">
        <v>117</v>
      </c>
      <c r="C116" t="s">
        <v>424</v>
      </c>
      <c r="D116" t="s">
        <v>425</v>
      </c>
      <c r="E116" s="1">
        <v>41369.8125</v>
      </c>
      <c r="F116" t="s">
        <v>426</v>
      </c>
      <c r="G116" t="s">
        <v>32</v>
      </c>
      <c r="H116" t="s">
        <v>427</v>
      </c>
      <c r="I116">
        <v>22</v>
      </c>
      <c r="J116">
        <v>45</v>
      </c>
      <c r="K116" t="s">
        <v>19</v>
      </c>
      <c r="L116">
        <v>2013</v>
      </c>
      <c r="M116">
        <v>4</v>
      </c>
      <c r="N116">
        <v>5</v>
      </c>
      <c r="O116">
        <v>19</v>
      </c>
    </row>
    <row r="117" spans="1:15" x14ac:dyDescent="0.25">
      <c r="A117">
        <v>116</v>
      </c>
      <c r="B117">
        <v>118</v>
      </c>
      <c r="C117" t="s">
        <v>428</v>
      </c>
      <c r="D117" t="s">
        <v>429</v>
      </c>
      <c r="E117" s="1">
        <v>41896.354166666664</v>
      </c>
      <c r="F117" t="s">
        <v>430</v>
      </c>
      <c r="G117" t="s">
        <v>17</v>
      </c>
      <c r="H117" t="s">
        <v>431</v>
      </c>
      <c r="I117">
        <v>15</v>
      </c>
      <c r="J117">
        <v>30</v>
      </c>
      <c r="K117" t="s">
        <v>34</v>
      </c>
      <c r="L117">
        <v>2014</v>
      </c>
      <c r="M117">
        <v>9</v>
      </c>
      <c r="N117">
        <v>14</v>
      </c>
      <c r="O117">
        <v>8</v>
      </c>
    </row>
    <row r="118" spans="1:15" x14ac:dyDescent="0.25">
      <c r="A118">
        <v>117</v>
      </c>
      <c r="B118">
        <v>119</v>
      </c>
      <c r="C118" t="s">
        <v>432</v>
      </c>
      <c r="D118" t="s">
        <v>433</v>
      </c>
      <c r="E118" s="1">
        <v>42203.597222222219</v>
      </c>
      <c r="F118" t="s">
        <v>434</v>
      </c>
      <c r="G118" t="s">
        <v>27</v>
      </c>
      <c r="H118" t="s">
        <v>435</v>
      </c>
      <c r="I118">
        <v>18</v>
      </c>
      <c r="J118">
        <v>35</v>
      </c>
      <c r="K118" t="s">
        <v>124</v>
      </c>
      <c r="L118">
        <v>2015</v>
      </c>
      <c r="M118">
        <v>7</v>
      </c>
      <c r="N118">
        <v>18</v>
      </c>
      <c r="O118">
        <v>14</v>
      </c>
    </row>
    <row r="119" spans="1:15" x14ac:dyDescent="0.25">
      <c r="A119">
        <v>118</v>
      </c>
      <c r="B119">
        <v>120</v>
      </c>
      <c r="C119" t="s">
        <v>436</v>
      </c>
      <c r="D119" t="s">
        <v>437</v>
      </c>
      <c r="E119" s="1">
        <v>42423.822916666664</v>
      </c>
      <c r="F119" t="s">
        <v>438</v>
      </c>
      <c r="G119" t="s">
        <v>32</v>
      </c>
      <c r="H119" t="s">
        <v>439</v>
      </c>
      <c r="I119">
        <v>25</v>
      </c>
      <c r="J119">
        <v>50</v>
      </c>
      <c r="K119" t="s">
        <v>419</v>
      </c>
      <c r="L119">
        <v>2016</v>
      </c>
      <c r="M119">
        <v>2</v>
      </c>
      <c r="N119">
        <v>23</v>
      </c>
      <c r="O119">
        <v>19</v>
      </c>
    </row>
    <row r="120" spans="1:15" x14ac:dyDescent="0.25">
      <c r="A120">
        <v>119</v>
      </c>
      <c r="B120">
        <v>121</v>
      </c>
      <c r="C120" t="s">
        <v>440</v>
      </c>
      <c r="D120" t="s">
        <v>441</v>
      </c>
      <c r="E120" s="1">
        <v>43038.479166666664</v>
      </c>
      <c r="F120" t="s">
        <v>442</v>
      </c>
      <c r="G120" t="s">
        <v>17</v>
      </c>
      <c r="H120" t="s">
        <v>443</v>
      </c>
      <c r="I120">
        <v>20</v>
      </c>
      <c r="J120">
        <v>40</v>
      </c>
      <c r="K120" t="s">
        <v>39</v>
      </c>
      <c r="L120">
        <v>2017</v>
      </c>
      <c r="M120">
        <v>10</v>
      </c>
      <c r="N120">
        <v>30</v>
      </c>
      <c r="O120">
        <v>11</v>
      </c>
    </row>
    <row r="121" spans="1:15" x14ac:dyDescent="0.25">
      <c r="A121">
        <v>120</v>
      </c>
      <c r="B121">
        <v>122</v>
      </c>
      <c r="C121" t="s">
        <v>444</v>
      </c>
      <c r="D121" t="s">
        <v>445</v>
      </c>
      <c r="E121" s="1">
        <v>43266.666666666664</v>
      </c>
      <c r="F121" t="s">
        <v>446</v>
      </c>
      <c r="G121" t="s">
        <v>27</v>
      </c>
      <c r="H121" t="s">
        <v>447</v>
      </c>
      <c r="I121">
        <v>15</v>
      </c>
      <c r="J121">
        <v>30</v>
      </c>
      <c r="K121" t="s">
        <v>448</v>
      </c>
      <c r="L121">
        <v>2018</v>
      </c>
      <c r="M121">
        <v>6</v>
      </c>
      <c r="N121">
        <v>15</v>
      </c>
      <c r="O121">
        <v>16</v>
      </c>
    </row>
    <row r="122" spans="1:15" x14ac:dyDescent="0.25">
      <c r="A122">
        <v>121</v>
      </c>
      <c r="B122">
        <v>123</v>
      </c>
      <c r="C122" t="s">
        <v>449</v>
      </c>
      <c r="D122" t="s">
        <v>450</v>
      </c>
      <c r="E122" s="1">
        <v>43552.763888888891</v>
      </c>
      <c r="F122" t="s">
        <v>451</v>
      </c>
      <c r="G122" t="s">
        <v>32</v>
      </c>
      <c r="H122" t="s">
        <v>452</v>
      </c>
      <c r="I122">
        <v>22</v>
      </c>
      <c r="J122">
        <v>45</v>
      </c>
      <c r="K122" t="s">
        <v>114</v>
      </c>
      <c r="L122">
        <v>2019</v>
      </c>
      <c r="M122">
        <v>3</v>
      </c>
      <c r="N122">
        <v>28</v>
      </c>
      <c r="O122">
        <v>18</v>
      </c>
    </row>
    <row r="123" spans="1:15" x14ac:dyDescent="0.25">
      <c r="A123">
        <v>122</v>
      </c>
      <c r="B123">
        <v>124</v>
      </c>
      <c r="C123" t="s">
        <v>453</v>
      </c>
      <c r="D123" t="s">
        <v>454</v>
      </c>
      <c r="E123" s="1">
        <v>43780.625</v>
      </c>
      <c r="F123" t="s">
        <v>455</v>
      </c>
      <c r="G123" t="s">
        <v>17</v>
      </c>
      <c r="H123" t="s">
        <v>456</v>
      </c>
      <c r="I123">
        <v>18</v>
      </c>
      <c r="J123">
        <v>35</v>
      </c>
      <c r="K123" t="s">
        <v>457</v>
      </c>
      <c r="L123">
        <v>2019</v>
      </c>
      <c r="M123">
        <v>11</v>
      </c>
      <c r="N123">
        <v>11</v>
      </c>
      <c r="O123">
        <v>15</v>
      </c>
    </row>
    <row r="124" spans="1:15" x14ac:dyDescent="0.25">
      <c r="A124">
        <v>123</v>
      </c>
      <c r="B124">
        <v>125</v>
      </c>
      <c r="C124" t="s">
        <v>458</v>
      </c>
      <c r="D124" t="s">
        <v>403</v>
      </c>
      <c r="E124" s="1">
        <v>43923.395833333336</v>
      </c>
      <c r="F124" t="s">
        <v>459</v>
      </c>
      <c r="G124" t="s">
        <v>27</v>
      </c>
      <c r="H124" t="s">
        <v>460</v>
      </c>
      <c r="I124">
        <v>25</v>
      </c>
      <c r="J124">
        <v>50</v>
      </c>
      <c r="K124" t="s">
        <v>461</v>
      </c>
      <c r="L124">
        <v>2020</v>
      </c>
      <c r="M124">
        <v>4</v>
      </c>
      <c r="N124">
        <v>2</v>
      </c>
      <c r="O124">
        <v>9</v>
      </c>
    </row>
    <row r="125" spans="1:15" x14ac:dyDescent="0.25">
      <c r="A125">
        <v>124</v>
      </c>
      <c r="B125">
        <v>126</v>
      </c>
      <c r="C125" t="s">
        <v>462</v>
      </c>
      <c r="D125" t="s">
        <v>407</v>
      </c>
      <c r="E125" s="1">
        <v>44366.614583333336</v>
      </c>
      <c r="F125" t="s">
        <v>463</v>
      </c>
      <c r="G125" t="s">
        <v>32</v>
      </c>
      <c r="H125" t="s">
        <v>464</v>
      </c>
      <c r="I125">
        <v>15</v>
      </c>
      <c r="J125">
        <v>30</v>
      </c>
      <c r="K125" t="s">
        <v>99</v>
      </c>
      <c r="L125">
        <v>2021</v>
      </c>
      <c r="M125">
        <v>6</v>
      </c>
      <c r="N125">
        <v>19</v>
      </c>
      <c r="O125">
        <v>14</v>
      </c>
    </row>
    <row r="126" spans="1:15" x14ac:dyDescent="0.25">
      <c r="A126">
        <v>125</v>
      </c>
      <c r="B126">
        <v>127</v>
      </c>
      <c r="C126" t="s">
        <v>465</v>
      </c>
      <c r="D126" t="s">
        <v>411</v>
      </c>
      <c r="E126" s="1">
        <v>40405.416666666664</v>
      </c>
      <c r="F126" t="s">
        <v>466</v>
      </c>
      <c r="G126" t="s">
        <v>17</v>
      </c>
      <c r="H126" t="s">
        <v>467</v>
      </c>
      <c r="I126">
        <v>30</v>
      </c>
      <c r="J126">
        <v>60</v>
      </c>
      <c r="K126" t="s">
        <v>39</v>
      </c>
      <c r="L126">
        <v>2010</v>
      </c>
      <c r="M126">
        <v>8</v>
      </c>
      <c r="N126">
        <v>15</v>
      </c>
      <c r="O126">
        <v>10</v>
      </c>
    </row>
    <row r="127" spans="1:15" x14ac:dyDescent="0.25">
      <c r="A127">
        <v>126</v>
      </c>
      <c r="B127">
        <v>128</v>
      </c>
      <c r="C127" t="s">
        <v>468</v>
      </c>
      <c r="D127" t="s">
        <v>416</v>
      </c>
      <c r="E127" s="1">
        <v>40808.8125</v>
      </c>
      <c r="F127" t="s">
        <v>469</v>
      </c>
      <c r="G127" t="s">
        <v>27</v>
      </c>
      <c r="H127" t="s">
        <v>470</v>
      </c>
      <c r="I127">
        <v>22</v>
      </c>
      <c r="J127">
        <v>45</v>
      </c>
      <c r="K127" t="s">
        <v>419</v>
      </c>
      <c r="L127">
        <v>2011</v>
      </c>
      <c r="M127">
        <v>9</v>
      </c>
      <c r="N127">
        <v>22</v>
      </c>
      <c r="O127">
        <v>19</v>
      </c>
    </row>
    <row r="128" spans="1:15" x14ac:dyDescent="0.25">
      <c r="A128">
        <v>127</v>
      </c>
      <c r="B128">
        <v>129</v>
      </c>
      <c r="C128" t="s">
        <v>471</v>
      </c>
      <c r="D128" t="s">
        <v>421</v>
      </c>
      <c r="E128" s="1">
        <v>40978.354166666664</v>
      </c>
      <c r="F128" t="s">
        <v>472</v>
      </c>
      <c r="G128" t="s">
        <v>32</v>
      </c>
      <c r="H128" t="s">
        <v>473</v>
      </c>
      <c r="I128">
        <v>15</v>
      </c>
      <c r="J128">
        <v>30</v>
      </c>
      <c r="K128" t="s">
        <v>114</v>
      </c>
      <c r="L128">
        <v>2012</v>
      </c>
      <c r="M128">
        <v>3</v>
      </c>
      <c r="N128">
        <v>10</v>
      </c>
      <c r="O128">
        <v>8</v>
      </c>
    </row>
    <row r="129" spans="1:15" x14ac:dyDescent="0.25">
      <c r="A129">
        <v>128</v>
      </c>
      <c r="B129">
        <v>130</v>
      </c>
      <c r="C129" t="s">
        <v>474</v>
      </c>
      <c r="D129" t="s">
        <v>425</v>
      </c>
      <c r="E129" s="1">
        <v>41613.666666666664</v>
      </c>
      <c r="F129" t="s">
        <v>475</v>
      </c>
      <c r="G129" t="s">
        <v>17</v>
      </c>
      <c r="H129" t="s">
        <v>476</v>
      </c>
      <c r="I129">
        <v>18</v>
      </c>
      <c r="J129">
        <v>35</v>
      </c>
      <c r="K129" t="s">
        <v>79</v>
      </c>
      <c r="L129">
        <v>2013</v>
      </c>
      <c r="M129">
        <v>12</v>
      </c>
      <c r="N129">
        <v>5</v>
      </c>
      <c r="O129">
        <v>16</v>
      </c>
    </row>
    <row r="130" spans="1:15" x14ac:dyDescent="0.25">
      <c r="A130">
        <v>129</v>
      </c>
      <c r="B130">
        <v>131</v>
      </c>
      <c r="C130" t="s">
        <v>477</v>
      </c>
      <c r="D130" t="s">
        <v>429</v>
      </c>
      <c r="E130" s="1">
        <v>41840.479166666664</v>
      </c>
      <c r="F130" t="s">
        <v>478</v>
      </c>
      <c r="G130" t="s">
        <v>27</v>
      </c>
      <c r="H130" t="s">
        <v>479</v>
      </c>
      <c r="I130">
        <v>25</v>
      </c>
      <c r="J130">
        <v>50</v>
      </c>
      <c r="K130" t="s">
        <v>60</v>
      </c>
      <c r="L130">
        <v>2014</v>
      </c>
      <c r="M130">
        <v>7</v>
      </c>
      <c r="N130">
        <v>20</v>
      </c>
      <c r="O130">
        <v>11</v>
      </c>
    </row>
    <row r="131" spans="1:15" x14ac:dyDescent="0.25">
      <c r="A131">
        <v>130</v>
      </c>
      <c r="B131">
        <v>132</v>
      </c>
      <c r="C131" t="s">
        <v>480</v>
      </c>
      <c r="D131" t="s">
        <v>433</v>
      </c>
      <c r="E131" s="1">
        <v>42360.597222222219</v>
      </c>
      <c r="F131" t="s">
        <v>481</v>
      </c>
      <c r="G131" t="s">
        <v>32</v>
      </c>
      <c r="H131" t="s">
        <v>482</v>
      </c>
      <c r="I131">
        <v>18</v>
      </c>
      <c r="J131">
        <v>35</v>
      </c>
      <c r="K131" t="s">
        <v>19</v>
      </c>
      <c r="L131">
        <v>2015</v>
      </c>
      <c r="M131">
        <v>12</v>
      </c>
      <c r="N131">
        <v>22</v>
      </c>
      <c r="O131">
        <v>14</v>
      </c>
    </row>
    <row r="132" spans="1:15" x14ac:dyDescent="0.25">
      <c r="A132">
        <v>131</v>
      </c>
      <c r="B132">
        <v>133</v>
      </c>
      <c r="C132" t="s">
        <v>483</v>
      </c>
      <c r="D132" t="s">
        <v>437</v>
      </c>
      <c r="E132" s="1">
        <v>42410.822916666664</v>
      </c>
      <c r="F132" t="s">
        <v>484</v>
      </c>
      <c r="G132" t="s">
        <v>17</v>
      </c>
      <c r="H132" t="s">
        <v>485</v>
      </c>
      <c r="I132">
        <v>25</v>
      </c>
      <c r="J132">
        <v>50</v>
      </c>
      <c r="K132" t="s">
        <v>34</v>
      </c>
      <c r="L132">
        <v>2016</v>
      </c>
      <c r="M132">
        <v>2</v>
      </c>
      <c r="N132">
        <v>10</v>
      </c>
      <c r="O132">
        <v>19</v>
      </c>
    </row>
    <row r="133" spans="1:15" x14ac:dyDescent="0.25">
      <c r="A133">
        <v>132</v>
      </c>
      <c r="B133">
        <v>134</v>
      </c>
      <c r="C133" t="s">
        <v>486</v>
      </c>
      <c r="D133" t="s">
        <v>441</v>
      </c>
      <c r="E133" s="1">
        <v>42855.479166666664</v>
      </c>
      <c r="F133" t="s">
        <v>487</v>
      </c>
      <c r="G133" t="s">
        <v>27</v>
      </c>
      <c r="H133" t="s">
        <v>488</v>
      </c>
      <c r="I133">
        <v>20</v>
      </c>
      <c r="J133">
        <v>40</v>
      </c>
      <c r="K133" t="s">
        <v>39</v>
      </c>
      <c r="L133">
        <v>2017</v>
      </c>
      <c r="M133">
        <v>4</v>
      </c>
      <c r="N133">
        <v>30</v>
      </c>
      <c r="O133">
        <v>11</v>
      </c>
    </row>
    <row r="134" spans="1:15" x14ac:dyDescent="0.25">
      <c r="A134">
        <v>133</v>
      </c>
      <c r="B134">
        <v>135</v>
      </c>
      <c r="C134" t="s">
        <v>489</v>
      </c>
      <c r="D134" t="s">
        <v>445</v>
      </c>
      <c r="E134" s="1">
        <v>43358.666666666664</v>
      </c>
      <c r="F134" t="s">
        <v>490</v>
      </c>
      <c r="G134" t="s">
        <v>32</v>
      </c>
      <c r="H134" t="s">
        <v>491</v>
      </c>
      <c r="I134">
        <v>15</v>
      </c>
      <c r="J134">
        <v>30</v>
      </c>
      <c r="K134" t="s">
        <v>79</v>
      </c>
      <c r="L134">
        <v>2018</v>
      </c>
      <c r="M134">
        <v>9</v>
      </c>
      <c r="N134">
        <v>15</v>
      </c>
      <c r="O134">
        <v>16</v>
      </c>
    </row>
    <row r="135" spans="1:15" x14ac:dyDescent="0.25">
      <c r="A135">
        <v>134</v>
      </c>
      <c r="B135">
        <v>136</v>
      </c>
      <c r="C135" t="s">
        <v>492</v>
      </c>
      <c r="D135" t="s">
        <v>450</v>
      </c>
      <c r="E135" s="1">
        <v>43644.763888888891</v>
      </c>
      <c r="F135" t="s">
        <v>493</v>
      </c>
      <c r="G135" t="s">
        <v>17</v>
      </c>
      <c r="H135" t="s">
        <v>494</v>
      </c>
      <c r="I135">
        <v>22</v>
      </c>
      <c r="J135">
        <v>45</v>
      </c>
      <c r="K135" t="s">
        <v>114</v>
      </c>
      <c r="L135">
        <v>2019</v>
      </c>
      <c r="M135">
        <v>6</v>
      </c>
      <c r="N135">
        <v>28</v>
      </c>
      <c r="O135">
        <v>18</v>
      </c>
    </row>
    <row r="136" spans="1:15" x14ac:dyDescent="0.25">
      <c r="A136">
        <v>135</v>
      </c>
      <c r="B136">
        <v>137</v>
      </c>
      <c r="C136" t="s">
        <v>495</v>
      </c>
      <c r="D136" t="s">
        <v>454</v>
      </c>
      <c r="E136" s="1">
        <v>44146.625</v>
      </c>
      <c r="F136" t="s">
        <v>496</v>
      </c>
      <c r="G136" t="s">
        <v>27</v>
      </c>
      <c r="H136" t="s">
        <v>497</v>
      </c>
      <c r="I136">
        <v>18</v>
      </c>
      <c r="J136">
        <v>35</v>
      </c>
      <c r="K136" t="s">
        <v>128</v>
      </c>
      <c r="L136">
        <v>2020</v>
      </c>
      <c r="M136">
        <v>11</v>
      </c>
      <c r="N136">
        <v>11</v>
      </c>
      <c r="O136">
        <v>15</v>
      </c>
    </row>
    <row r="137" spans="1:15" x14ac:dyDescent="0.25">
      <c r="A137">
        <v>136</v>
      </c>
      <c r="B137">
        <v>138</v>
      </c>
      <c r="C137" t="s">
        <v>498</v>
      </c>
      <c r="D137" t="s">
        <v>403</v>
      </c>
      <c r="E137" s="1">
        <v>44257.395833333336</v>
      </c>
      <c r="F137" t="s">
        <v>499</v>
      </c>
      <c r="G137" t="s">
        <v>32</v>
      </c>
      <c r="H137" t="s">
        <v>500</v>
      </c>
      <c r="I137">
        <v>25</v>
      </c>
      <c r="J137">
        <v>50</v>
      </c>
      <c r="K137" t="s">
        <v>19</v>
      </c>
      <c r="L137">
        <v>2021</v>
      </c>
      <c r="M137">
        <v>3</v>
      </c>
      <c r="N137">
        <v>2</v>
      </c>
      <c r="O137">
        <v>9</v>
      </c>
    </row>
    <row r="138" spans="1:15" x14ac:dyDescent="0.25">
      <c r="A138">
        <v>137</v>
      </c>
      <c r="B138">
        <v>139</v>
      </c>
      <c r="C138" t="s">
        <v>501</v>
      </c>
      <c r="D138" t="s">
        <v>403</v>
      </c>
      <c r="E138" s="1">
        <v>40957.604166666664</v>
      </c>
      <c r="F138" t="s">
        <v>502</v>
      </c>
      <c r="G138" t="s">
        <v>17</v>
      </c>
      <c r="H138" t="s">
        <v>503</v>
      </c>
      <c r="I138">
        <v>20</v>
      </c>
      <c r="J138">
        <v>40</v>
      </c>
      <c r="K138" t="s">
        <v>19</v>
      </c>
      <c r="L138">
        <v>2012</v>
      </c>
      <c r="M138">
        <v>2</v>
      </c>
      <c r="N138">
        <v>18</v>
      </c>
      <c r="O138">
        <v>14</v>
      </c>
    </row>
    <row r="139" spans="1:15" x14ac:dyDescent="0.25">
      <c r="A139">
        <v>138</v>
      </c>
      <c r="B139">
        <v>140</v>
      </c>
      <c r="C139" t="s">
        <v>504</v>
      </c>
      <c r="D139" t="s">
        <v>407</v>
      </c>
      <c r="E139" s="1">
        <v>43409.90625</v>
      </c>
      <c r="F139" t="s">
        <v>505</v>
      </c>
      <c r="G139" t="s">
        <v>27</v>
      </c>
      <c r="H139" t="s">
        <v>506</v>
      </c>
      <c r="I139">
        <v>15</v>
      </c>
      <c r="J139">
        <v>30</v>
      </c>
      <c r="K139" t="s">
        <v>175</v>
      </c>
      <c r="L139">
        <v>2018</v>
      </c>
      <c r="M139">
        <v>11</v>
      </c>
      <c r="N139">
        <v>5</v>
      </c>
      <c r="O139">
        <v>21</v>
      </c>
    </row>
    <row r="140" spans="1:15" x14ac:dyDescent="0.25">
      <c r="A140">
        <v>139</v>
      </c>
      <c r="B140">
        <v>141</v>
      </c>
      <c r="C140" t="s">
        <v>507</v>
      </c>
      <c r="D140" t="s">
        <v>411</v>
      </c>
      <c r="E140" s="1">
        <v>42259.555555555555</v>
      </c>
      <c r="F140" t="s">
        <v>508</v>
      </c>
      <c r="G140" t="s">
        <v>32</v>
      </c>
      <c r="H140" t="s">
        <v>509</v>
      </c>
      <c r="I140">
        <v>25</v>
      </c>
      <c r="J140">
        <v>50</v>
      </c>
      <c r="K140" t="s">
        <v>43</v>
      </c>
      <c r="L140">
        <v>2015</v>
      </c>
      <c r="M140">
        <v>9</v>
      </c>
      <c r="N140">
        <v>12</v>
      </c>
      <c r="O140">
        <v>13</v>
      </c>
    </row>
    <row r="141" spans="1:15" x14ac:dyDescent="0.25">
      <c r="A141">
        <v>140</v>
      </c>
      <c r="B141">
        <v>142</v>
      </c>
      <c r="C141" t="s">
        <v>510</v>
      </c>
      <c r="D141" t="s">
        <v>416</v>
      </c>
      <c r="E141" s="1">
        <v>42581.756944444445</v>
      </c>
      <c r="F141" t="s">
        <v>511</v>
      </c>
      <c r="G141" t="s">
        <v>17</v>
      </c>
      <c r="H141" t="s">
        <v>512</v>
      </c>
      <c r="I141">
        <v>18</v>
      </c>
      <c r="J141">
        <v>35</v>
      </c>
      <c r="K141" t="s">
        <v>461</v>
      </c>
      <c r="L141">
        <v>2016</v>
      </c>
      <c r="M141">
        <v>7</v>
      </c>
      <c r="N141">
        <v>30</v>
      </c>
      <c r="O141">
        <v>18</v>
      </c>
    </row>
    <row r="142" spans="1:15" x14ac:dyDescent="0.25">
      <c r="A142">
        <v>141</v>
      </c>
      <c r="B142">
        <v>143</v>
      </c>
      <c r="C142" t="s">
        <v>513</v>
      </c>
      <c r="D142" t="s">
        <v>421</v>
      </c>
      <c r="E142" s="1">
        <v>41384.4375</v>
      </c>
      <c r="F142" t="s">
        <v>514</v>
      </c>
      <c r="G142" t="s">
        <v>27</v>
      </c>
      <c r="H142" t="s">
        <v>515</v>
      </c>
      <c r="I142">
        <v>30</v>
      </c>
      <c r="J142">
        <v>60</v>
      </c>
      <c r="K142" t="s">
        <v>99</v>
      </c>
      <c r="L142">
        <v>2013</v>
      </c>
      <c r="M142">
        <v>4</v>
      </c>
      <c r="N142">
        <v>20</v>
      </c>
      <c r="O142">
        <v>10</v>
      </c>
    </row>
    <row r="143" spans="1:15" x14ac:dyDescent="0.25">
      <c r="A143">
        <v>142</v>
      </c>
      <c r="B143">
        <v>144</v>
      </c>
      <c r="C143" t="s">
        <v>516</v>
      </c>
      <c r="D143" t="s">
        <v>425</v>
      </c>
      <c r="E143" s="1">
        <v>43077.802083333336</v>
      </c>
      <c r="F143" t="s">
        <v>517</v>
      </c>
      <c r="G143" t="s">
        <v>32</v>
      </c>
      <c r="H143" t="s">
        <v>518</v>
      </c>
      <c r="I143">
        <v>22</v>
      </c>
      <c r="J143">
        <v>45</v>
      </c>
      <c r="K143" t="s">
        <v>79</v>
      </c>
      <c r="L143">
        <v>2017</v>
      </c>
      <c r="M143">
        <v>12</v>
      </c>
      <c r="N143">
        <v>8</v>
      </c>
      <c r="O143">
        <v>19</v>
      </c>
    </row>
    <row r="144" spans="1:15" x14ac:dyDescent="0.25">
      <c r="A144">
        <v>143</v>
      </c>
      <c r="B144">
        <v>145</v>
      </c>
      <c r="C144" t="s">
        <v>519</v>
      </c>
      <c r="D144" t="s">
        <v>429</v>
      </c>
      <c r="E144" s="1">
        <v>41793.347222222219</v>
      </c>
      <c r="F144" t="s">
        <v>520</v>
      </c>
      <c r="G144" t="s">
        <v>17</v>
      </c>
      <c r="H144" t="s">
        <v>521</v>
      </c>
      <c r="I144">
        <v>15</v>
      </c>
      <c r="J144">
        <v>30</v>
      </c>
      <c r="K144" t="s">
        <v>34</v>
      </c>
      <c r="L144">
        <v>2014</v>
      </c>
      <c r="M144">
        <v>6</v>
      </c>
      <c r="N144">
        <v>3</v>
      </c>
      <c r="O144">
        <v>8</v>
      </c>
    </row>
    <row r="145" spans="1:15" x14ac:dyDescent="0.25">
      <c r="A145">
        <v>144</v>
      </c>
      <c r="B145">
        <v>146</v>
      </c>
      <c r="C145" t="s">
        <v>522</v>
      </c>
      <c r="D145" t="s">
        <v>523</v>
      </c>
      <c r="E145" s="1">
        <v>43480.618055555555</v>
      </c>
      <c r="F145" t="s">
        <v>524</v>
      </c>
      <c r="G145" t="s">
        <v>27</v>
      </c>
      <c r="H145" t="s">
        <v>525</v>
      </c>
      <c r="I145">
        <v>18</v>
      </c>
      <c r="J145">
        <v>35</v>
      </c>
      <c r="K145" t="s">
        <v>39</v>
      </c>
      <c r="L145">
        <v>2019</v>
      </c>
      <c r="M145">
        <v>1</v>
      </c>
      <c r="N145">
        <v>15</v>
      </c>
      <c r="O145">
        <v>14</v>
      </c>
    </row>
    <row r="146" spans="1:15" x14ac:dyDescent="0.25">
      <c r="A146">
        <v>145</v>
      </c>
      <c r="B146">
        <v>147</v>
      </c>
      <c r="C146" t="s">
        <v>526</v>
      </c>
      <c r="D146" t="s">
        <v>437</v>
      </c>
      <c r="E146" s="1">
        <v>42729.8125</v>
      </c>
      <c r="F146" t="s">
        <v>527</v>
      </c>
      <c r="G146" t="s">
        <v>32</v>
      </c>
      <c r="H146" t="s">
        <v>528</v>
      </c>
      <c r="I146">
        <v>25</v>
      </c>
      <c r="J146">
        <v>50</v>
      </c>
      <c r="K146" t="s">
        <v>419</v>
      </c>
      <c r="L146">
        <v>2016</v>
      </c>
      <c r="M146">
        <v>12</v>
      </c>
      <c r="N146">
        <v>25</v>
      </c>
      <c r="O146">
        <v>19</v>
      </c>
    </row>
    <row r="147" spans="1:15" x14ac:dyDescent="0.25">
      <c r="A147">
        <v>146</v>
      </c>
      <c r="B147">
        <v>148</v>
      </c>
      <c r="C147" t="s">
        <v>529</v>
      </c>
      <c r="D147" t="s">
        <v>441</v>
      </c>
      <c r="E147" s="1">
        <v>43169.40625</v>
      </c>
      <c r="F147" t="s">
        <v>530</v>
      </c>
      <c r="G147" t="s">
        <v>17</v>
      </c>
      <c r="H147" t="s">
        <v>531</v>
      </c>
      <c r="I147">
        <v>20</v>
      </c>
      <c r="J147">
        <v>40</v>
      </c>
      <c r="K147" t="s">
        <v>43</v>
      </c>
      <c r="L147">
        <v>2018</v>
      </c>
      <c r="M147">
        <v>3</v>
      </c>
      <c r="N147">
        <v>10</v>
      </c>
      <c r="O147">
        <v>9</v>
      </c>
    </row>
    <row r="148" spans="1:15" x14ac:dyDescent="0.25">
      <c r="A148">
        <v>147</v>
      </c>
      <c r="B148">
        <v>149</v>
      </c>
      <c r="C148" t="s">
        <v>532</v>
      </c>
      <c r="D148" t="s">
        <v>445</v>
      </c>
      <c r="E148" s="1">
        <v>44091.6875</v>
      </c>
      <c r="F148" t="s">
        <v>533</v>
      </c>
      <c r="G148" t="s">
        <v>27</v>
      </c>
      <c r="H148" t="s">
        <v>534</v>
      </c>
      <c r="I148">
        <v>15</v>
      </c>
      <c r="J148">
        <v>30</v>
      </c>
      <c r="K148" t="s">
        <v>89</v>
      </c>
      <c r="L148">
        <v>2020</v>
      </c>
      <c r="M148">
        <v>9</v>
      </c>
      <c r="N148">
        <v>17</v>
      </c>
      <c r="O148">
        <v>16</v>
      </c>
    </row>
    <row r="149" spans="1:15" x14ac:dyDescent="0.25">
      <c r="A149">
        <v>148</v>
      </c>
      <c r="B149">
        <v>150</v>
      </c>
      <c r="C149" t="s">
        <v>535</v>
      </c>
      <c r="D149" t="s">
        <v>536</v>
      </c>
      <c r="E149" s="1">
        <v>40783.78125</v>
      </c>
      <c r="F149" t="s">
        <v>537</v>
      </c>
      <c r="G149" t="s">
        <v>32</v>
      </c>
      <c r="H149" t="s">
        <v>538</v>
      </c>
      <c r="I149">
        <v>22</v>
      </c>
      <c r="J149">
        <v>45</v>
      </c>
      <c r="K149" t="s">
        <v>79</v>
      </c>
      <c r="L149">
        <v>2011</v>
      </c>
      <c r="M149">
        <v>8</v>
      </c>
      <c r="N149">
        <v>28</v>
      </c>
      <c r="O149">
        <v>18</v>
      </c>
    </row>
    <row r="150" spans="1:15" x14ac:dyDescent="0.25">
      <c r="A150">
        <v>149</v>
      </c>
      <c r="B150">
        <v>151</v>
      </c>
      <c r="C150" t="s">
        <v>539</v>
      </c>
      <c r="D150" t="s">
        <v>540</v>
      </c>
      <c r="E150" s="1">
        <v>43040.645833333336</v>
      </c>
      <c r="F150" t="s">
        <v>541</v>
      </c>
      <c r="G150" t="s">
        <v>17</v>
      </c>
      <c r="H150" t="s">
        <v>542</v>
      </c>
      <c r="I150">
        <v>18</v>
      </c>
      <c r="J150">
        <v>35</v>
      </c>
      <c r="K150" t="s">
        <v>39</v>
      </c>
      <c r="L150">
        <v>2017</v>
      </c>
      <c r="M150">
        <v>11</v>
      </c>
      <c r="N150">
        <v>1</v>
      </c>
      <c r="O150">
        <v>15</v>
      </c>
    </row>
    <row r="151" spans="1:15" x14ac:dyDescent="0.25">
      <c r="A151">
        <v>150</v>
      </c>
      <c r="B151">
        <v>152</v>
      </c>
      <c r="C151" t="s">
        <v>543</v>
      </c>
      <c r="D151" t="s">
        <v>403</v>
      </c>
      <c r="E151" s="1">
        <v>43631.416666666664</v>
      </c>
      <c r="F151" t="s">
        <v>544</v>
      </c>
      <c r="G151" t="s">
        <v>27</v>
      </c>
      <c r="H151" t="s">
        <v>545</v>
      </c>
      <c r="I151">
        <v>25</v>
      </c>
      <c r="J151">
        <v>50</v>
      </c>
      <c r="K151" t="s">
        <v>232</v>
      </c>
      <c r="L151">
        <v>2019</v>
      </c>
      <c r="M151">
        <v>6</v>
      </c>
      <c r="N151">
        <v>15</v>
      </c>
      <c r="O151">
        <v>10</v>
      </c>
    </row>
    <row r="152" spans="1:15" x14ac:dyDescent="0.25">
      <c r="A152">
        <v>151</v>
      </c>
      <c r="B152">
        <v>153</v>
      </c>
      <c r="C152" t="s">
        <v>546</v>
      </c>
      <c r="D152" t="s">
        <v>407</v>
      </c>
      <c r="E152" s="1">
        <v>44654.489583333336</v>
      </c>
      <c r="F152" t="s">
        <v>547</v>
      </c>
      <c r="G152" t="s">
        <v>32</v>
      </c>
      <c r="H152" t="s">
        <v>548</v>
      </c>
      <c r="I152">
        <v>15</v>
      </c>
      <c r="J152">
        <v>30</v>
      </c>
      <c r="K152" t="s">
        <v>89</v>
      </c>
      <c r="L152">
        <v>2022</v>
      </c>
      <c r="M152">
        <v>4</v>
      </c>
      <c r="N152">
        <v>3</v>
      </c>
      <c r="O152">
        <v>11</v>
      </c>
    </row>
    <row r="153" spans="1:15" x14ac:dyDescent="0.25">
      <c r="A153">
        <v>152</v>
      </c>
      <c r="B153">
        <v>154</v>
      </c>
      <c r="C153" t="s">
        <v>549</v>
      </c>
      <c r="D153" t="s">
        <v>411</v>
      </c>
      <c r="E153" s="1">
        <v>40494.847222222219</v>
      </c>
      <c r="F153" t="s">
        <v>550</v>
      </c>
      <c r="G153" t="s">
        <v>17</v>
      </c>
      <c r="H153" t="s">
        <v>551</v>
      </c>
      <c r="I153">
        <v>30</v>
      </c>
      <c r="J153">
        <v>60</v>
      </c>
      <c r="K153" t="s">
        <v>43</v>
      </c>
      <c r="L153">
        <v>2010</v>
      </c>
      <c r="M153">
        <v>11</v>
      </c>
      <c r="N153">
        <v>12</v>
      </c>
      <c r="O153">
        <v>20</v>
      </c>
    </row>
    <row r="154" spans="1:15" x14ac:dyDescent="0.25">
      <c r="A154">
        <v>153</v>
      </c>
      <c r="B154">
        <v>155</v>
      </c>
      <c r="C154" t="s">
        <v>552</v>
      </c>
      <c r="D154" t="s">
        <v>416</v>
      </c>
      <c r="E154" s="1">
        <v>40746.770833333336</v>
      </c>
      <c r="F154" t="s">
        <v>553</v>
      </c>
      <c r="G154" t="s">
        <v>27</v>
      </c>
      <c r="H154" t="s">
        <v>554</v>
      </c>
      <c r="I154">
        <v>22</v>
      </c>
      <c r="J154">
        <v>45</v>
      </c>
      <c r="K154" t="s">
        <v>200</v>
      </c>
      <c r="L154">
        <v>2011</v>
      </c>
      <c r="M154">
        <v>7</v>
      </c>
      <c r="N154">
        <v>22</v>
      </c>
      <c r="O154">
        <v>18</v>
      </c>
    </row>
    <row r="155" spans="1:15" x14ac:dyDescent="0.25">
      <c r="A155">
        <v>154</v>
      </c>
      <c r="B155">
        <v>156</v>
      </c>
      <c r="C155" t="s">
        <v>555</v>
      </c>
      <c r="D155" t="s">
        <v>421</v>
      </c>
      <c r="E155" s="1">
        <v>40998.472222222219</v>
      </c>
      <c r="F155" t="s">
        <v>556</v>
      </c>
      <c r="G155" t="s">
        <v>32</v>
      </c>
      <c r="H155" t="s">
        <v>557</v>
      </c>
      <c r="I155">
        <v>15</v>
      </c>
      <c r="J155">
        <v>30</v>
      </c>
      <c r="K155" t="s">
        <v>250</v>
      </c>
      <c r="L155">
        <v>2012</v>
      </c>
      <c r="M155">
        <v>3</v>
      </c>
      <c r="N155">
        <v>30</v>
      </c>
      <c r="O155">
        <v>11</v>
      </c>
    </row>
    <row r="156" spans="1:15" x14ac:dyDescent="0.25">
      <c r="A156">
        <v>155</v>
      </c>
      <c r="B156">
        <v>157</v>
      </c>
      <c r="C156" t="s">
        <v>558</v>
      </c>
      <c r="D156" t="s">
        <v>425</v>
      </c>
      <c r="E156" s="1">
        <v>41552.694444444445</v>
      </c>
      <c r="F156" t="s">
        <v>559</v>
      </c>
      <c r="G156" t="s">
        <v>17</v>
      </c>
      <c r="H156" t="s">
        <v>560</v>
      </c>
      <c r="I156">
        <v>18</v>
      </c>
      <c r="J156">
        <v>35</v>
      </c>
      <c r="K156" t="s">
        <v>34</v>
      </c>
      <c r="L156">
        <v>2013</v>
      </c>
      <c r="M156">
        <v>10</v>
      </c>
      <c r="N156">
        <v>5</v>
      </c>
      <c r="O156">
        <v>16</v>
      </c>
    </row>
    <row r="157" spans="1:15" x14ac:dyDescent="0.25">
      <c r="A157">
        <v>156</v>
      </c>
      <c r="B157">
        <v>158</v>
      </c>
      <c r="C157" t="s">
        <v>561</v>
      </c>
      <c r="D157" t="s">
        <v>429</v>
      </c>
      <c r="E157" s="1">
        <v>41830.552083333336</v>
      </c>
      <c r="F157" t="s">
        <v>562</v>
      </c>
      <c r="G157" t="s">
        <v>27</v>
      </c>
      <c r="H157" t="s">
        <v>563</v>
      </c>
      <c r="I157">
        <v>25</v>
      </c>
      <c r="J157">
        <v>50</v>
      </c>
      <c r="K157" t="s">
        <v>564</v>
      </c>
      <c r="L157">
        <v>2014</v>
      </c>
      <c r="M157">
        <v>7</v>
      </c>
      <c r="N157">
        <v>10</v>
      </c>
      <c r="O157">
        <v>13</v>
      </c>
    </row>
    <row r="158" spans="1:15" x14ac:dyDescent="0.25">
      <c r="A158">
        <v>157</v>
      </c>
      <c r="B158">
        <v>159</v>
      </c>
      <c r="C158" t="s">
        <v>565</v>
      </c>
      <c r="D158" t="s">
        <v>433</v>
      </c>
      <c r="E158" s="1">
        <v>42356.597222222219</v>
      </c>
      <c r="F158" t="s">
        <v>566</v>
      </c>
      <c r="G158" t="s">
        <v>32</v>
      </c>
      <c r="H158" t="s">
        <v>567</v>
      </c>
      <c r="I158">
        <v>18</v>
      </c>
      <c r="J158">
        <v>35</v>
      </c>
      <c r="K158" t="s">
        <v>19</v>
      </c>
      <c r="L158">
        <v>2015</v>
      </c>
      <c r="M158">
        <v>12</v>
      </c>
      <c r="N158">
        <v>18</v>
      </c>
      <c r="O158">
        <v>14</v>
      </c>
    </row>
    <row r="159" spans="1:15" x14ac:dyDescent="0.25">
      <c r="A159">
        <v>158</v>
      </c>
      <c r="B159">
        <v>160</v>
      </c>
      <c r="C159" t="s">
        <v>568</v>
      </c>
      <c r="D159" t="s">
        <v>437</v>
      </c>
      <c r="E159" s="1">
        <v>42410.822916666664</v>
      </c>
      <c r="F159" t="s">
        <v>569</v>
      </c>
      <c r="G159" t="s">
        <v>17</v>
      </c>
      <c r="H159" t="s">
        <v>570</v>
      </c>
      <c r="I159">
        <v>25</v>
      </c>
      <c r="J159">
        <v>50</v>
      </c>
      <c r="K159" t="s">
        <v>24</v>
      </c>
      <c r="L159">
        <v>2016</v>
      </c>
      <c r="M159">
        <v>2</v>
      </c>
      <c r="N159">
        <v>10</v>
      </c>
      <c r="O159">
        <v>19</v>
      </c>
    </row>
    <row r="160" spans="1:15" x14ac:dyDescent="0.25">
      <c r="A160">
        <v>159</v>
      </c>
      <c r="B160">
        <v>161</v>
      </c>
      <c r="C160" t="s">
        <v>571</v>
      </c>
      <c r="D160" t="s">
        <v>441</v>
      </c>
      <c r="E160" s="1">
        <v>43003.479166666664</v>
      </c>
      <c r="F160" t="s">
        <v>572</v>
      </c>
      <c r="G160" t="s">
        <v>27</v>
      </c>
      <c r="H160" t="s">
        <v>573</v>
      </c>
      <c r="I160">
        <v>20</v>
      </c>
      <c r="J160">
        <v>40</v>
      </c>
      <c r="K160" t="s">
        <v>110</v>
      </c>
      <c r="L160">
        <v>2017</v>
      </c>
      <c r="M160">
        <v>9</v>
      </c>
      <c r="N160">
        <v>25</v>
      </c>
      <c r="O160">
        <v>11</v>
      </c>
    </row>
    <row r="161" spans="1:15" x14ac:dyDescent="0.25">
      <c r="A161">
        <v>160</v>
      </c>
      <c r="B161">
        <v>162</v>
      </c>
      <c r="C161" t="s">
        <v>574</v>
      </c>
      <c r="D161" t="s">
        <v>445</v>
      </c>
      <c r="E161" s="1">
        <v>43205.666666666664</v>
      </c>
      <c r="F161" t="s">
        <v>575</v>
      </c>
      <c r="G161" t="s">
        <v>32</v>
      </c>
      <c r="H161" t="s">
        <v>576</v>
      </c>
      <c r="I161">
        <v>15</v>
      </c>
      <c r="J161">
        <v>30</v>
      </c>
      <c r="K161" t="s">
        <v>250</v>
      </c>
      <c r="L161">
        <v>2018</v>
      </c>
      <c r="M161">
        <v>4</v>
      </c>
      <c r="N161">
        <v>15</v>
      </c>
      <c r="O161">
        <v>16</v>
      </c>
    </row>
    <row r="162" spans="1:15" x14ac:dyDescent="0.25">
      <c r="A162">
        <v>161</v>
      </c>
      <c r="B162">
        <v>163</v>
      </c>
      <c r="C162" t="s">
        <v>577</v>
      </c>
      <c r="D162" t="s">
        <v>536</v>
      </c>
      <c r="E162" s="1">
        <v>43797.763888888891</v>
      </c>
      <c r="F162" t="s">
        <v>578</v>
      </c>
      <c r="G162" t="s">
        <v>17</v>
      </c>
      <c r="H162" t="s">
        <v>579</v>
      </c>
      <c r="I162">
        <v>22</v>
      </c>
      <c r="J162">
        <v>45</v>
      </c>
      <c r="K162" t="s">
        <v>43</v>
      </c>
      <c r="L162">
        <v>2019</v>
      </c>
      <c r="M162">
        <v>11</v>
      </c>
      <c r="N162">
        <v>28</v>
      </c>
      <c r="O162">
        <v>18</v>
      </c>
    </row>
    <row r="163" spans="1:15" x14ac:dyDescent="0.25">
      <c r="A163">
        <v>162</v>
      </c>
      <c r="B163">
        <v>164</v>
      </c>
      <c r="C163" t="s">
        <v>580</v>
      </c>
      <c r="D163" t="s">
        <v>540</v>
      </c>
      <c r="E163" s="1">
        <v>43962.625</v>
      </c>
      <c r="F163" t="s">
        <v>240</v>
      </c>
      <c r="G163" t="s">
        <v>27</v>
      </c>
      <c r="H163" t="s">
        <v>581</v>
      </c>
      <c r="I163">
        <v>18</v>
      </c>
      <c r="J163">
        <v>35</v>
      </c>
      <c r="K163" t="s">
        <v>29</v>
      </c>
      <c r="L163">
        <v>2020</v>
      </c>
      <c r="M163">
        <v>5</v>
      </c>
      <c r="N163">
        <v>11</v>
      </c>
      <c r="O163">
        <v>15</v>
      </c>
    </row>
    <row r="164" spans="1:15" x14ac:dyDescent="0.25">
      <c r="A164">
        <v>163</v>
      </c>
      <c r="B164">
        <v>165</v>
      </c>
      <c r="C164" t="s">
        <v>582</v>
      </c>
      <c r="D164" t="s">
        <v>583</v>
      </c>
      <c r="E164" s="1">
        <v>44232.395833333336</v>
      </c>
      <c r="F164" t="s">
        <v>584</v>
      </c>
      <c r="G164" t="s">
        <v>32</v>
      </c>
      <c r="H164" t="s">
        <v>585</v>
      </c>
      <c r="I164">
        <v>25</v>
      </c>
      <c r="J164">
        <v>50</v>
      </c>
      <c r="K164" t="s">
        <v>461</v>
      </c>
      <c r="L164">
        <v>2021</v>
      </c>
      <c r="M164">
        <v>2</v>
      </c>
      <c r="N164">
        <v>5</v>
      </c>
      <c r="O164">
        <v>9</v>
      </c>
    </row>
    <row r="165" spans="1:15" x14ac:dyDescent="0.25">
      <c r="A165">
        <v>164</v>
      </c>
      <c r="B165">
        <v>166</v>
      </c>
      <c r="C165" t="s">
        <v>586</v>
      </c>
      <c r="D165" t="s">
        <v>587</v>
      </c>
      <c r="E165" s="1">
        <v>44265.354166666664</v>
      </c>
      <c r="F165" t="s">
        <v>588</v>
      </c>
      <c r="G165" t="s">
        <v>17</v>
      </c>
      <c r="H165" t="s">
        <v>589</v>
      </c>
      <c r="I165">
        <v>5</v>
      </c>
      <c r="J165">
        <v>10</v>
      </c>
      <c r="K165" t="s">
        <v>205</v>
      </c>
      <c r="L165">
        <v>2021</v>
      </c>
      <c r="M165">
        <v>3</v>
      </c>
      <c r="N165">
        <v>10</v>
      </c>
      <c r="O165">
        <v>8</v>
      </c>
    </row>
    <row r="166" spans="1:15" x14ac:dyDescent="0.25">
      <c r="A166">
        <v>165</v>
      </c>
      <c r="B166">
        <v>167</v>
      </c>
      <c r="C166" t="s">
        <v>590</v>
      </c>
      <c r="D166" t="s">
        <v>591</v>
      </c>
      <c r="E166" s="1">
        <v>44747.65625</v>
      </c>
      <c r="F166" t="s">
        <v>592</v>
      </c>
      <c r="G166" t="s">
        <v>27</v>
      </c>
      <c r="H166" t="s">
        <v>593</v>
      </c>
      <c r="I166">
        <v>8</v>
      </c>
      <c r="J166">
        <v>15</v>
      </c>
      <c r="K166" t="s">
        <v>594</v>
      </c>
      <c r="L166">
        <v>2022</v>
      </c>
      <c r="M166">
        <v>7</v>
      </c>
      <c r="N166">
        <v>5</v>
      </c>
      <c r="O166">
        <v>15</v>
      </c>
    </row>
    <row r="167" spans="1:15" x14ac:dyDescent="0.25">
      <c r="A167">
        <v>166</v>
      </c>
      <c r="B167">
        <v>168</v>
      </c>
      <c r="C167" t="s">
        <v>595</v>
      </c>
      <c r="D167" t="s">
        <v>596</v>
      </c>
      <c r="E167" s="1">
        <v>43787.888888888891</v>
      </c>
      <c r="F167" t="s">
        <v>597</v>
      </c>
      <c r="G167" t="s">
        <v>32</v>
      </c>
      <c r="H167" t="s">
        <v>598</v>
      </c>
      <c r="I167">
        <v>10</v>
      </c>
      <c r="J167">
        <v>20</v>
      </c>
      <c r="K167" t="s">
        <v>232</v>
      </c>
      <c r="L167">
        <v>2019</v>
      </c>
      <c r="M167">
        <v>11</v>
      </c>
      <c r="N167">
        <v>18</v>
      </c>
      <c r="O167">
        <v>21</v>
      </c>
    </row>
    <row r="168" spans="1:15" x14ac:dyDescent="0.25">
      <c r="A168">
        <v>167</v>
      </c>
      <c r="B168">
        <v>169</v>
      </c>
      <c r="C168" t="s">
        <v>599</v>
      </c>
      <c r="D168" t="s">
        <v>600</v>
      </c>
      <c r="E168" s="1">
        <v>44055.479166666664</v>
      </c>
      <c r="F168" t="s">
        <v>601</v>
      </c>
      <c r="G168" t="s">
        <v>17</v>
      </c>
      <c r="H168" t="s">
        <v>602</v>
      </c>
      <c r="I168">
        <v>12</v>
      </c>
      <c r="J168">
        <v>25</v>
      </c>
      <c r="K168" t="s">
        <v>603</v>
      </c>
      <c r="L168">
        <v>2020</v>
      </c>
      <c r="M168">
        <v>8</v>
      </c>
      <c r="N168">
        <v>12</v>
      </c>
      <c r="O168">
        <v>11</v>
      </c>
    </row>
    <row r="169" spans="1:15" x14ac:dyDescent="0.25">
      <c r="A169">
        <v>168</v>
      </c>
      <c r="B169">
        <v>170</v>
      </c>
      <c r="C169" t="s">
        <v>604</v>
      </c>
      <c r="D169" t="s">
        <v>605</v>
      </c>
      <c r="E169" s="1">
        <v>43242.614583333336</v>
      </c>
      <c r="F169" t="s">
        <v>606</v>
      </c>
      <c r="G169" t="s">
        <v>27</v>
      </c>
      <c r="H169" t="s">
        <v>607</v>
      </c>
      <c r="I169">
        <v>7</v>
      </c>
      <c r="J169">
        <v>15</v>
      </c>
      <c r="K169" t="s">
        <v>608</v>
      </c>
      <c r="L169">
        <v>2018</v>
      </c>
      <c r="M169">
        <v>5</v>
      </c>
      <c r="N169">
        <v>22</v>
      </c>
      <c r="O169">
        <v>14</v>
      </c>
    </row>
    <row r="170" spans="1:15" x14ac:dyDescent="0.25">
      <c r="A170">
        <v>169</v>
      </c>
      <c r="B170">
        <v>171</v>
      </c>
      <c r="C170" t="s">
        <v>609</v>
      </c>
      <c r="D170" t="s">
        <v>610</v>
      </c>
      <c r="E170" s="1">
        <v>42765.673611111109</v>
      </c>
      <c r="F170" t="s">
        <v>611</v>
      </c>
      <c r="G170" t="s">
        <v>32</v>
      </c>
      <c r="H170" t="s">
        <v>612</v>
      </c>
      <c r="I170">
        <v>10</v>
      </c>
      <c r="J170">
        <v>20</v>
      </c>
      <c r="K170" t="s">
        <v>205</v>
      </c>
      <c r="L170">
        <v>2017</v>
      </c>
      <c r="M170">
        <v>1</v>
      </c>
      <c r="N170">
        <v>30</v>
      </c>
      <c r="O170">
        <v>16</v>
      </c>
    </row>
    <row r="171" spans="1:15" x14ac:dyDescent="0.25">
      <c r="A171">
        <v>170</v>
      </c>
      <c r="B171">
        <v>172</v>
      </c>
      <c r="C171" t="s">
        <v>613</v>
      </c>
      <c r="D171" t="s">
        <v>614</v>
      </c>
      <c r="E171" s="1">
        <v>42641.822916666664</v>
      </c>
      <c r="F171" t="s">
        <v>615</v>
      </c>
      <c r="G171" t="s">
        <v>17</v>
      </c>
      <c r="H171" t="s">
        <v>616</v>
      </c>
      <c r="I171">
        <v>8</v>
      </c>
      <c r="J171">
        <v>15</v>
      </c>
      <c r="K171" t="s">
        <v>617</v>
      </c>
      <c r="L171">
        <v>2016</v>
      </c>
      <c r="M171">
        <v>9</v>
      </c>
      <c r="N171">
        <v>28</v>
      </c>
      <c r="O171">
        <v>19</v>
      </c>
    </row>
    <row r="172" spans="1:15" x14ac:dyDescent="0.25">
      <c r="A172">
        <v>171</v>
      </c>
      <c r="B172">
        <v>173</v>
      </c>
      <c r="C172" t="s">
        <v>618</v>
      </c>
      <c r="D172" t="s">
        <v>619</v>
      </c>
      <c r="E172" s="1">
        <v>43570.375</v>
      </c>
      <c r="F172" t="s">
        <v>620</v>
      </c>
      <c r="G172" t="s">
        <v>27</v>
      </c>
      <c r="H172" t="s">
        <v>621</v>
      </c>
      <c r="I172">
        <v>12</v>
      </c>
      <c r="J172">
        <v>25</v>
      </c>
      <c r="K172" t="s">
        <v>232</v>
      </c>
      <c r="L172">
        <v>2019</v>
      </c>
      <c r="M172">
        <v>4</v>
      </c>
      <c r="N172">
        <v>15</v>
      </c>
      <c r="O172">
        <v>9</v>
      </c>
    </row>
    <row r="173" spans="1:15" x14ac:dyDescent="0.25">
      <c r="A173">
        <v>172</v>
      </c>
      <c r="B173">
        <v>174</v>
      </c>
      <c r="C173" t="s">
        <v>622</v>
      </c>
      <c r="D173" t="s">
        <v>623</v>
      </c>
      <c r="E173" s="1">
        <v>44533.770833333336</v>
      </c>
      <c r="F173" t="s">
        <v>624</v>
      </c>
      <c r="G173" t="s">
        <v>32</v>
      </c>
      <c r="H173" t="s">
        <v>625</v>
      </c>
      <c r="I173">
        <v>15</v>
      </c>
      <c r="J173">
        <v>30</v>
      </c>
      <c r="K173" t="s">
        <v>603</v>
      </c>
      <c r="L173">
        <v>2021</v>
      </c>
      <c r="M173">
        <v>12</v>
      </c>
      <c r="N173">
        <v>3</v>
      </c>
      <c r="O173">
        <v>18</v>
      </c>
    </row>
    <row r="174" spans="1:15" x14ac:dyDescent="0.25">
      <c r="A174">
        <v>173</v>
      </c>
      <c r="B174">
        <v>175</v>
      </c>
      <c r="C174" t="s">
        <v>626</v>
      </c>
      <c r="D174" t="s">
        <v>627</v>
      </c>
      <c r="E174" s="1">
        <v>44002.597222222219</v>
      </c>
      <c r="F174" t="s">
        <v>628</v>
      </c>
      <c r="G174" t="s">
        <v>17</v>
      </c>
      <c r="H174" t="s">
        <v>629</v>
      </c>
      <c r="I174">
        <v>8</v>
      </c>
      <c r="J174">
        <v>15</v>
      </c>
      <c r="K174" t="s">
        <v>295</v>
      </c>
      <c r="L174">
        <v>2020</v>
      </c>
      <c r="M174">
        <v>6</v>
      </c>
      <c r="N174">
        <v>20</v>
      </c>
      <c r="O174">
        <v>14</v>
      </c>
    </row>
    <row r="175" spans="1:15" x14ac:dyDescent="0.25">
      <c r="A175">
        <v>174</v>
      </c>
      <c r="B175">
        <v>176</v>
      </c>
      <c r="C175" t="s">
        <v>630</v>
      </c>
      <c r="D175" t="s">
        <v>631</v>
      </c>
      <c r="E175" s="1">
        <v>43411.479166666664</v>
      </c>
      <c r="F175" t="s">
        <v>632</v>
      </c>
      <c r="G175" t="s">
        <v>27</v>
      </c>
      <c r="H175" t="s">
        <v>633</v>
      </c>
      <c r="I175">
        <v>10</v>
      </c>
      <c r="J175">
        <v>20</v>
      </c>
      <c r="K175" t="s">
        <v>617</v>
      </c>
      <c r="L175">
        <v>2018</v>
      </c>
      <c r="M175">
        <v>11</v>
      </c>
      <c r="N175">
        <v>7</v>
      </c>
      <c r="O175">
        <v>11</v>
      </c>
    </row>
    <row r="176" spans="1:15" x14ac:dyDescent="0.25">
      <c r="A176">
        <v>175</v>
      </c>
      <c r="B176">
        <v>177</v>
      </c>
      <c r="C176" t="s">
        <v>634</v>
      </c>
      <c r="D176" t="s">
        <v>635</v>
      </c>
      <c r="E176" s="1">
        <v>42972.666666666664</v>
      </c>
      <c r="F176" t="s">
        <v>636</v>
      </c>
      <c r="G176" t="s">
        <v>32</v>
      </c>
      <c r="H176" t="s">
        <v>637</v>
      </c>
      <c r="I176">
        <v>12</v>
      </c>
      <c r="J176">
        <v>25</v>
      </c>
      <c r="K176" t="s">
        <v>232</v>
      </c>
      <c r="L176">
        <v>2017</v>
      </c>
      <c r="M176">
        <v>8</v>
      </c>
      <c r="N176">
        <v>25</v>
      </c>
      <c r="O176">
        <v>16</v>
      </c>
    </row>
    <row r="177" spans="1:15" x14ac:dyDescent="0.25">
      <c r="A177">
        <v>176</v>
      </c>
      <c r="B177">
        <v>178</v>
      </c>
      <c r="C177" t="s">
        <v>638</v>
      </c>
      <c r="D177" t="s">
        <v>639</v>
      </c>
      <c r="E177" s="1">
        <v>43507.40625</v>
      </c>
      <c r="F177" t="s">
        <v>640</v>
      </c>
      <c r="G177" t="s">
        <v>17</v>
      </c>
      <c r="H177" t="s">
        <v>641</v>
      </c>
      <c r="I177">
        <v>7</v>
      </c>
      <c r="J177">
        <v>15</v>
      </c>
      <c r="K177" t="s">
        <v>603</v>
      </c>
      <c r="L177">
        <v>2019</v>
      </c>
      <c r="M177">
        <v>2</v>
      </c>
      <c r="N177">
        <v>11</v>
      </c>
      <c r="O177">
        <v>9</v>
      </c>
    </row>
    <row r="178" spans="1:15" x14ac:dyDescent="0.25">
      <c r="A178">
        <v>177</v>
      </c>
      <c r="B178">
        <v>179</v>
      </c>
      <c r="C178" t="s">
        <v>642</v>
      </c>
      <c r="D178" t="s">
        <v>643</v>
      </c>
      <c r="E178" s="1">
        <v>42462.847222222219</v>
      </c>
      <c r="F178" t="s">
        <v>644</v>
      </c>
      <c r="G178" t="s">
        <v>27</v>
      </c>
      <c r="H178" t="s">
        <v>645</v>
      </c>
      <c r="I178">
        <v>10</v>
      </c>
      <c r="J178">
        <v>20</v>
      </c>
      <c r="K178" t="s">
        <v>205</v>
      </c>
      <c r="L178">
        <v>2016</v>
      </c>
      <c r="M178">
        <v>4</v>
      </c>
      <c r="N178">
        <v>2</v>
      </c>
      <c r="O178">
        <v>20</v>
      </c>
    </row>
    <row r="179" spans="1:15" x14ac:dyDescent="0.25">
      <c r="A179">
        <v>178</v>
      </c>
      <c r="B179">
        <v>180</v>
      </c>
      <c r="C179" t="s">
        <v>646</v>
      </c>
      <c r="D179" t="s">
        <v>591</v>
      </c>
      <c r="E179" s="1">
        <v>42295.645833333336</v>
      </c>
      <c r="F179" t="s">
        <v>647</v>
      </c>
      <c r="G179" t="s">
        <v>32</v>
      </c>
      <c r="H179" t="s">
        <v>648</v>
      </c>
      <c r="I179">
        <v>12</v>
      </c>
      <c r="J179">
        <v>25</v>
      </c>
      <c r="K179" t="s">
        <v>617</v>
      </c>
      <c r="L179">
        <v>2015</v>
      </c>
      <c r="M179">
        <v>10</v>
      </c>
      <c r="N179">
        <v>18</v>
      </c>
      <c r="O179">
        <v>15</v>
      </c>
    </row>
    <row r="180" spans="1:15" x14ac:dyDescent="0.25">
      <c r="A180">
        <v>179</v>
      </c>
      <c r="B180">
        <v>181</v>
      </c>
      <c r="C180" t="s">
        <v>649</v>
      </c>
      <c r="D180" t="s">
        <v>650</v>
      </c>
      <c r="E180" s="1">
        <v>43658.756944444445</v>
      </c>
      <c r="F180" t="s">
        <v>651</v>
      </c>
      <c r="G180" t="s">
        <v>17</v>
      </c>
      <c r="H180" t="s">
        <v>652</v>
      </c>
      <c r="I180">
        <v>15</v>
      </c>
      <c r="J180">
        <v>30</v>
      </c>
      <c r="K180" t="s">
        <v>368</v>
      </c>
      <c r="L180">
        <v>2019</v>
      </c>
      <c r="M180">
        <v>7</v>
      </c>
      <c r="N180">
        <v>12</v>
      </c>
      <c r="O180">
        <v>18</v>
      </c>
    </row>
    <row r="181" spans="1:15" x14ac:dyDescent="0.25">
      <c r="A181">
        <v>180</v>
      </c>
      <c r="B181">
        <v>182</v>
      </c>
      <c r="C181" t="s">
        <v>653</v>
      </c>
      <c r="D181" t="s">
        <v>600</v>
      </c>
      <c r="E181" s="1">
        <v>43254.6875</v>
      </c>
      <c r="F181" t="s">
        <v>654</v>
      </c>
      <c r="G181" t="s">
        <v>27</v>
      </c>
      <c r="H181" t="s">
        <v>655</v>
      </c>
      <c r="I181">
        <v>8</v>
      </c>
      <c r="J181">
        <v>15</v>
      </c>
      <c r="K181" t="s">
        <v>656</v>
      </c>
      <c r="L181">
        <v>2018</v>
      </c>
      <c r="M181">
        <v>6</v>
      </c>
      <c r="N181">
        <v>3</v>
      </c>
      <c r="O181">
        <v>16</v>
      </c>
    </row>
    <row r="182" spans="1:15" x14ac:dyDescent="0.25">
      <c r="A182">
        <v>181</v>
      </c>
      <c r="B182">
        <v>183</v>
      </c>
      <c r="C182" t="s">
        <v>657</v>
      </c>
      <c r="D182" t="s">
        <v>605</v>
      </c>
      <c r="E182" s="1">
        <v>44576.5</v>
      </c>
      <c r="F182" t="s">
        <v>658</v>
      </c>
      <c r="G182" t="s">
        <v>32</v>
      </c>
      <c r="H182" t="s">
        <v>659</v>
      </c>
      <c r="I182">
        <v>10</v>
      </c>
      <c r="J182">
        <v>20</v>
      </c>
      <c r="K182" t="s">
        <v>295</v>
      </c>
      <c r="L182">
        <v>2022</v>
      </c>
      <c r="M182">
        <v>1</v>
      </c>
      <c r="N182">
        <v>15</v>
      </c>
      <c r="O182">
        <v>12</v>
      </c>
    </row>
    <row r="183" spans="1:15" x14ac:dyDescent="0.25">
      <c r="A183">
        <v>182</v>
      </c>
      <c r="B183">
        <v>184</v>
      </c>
      <c r="C183" t="s">
        <v>660</v>
      </c>
      <c r="D183" t="s">
        <v>661</v>
      </c>
      <c r="E183" s="1">
        <v>42835.614583333336</v>
      </c>
      <c r="F183" t="s">
        <v>662</v>
      </c>
      <c r="G183" t="s">
        <v>17</v>
      </c>
      <c r="H183" t="s">
        <v>663</v>
      </c>
      <c r="I183">
        <v>12</v>
      </c>
      <c r="J183">
        <v>25</v>
      </c>
      <c r="K183" t="s">
        <v>205</v>
      </c>
      <c r="L183">
        <v>2017</v>
      </c>
      <c r="M183">
        <v>4</v>
      </c>
      <c r="N183">
        <v>10</v>
      </c>
      <c r="O183">
        <v>14</v>
      </c>
    </row>
    <row r="184" spans="1:15" x14ac:dyDescent="0.25">
      <c r="A184">
        <v>183</v>
      </c>
      <c r="B184">
        <v>185</v>
      </c>
      <c r="C184" t="s">
        <v>664</v>
      </c>
      <c r="D184" t="s">
        <v>614</v>
      </c>
      <c r="E184" s="1">
        <v>42702.791666666664</v>
      </c>
      <c r="F184" t="s">
        <v>665</v>
      </c>
      <c r="G184" t="s">
        <v>27</v>
      </c>
      <c r="H184" t="s">
        <v>666</v>
      </c>
      <c r="I184">
        <v>7</v>
      </c>
      <c r="J184">
        <v>15</v>
      </c>
      <c r="K184" t="s">
        <v>617</v>
      </c>
      <c r="L184">
        <v>2016</v>
      </c>
      <c r="M184">
        <v>11</v>
      </c>
      <c r="N184">
        <v>28</v>
      </c>
      <c r="O184">
        <v>19</v>
      </c>
    </row>
    <row r="185" spans="1:15" x14ac:dyDescent="0.25">
      <c r="A185">
        <v>184</v>
      </c>
      <c r="B185">
        <v>186</v>
      </c>
      <c r="C185" t="s">
        <v>667</v>
      </c>
      <c r="D185" t="s">
        <v>668</v>
      </c>
      <c r="E185" s="1">
        <v>43348.395833333336</v>
      </c>
      <c r="F185" t="s">
        <v>669</v>
      </c>
      <c r="G185" t="s">
        <v>32</v>
      </c>
      <c r="H185" t="s">
        <v>670</v>
      </c>
      <c r="I185">
        <v>10</v>
      </c>
      <c r="J185">
        <v>20</v>
      </c>
      <c r="K185" t="s">
        <v>368</v>
      </c>
      <c r="L185">
        <v>2018</v>
      </c>
      <c r="M185">
        <v>9</v>
      </c>
      <c r="N185">
        <v>5</v>
      </c>
      <c r="O185">
        <v>9</v>
      </c>
    </row>
    <row r="186" spans="1:15" x14ac:dyDescent="0.25">
      <c r="A186">
        <v>185</v>
      </c>
      <c r="B186">
        <v>187</v>
      </c>
      <c r="C186" t="s">
        <v>671</v>
      </c>
      <c r="D186" t="s">
        <v>672</v>
      </c>
      <c r="E186" s="1">
        <v>44491.770833333336</v>
      </c>
      <c r="F186" t="s">
        <v>673</v>
      </c>
      <c r="G186" t="s">
        <v>17</v>
      </c>
      <c r="H186" t="s">
        <v>674</v>
      </c>
      <c r="I186">
        <v>15</v>
      </c>
      <c r="J186">
        <v>30</v>
      </c>
      <c r="K186" t="s">
        <v>656</v>
      </c>
      <c r="L186">
        <v>2021</v>
      </c>
      <c r="M186">
        <v>10</v>
      </c>
      <c r="N186">
        <v>22</v>
      </c>
      <c r="O186">
        <v>18</v>
      </c>
    </row>
    <row r="187" spans="1:15" x14ac:dyDescent="0.25">
      <c r="A187">
        <v>186</v>
      </c>
      <c r="B187">
        <v>188</v>
      </c>
      <c r="C187" t="s">
        <v>675</v>
      </c>
      <c r="D187" t="s">
        <v>676</v>
      </c>
      <c r="E187" s="1">
        <v>43593.597222222219</v>
      </c>
      <c r="F187" t="s">
        <v>677</v>
      </c>
      <c r="G187" t="s">
        <v>27</v>
      </c>
      <c r="H187" t="s">
        <v>678</v>
      </c>
      <c r="I187">
        <v>8</v>
      </c>
      <c r="J187">
        <v>15</v>
      </c>
      <c r="K187" t="s">
        <v>295</v>
      </c>
      <c r="L187">
        <v>2019</v>
      </c>
      <c r="M187">
        <v>5</v>
      </c>
      <c r="N187">
        <v>8</v>
      </c>
      <c r="O187">
        <v>14</v>
      </c>
    </row>
    <row r="188" spans="1:15" x14ac:dyDescent="0.25">
      <c r="A188">
        <v>187</v>
      </c>
      <c r="B188">
        <v>189</v>
      </c>
      <c r="C188" t="s">
        <v>679</v>
      </c>
      <c r="D188" t="s">
        <v>631</v>
      </c>
      <c r="E188" s="1">
        <v>42814.479166666664</v>
      </c>
      <c r="F188" t="s">
        <v>680</v>
      </c>
      <c r="G188" t="s">
        <v>32</v>
      </c>
      <c r="H188" t="s">
        <v>681</v>
      </c>
      <c r="I188">
        <v>10</v>
      </c>
      <c r="J188">
        <v>20</v>
      </c>
      <c r="K188" t="s">
        <v>617</v>
      </c>
      <c r="L188">
        <v>2017</v>
      </c>
      <c r="M188">
        <v>3</v>
      </c>
      <c r="N188">
        <v>20</v>
      </c>
      <c r="O188">
        <v>11</v>
      </c>
    </row>
    <row r="189" spans="1:15" x14ac:dyDescent="0.25">
      <c r="A189">
        <v>188</v>
      </c>
      <c r="B189">
        <v>190</v>
      </c>
      <c r="C189" t="s">
        <v>682</v>
      </c>
      <c r="D189" t="s">
        <v>635</v>
      </c>
      <c r="E189" s="1">
        <v>43449.666666666664</v>
      </c>
      <c r="F189" t="s">
        <v>683</v>
      </c>
      <c r="G189" t="s">
        <v>17</v>
      </c>
      <c r="H189" t="s">
        <v>684</v>
      </c>
      <c r="I189">
        <v>12</v>
      </c>
      <c r="J189">
        <v>25</v>
      </c>
      <c r="K189" t="s">
        <v>205</v>
      </c>
      <c r="L189">
        <v>2018</v>
      </c>
      <c r="M189">
        <v>12</v>
      </c>
      <c r="N189">
        <v>15</v>
      </c>
      <c r="O189">
        <v>16</v>
      </c>
    </row>
    <row r="190" spans="1:15" x14ac:dyDescent="0.25">
      <c r="A190">
        <v>189</v>
      </c>
      <c r="B190">
        <v>191</v>
      </c>
      <c r="C190" t="s">
        <v>685</v>
      </c>
      <c r="D190" t="s">
        <v>639</v>
      </c>
      <c r="E190" s="1">
        <v>42552.40625</v>
      </c>
      <c r="F190" t="s">
        <v>686</v>
      </c>
      <c r="G190" t="s">
        <v>27</v>
      </c>
      <c r="H190" t="s">
        <v>687</v>
      </c>
      <c r="I190">
        <v>7</v>
      </c>
      <c r="J190">
        <v>15</v>
      </c>
      <c r="K190" t="s">
        <v>368</v>
      </c>
      <c r="L190">
        <v>2016</v>
      </c>
      <c r="M190">
        <v>7</v>
      </c>
      <c r="N190">
        <v>1</v>
      </c>
      <c r="O190">
        <v>9</v>
      </c>
    </row>
    <row r="191" spans="1:15" x14ac:dyDescent="0.25">
      <c r="A191">
        <v>190</v>
      </c>
      <c r="B191">
        <v>192</v>
      </c>
      <c r="C191" t="s">
        <v>688</v>
      </c>
      <c r="D191" t="s">
        <v>587</v>
      </c>
      <c r="E191" s="1">
        <v>44063.847222222219</v>
      </c>
      <c r="F191" t="s">
        <v>689</v>
      </c>
      <c r="G191" t="s">
        <v>32</v>
      </c>
      <c r="H191" t="s">
        <v>690</v>
      </c>
      <c r="I191">
        <v>10</v>
      </c>
      <c r="J191">
        <v>20</v>
      </c>
      <c r="K191" t="s">
        <v>656</v>
      </c>
      <c r="L191">
        <v>2020</v>
      </c>
      <c r="M191">
        <v>8</v>
      </c>
      <c r="N191">
        <v>20</v>
      </c>
      <c r="O191">
        <v>20</v>
      </c>
    </row>
    <row r="192" spans="1:15" x14ac:dyDescent="0.25">
      <c r="A192">
        <v>191</v>
      </c>
      <c r="B192">
        <v>193</v>
      </c>
      <c r="C192" t="s">
        <v>691</v>
      </c>
      <c r="D192" t="s">
        <v>591</v>
      </c>
      <c r="E192" s="1">
        <v>44252.645833333336</v>
      </c>
      <c r="F192" t="s">
        <v>692</v>
      </c>
      <c r="G192" t="s">
        <v>17</v>
      </c>
      <c r="H192" t="s">
        <v>693</v>
      </c>
      <c r="I192">
        <v>12</v>
      </c>
      <c r="J192">
        <v>25</v>
      </c>
      <c r="K192" t="s">
        <v>617</v>
      </c>
      <c r="L192">
        <v>2021</v>
      </c>
      <c r="M192">
        <v>2</v>
      </c>
      <c r="N192">
        <v>25</v>
      </c>
      <c r="O192">
        <v>15</v>
      </c>
    </row>
    <row r="193" spans="1:15" x14ac:dyDescent="0.25">
      <c r="A193">
        <v>192</v>
      </c>
      <c r="B193">
        <v>194</v>
      </c>
      <c r="C193" t="s">
        <v>694</v>
      </c>
      <c r="D193" t="s">
        <v>650</v>
      </c>
      <c r="E193" s="1">
        <v>43720.756944444445</v>
      </c>
      <c r="F193" t="s">
        <v>695</v>
      </c>
      <c r="G193" t="s">
        <v>27</v>
      </c>
      <c r="H193" t="s">
        <v>696</v>
      </c>
      <c r="I193">
        <v>15</v>
      </c>
      <c r="J193">
        <v>30</v>
      </c>
      <c r="K193" t="s">
        <v>608</v>
      </c>
      <c r="L193">
        <v>2019</v>
      </c>
      <c r="M193">
        <v>9</v>
      </c>
      <c r="N193">
        <v>12</v>
      </c>
      <c r="O193">
        <v>18</v>
      </c>
    </row>
    <row r="194" spans="1:15" x14ac:dyDescent="0.25">
      <c r="A194">
        <v>193</v>
      </c>
      <c r="B194">
        <v>195</v>
      </c>
      <c r="C194" t="s">
        <v>697</v>
      </c>
      <c r="D194" t="s">
        <v>698</v>
      </c>
      <c r="E194" s="1">
        <v>43317.6875</v>
      </c>
      <c r="F194" t="s">
        <v>699</v>
      </c>
      <c r="G194" t="s">
        <v>32</v>
      </c>
      <c r="H194" t="s">
        <v>700</v>
      </c>
      <c r="I194">
        <v>8</v>
      </c>
      <c r="J194">
        <v>15</v>
      </c>
      <c r="K194" t="s">
        <v>701</v>
      </c>
      <c r="L194">
        <v>2018</v>
      </c>
      <c r="M194">
        <v>8</v>
      </c>
      <c r="N194">
        <v>5</v>
      </c>
      <c r="O194">
        <v>16</v>
      </c>
    </row>
    <row r="195" spans="1:15" x14ac:dyDescent="0.25">
      <c r="A195">
        <v>194</v>
      </c>
      <c r="B195">
        <v>196</v>
      </c>
      <c r="C195" t="s">
        <v>702</v>
      </c>
      <c r="D195" t="s">
        <v>605</v>
      </c>
      <c r="E195" s="1">
        <v>42747.5</v>
      </c>
      <c r="F195" t="s">
        <v>703</v>
      </c>
      <c r="G195" t="s">
        <v>17</v>
      </c>
      <c r="H195" t="s">
        <v>704</v>
      </c>
      <c r="I195">
        <v>10</v>
      </c>
      <c r="J195">
        <v>20</v>
      </c>
      <c r="K195" t="s">
        <v>656</v>
      </c>
      <c r="L195">
        <v>2017</v>
      </c>
      <c r="M195">
        <v>1</v>
      </c>
      <c r="N195">
        <v>12</v>
      </c>
      <c r="O195">
        <v>12</v>
      </c>
    </row>
    <row r="196" spans="1:15" x14ac:dyDescent="0.25">
      <c r="A196">
        <v>195</v>
      </c>
      <c r="B196">
        <v>197</v>
      </c>
      <c r="C196" t="s">
        <v>705</v>
      </c>
      <c r="D196" t="s">
        <v>610</v>
      </c>
      <c r="E196" s="1">
        <v>44656.614583333336</v>
      </c>
      <c r="F196" t="s">
        <v>706</v>
      </c>
      <c r="G196" t="s">
        <v>27</v>
      </c>
      <c r="H196" t="s">
        <v>707</v>
      </c>
      <c r="I196">
        <v>12</v>
      </c>
      <c r="J196">
        <v>25</v>
      </c>
      <c r="K196" t="s">
        <v>368</v>
      </c>
      <c r="L196">
        <v>2022</v>
      </c>
      <c r="M196">
        <v>4</v>
      </c>
      <c r="N196">
        <v>5</v>
      </c>
      <c r="O196">
        <v>14</v>
      </c>
    </row>
    <row r="197" spans="1:15" x14ac:dyDescent="0.25">
      <c r="A197">
        <v>196</v>
      </c>
      <c r="B197">
        <v>198</v>
      </c>
      <c r="C197" t="s">
        <v>708</v>
      </c>
      <c r="D197" t="s">
        <v>614</v>
      </c>
      <c r="E197" s="1">
        <v>44471.791666666664</v>
      </c>
      <c r="F197" t="s">
        <v>709</v>
      </c>
      <c r="G197" t="s">
        <v>32</v>
      </c>
      <c r="H197" t="s">
        <v>710</v>
      </c>
      <c r="I197">
        <v>7</v>
      </c>
      <c r="J197">
        <v>15</v>
      </c>
      <c r="K197" t="s">
        <v>617</v>
      </c>
      <c r="L197">
        <v>2021</v>
      </c>
      <c r="M197">
        <v>10</v>
      </c>
      <c r="N197">
        <v>2</v>
      </c>
      <c r="O197">
        <v>19</v>
      </c>
    </row>
    <row r="198" spans="1:15" x14ac:dyDescent="0.25">
      <c r="A198">
        <v>197</v>
      </c>
      <c r="B198">
        <v>199</v>
      </c>
      <c r="C198" t="s">
        <v>711</v>
      </c>
      <c r="D198" t="s">
        <v>712</v>
      </c>
      <c r="E198" s="1">
        <v>45031.427083333336</v>
      </c>
      <c r="F198" t="s">
        <v>713</v>
      </c>
      <c r="G198" t="s">
        <v>17</v>
      </c>
      <c r="H198" t="s">
        <v>714</v>
      </c>
      <c r="I198">
        <v>15</v>
      </c>
      <c r="J198">
        <v>30</v>
      </c>
      <c r="K198" t="s">
        <v>205</v>
      </c>
      <c r="L198">
        <v>2023</v>
      </c>
      <c r="M198">
        <v>4</v>
      </c>
      <c r="N198">
        <v>15</v>
      </c>
      <c r="O198">
        <v>10</v>
      </c>
    </row>
    <row r="199" spans="1:15" x14ac:dyDescent="0.25">
      <c r="A199">
        <v>198</v>
      </c>
      <c r="B199">
        <v>200</v>
      </c>
      <c r="C199" t="s">
        <v>715</v>
      </c>
      <c r="D199" t="s">
        <v>716</v>
      </c>
      <c r="E199" s="1">
        <v>44893.729166666664</v>
      </c>
      <c r="F199" t="s">
        <v>717</v>
      </c>
      <c r="G199" t="s">
        <v>27</v>
      </c>
      <c r="H199" t="s">
        <v>718</v>
      </c>
      <c r="I199">
        <v>7</v>
      </c>
      <c r="J199">
        <v>15</v>
      </c>
      <c r="K199" t="s">
        <v>594</v>
      </c>
      <c r="L199">
        <v>2022</v>
      </c>
      <c r="M199">
        <v>11</v>
      </c>
      <c r="N199">
        <v>28</v>
      </c>
      <c r="O199">
        <v>17</v>
      </c>
    </row>
    <row r="200" spans="1:15" x14ac:dyDescent="0.25">
      <c r="A200">
        <v>199</v>
      </c>
      <c r="B200">
        <v>201</v>
      </c>
      <c r="C200" t="s">
        <v>719</v>
      </c>
      <c r="D200" t="s">
        <v>720</v>
      </c>
      <c r="E200" s="1">
        <v>43923.40625</v>
      </c>
      <c r="F200" t="s">
        <v>721</v>
      </c>
      <c r="G200" t="s">
        <v>32</v>
      </c>
      <c r="H200" t="s">
        <v>722</v>
      </c>
      <c r="I200">
        <v>10</v>
      </c>
      <c r="J200">
        <v>20</v>
      </c>
      <c r="K200" t="s">
        <v>232</v>
      </c>
      <c r="L200">
        <v>2020</v>
      </c>
      <c r="M200">
        <v>4</v>
      </c>
      <c r="N200">
        <v>2</v>
      </c>
      <c r="O200">
        <v>9</v>
      </c>
    </row>
    <row r="201" spans="1:15" x14ac:dyDescent="0.25">
      <c r="A201">
        <v>200</v>
      </c>
      <c r="B201">
        <v>202</v>
      </c>
      <c r="C201" t="s">
        <v>723</v>
      </c>
      <c r="D201" t="s">
        <v>724</v>
      </c>
      <c r="E201" s="1">
        <v>44418.583333333336</v>
      </c>
      <c r="F201" t="s">
        <v>725</v>
      </c>
      <c r="G201" t="s">
        <v>17</v>
      </c>
      <c r="H201" t="s">
        <v>726</v>
      </c>
      <c r="I201">
        <v>8</v>
      </c>
      <c r="J201">
        <v>15</v>
      </c>
      <c r="K201" t="s">
        <v>603</v>
      </c>
      <c r="L201">
        <v>2021</v>
      </c>
      <c r="M201">
        <v>8</v>
      </c>
      <c r="N201">
        <v>10</v>
      </c>
      <c r="O201">
        <v>14</v>
      </c>
    </row>
    <row r="202" spans="1:15" x14ac:dyDescent="0.25">
      <c r="A202">
        <v>201</v>
      </c>
      <c r="B202">
        <v>203</v>
      </c>
      <c r="C202" t="s">
        <v>727</v>
      </c>
      <c r="D202" t="s">
        <v>728</v>
      </c>
      <c r="E202" s="1">
        <v>43634.864583333336</v>
      </c>
      <c r="F202" t="s">
        <v>729</v>
      </c>
      <c r="G202" t="s">
        <v>27</v>
      </c>
      <c r="H202" t="s">
        <v>730</v>
      </c>
      <c r="I202">
        <v>12</v>
      </c>
      <c r="J202">
        <v>25</v>
      </c>
      <c r="K202" t="s">
        <v>608</v>
      </c>
      <c r="L202">
        <v>2019</v>
      </c>
      <c r="M202">
        <v>6</v>
      </c>
      <c r="N202">
        <v>18</v>
      </c>
      <c r="O202">
        <v>20</v>
      </c>
    </row>
    <row r="203" spans="1:15" x14ac:dyDescent="0.25">
      <c r="A203">
        <v>202</v>
      </c>
      <c r="B203">
        <v>204</v>
      </c>
      <c r="C203" t="s">
        <v>731</v>
      </c>
      <c r="D203" t="s">
        <v>732</v>
      </c>
      <c r="E203" s="1">
        <v>43136.635416666664</v>
      </c>
      <c r="F203" t="s">
        <v>733</v>
      </c>
      <c r="G203" t="s">
        <v>32</v>
      </c>
      <c r="H203" t="s">
        <v>734</v>
      </c>
      <c r="I203">
        <v>10</v>
      </c>
      <c r="J203">
        <v>20</v>
      </c>
      <c r="K203" t="s">
        <v>205</v>
      </c>
      <c r="L203">
        <v>2018</v>
      </c>
      <c r="M203">
        <v>2</v>
      </c>
      <c r="N203">
        <v>5</v>
      </c>
      <c r="O203">
        <v>15</v>
      </c>
    </row>
    <row r="204" spans="1:15" x14ac:dyDescent="0.25">
      <c r="A204">
        <v>203</v>
      </c>
      <c r="B204">
        <v>205</v>
      </c>
      <c r="C204" t="s">
        <v>735</v>
      </c>
      <c r="D204" t="s">
        <v>736</v>
      </c>
      <c r="E204" s="1">
        <v>44711.479166666664</v>
      </c>
      <c r="F204" t="s">
        <v>737</v>
      </c>
      <c r="G204" t="s">
        <v>17</v>
      </c>
      <c r="H204" t="s">
        <v>738</v>
      </c>
      <c r="I204">
        <v>12</v>
      </c>
      <c r="J204">
        <v>25</v>
      </c>
      <c r="K204" t="s">
        <v>617</v>
      </c>
      <c r="L204">
        <v>2022</v>
      </c>
      <c r="M204">
        <v>5</v>
      </c>
      <c r="N204">
        <v>30</v>
      </c>
      <c r="O204">
        <v>11</v>
      </c>
    </row>
    <row r="205" spans="1:15" x14ac:dyDescent="0.25">
      <c r="A205">
        <v>204</v>
      </c>
      <c r="B205">
        <v>206</v>
      </c>
      <c r="C205" t="s">
        <v>739</v>
      </c>
      <c r="D205" t="s">
        <v>740</v>
      </c>
      <c r="E205" s="1">
        <v>44936.680555555555</v>
      </c>
      <c r="F205" t="s">
        <v>741</v>
      </c>
      <c r="G205" t="s">
        <v>27</v>
      </c>
      <c r="H205" t="s">
        <v>343</v>
      </c>
      <c r="I205">
        <v>15</v>
      </c>
      <c r="J205">
        <v>30</v>
      </c>
      <c r="K205" t="s">
        <v>232</v>
      </c>
      <c r="L205">
        <v>2023</v>
      </c>
      <c r="M205">
        <v>1</v>
      </c>
      <c r="N205">
        <v>10</v>
      </c>
      <c r="O205">
        <v>16</v>
      </c>
    </row>
    <row r="206" spans="1:15" x14ac:dyDescent="0.25">
      <c r="A206">
        <v>205</v>
      </c>
      <c r="B206">
        <v>207</v>
      </c>
      <c r="C206" t="s">
        <v>742</v>
      </c>
      <c r="D206" t="s">
        <v>743</v>
      </c>
      <c r="E206" s="1">
        <v>44092.572916666664</v>
      </c>
      <c r="F206" t="s">
        <v>744</v>
      </c>
      <c r="G206" t="s">
        <v>32</v>
      </c>
      <c r="H206" t="s">
        <v>745</v>
      </c>
      <c r="I206">
        <v>10</v>
      </c>
      <c r="J206">
        <v>20</v>
      </c>
      <c r="K206" t="s">
        <v>603</v>
      </c>
      <c r="L206">
        <v>2020</v>
      </c>
      <c r="M206">
        <v>9</v>
      </c>
      <c r="N206">
        <v>18</v>
      </c>
      <c r="O206">
        <v>13</v>
      </c>
    </row>
    <row r="207" spans="1:15" x14ac:dyDescent="0.25">
      <c r="A207">
        <v>206</v>
      </c>
      <c r="B207">
        <v>208</v>
      </c>
      <c r="C207" t="s">
        <v>746</v>
      </c>
      <c r="D207" t="s">
        <v>747</v>
      </c>
      <c r="E207" s="1">
        <v>44380.791666666664</v>
      </c>
      <c r="F207" t="s">
        <v>748</v>
      </c>
      <c r="G207" t="s">
        <v>17</v>
      </c>
      <c r="H207" t="s">
        <v>749</v>
      </c>
      <c r="I207">
        <v>12</v>
      </c>
      <c r="J207">
        <v>25</v>
      </c>
      <c r="K207" t="s">
        <v>295</v>
      </c>
      <c r="L207">
        <v>2021</v>
      </c>
      <c r="M207">
        <v>7</v>
      </c>
      <c r="N207">
        <v>3</v>
      </c>
      <c r="O207">
        <v>19</v>
      </c>
    </row>
    <row r="208" spans="1:15" x14ac:dyDescent="0.25">
      <c r="A208">
        <v>207</v>
      </c>
      <c r="B208">
        <v>209</v>
      </c>
      <c r="C208" t="s">
        <v>750</v>
      </c>
      <c r="D208" t="s">
        <v>712</v>
      </c>
      <c r="E208" s="1">
        <v>44842.34375</v>
      </c>
      <c r="F208" t="s">
        <v>751</v>
      </c>
      <c r="G208" t="s">
        <v>27</v>
      </c>
      <c r="H208" t="s">
        <v>752</v>
      </c>
      <c r="I208">
        <v>20</v>
      </c>
      <c r="J208">
        <v>40</v>
      </c>
      <c r="K208" t="s">
        <v>205</v>
      </c>
      <c r="L208">
        <v>2022</v>
      </c>
      <c r="M208">
        <v>10</v>
      </c>
      <c r="N208">
        <v>8</v>
      </c>
      <c r="O208">
        <v>8</v>
      </c>
    </row>
    <row r="209" spans="1:15" x14ac:dyDescent="0.25">
      <c r="A209">
        <v>208</v>
      </c>
      <c r="B209">
        <v>210</v>
      </c>
      <c r="C209" t="s">
        <v>753</v>
      </c>
      <c r="D209" t="s">
        <v>716</v>
      </c>
      <c r="E209" s="1">
        <v>45007.6875</v>
      </c>
      <c r="F209" t="s">
        <v>754</v>
      </c>
      <c r="G209" t="s">
        <v>32</v>
      </c>
      <c r="H209" t="s">
        <v>755</v>
      </c>
      <c r="I209">
        <v>10</v>
      </c>
      <c r="J209">
        <v>20</v>
      </c>
      <c r="K209" t="s">
        <v>617</v>
      </c>
      <c r="L209">
        <v>2023</v>
      </c>
      <c r="M209">
        <v>3</v>
      </c>
      <c r="N209">
        <v>22</v>
      </c>
      <c r="O209">
        <v>16</v>
      </c>
    </row>
    <row r="210" spans="1:15" x14ac:dyDescent="0.25">
      <c r="A210">
        <v>209</v>
      </c>
      <c r="B210">
        <v>211</v>
      </c>
      <c r="C210" t="s">
        <v>756</v>
      </c>
      <c r="D210" t="s">
        <v>720</v>
      </c>
      <c r="E210" s="1">
        <v>44331.489583333336</v>
      </c>
      <c r="F210" t="s">
        <v>757</v>
      </c>
      <c r="G210" t="s">
        <v>17</v>
      </c>
      <c r="H210" t="s">
        <v>758</v>
      </c>
      <c r="I210">
        <v>15</v>
      </c>
      <c r="J210">
        <v>30</v>
      </c>
      <c r="K210" t="s">
        <v>368</v>
      </c>
      <c r="L210">
        <v>2021</v>
      </c>
      <c r="M210">
        <v>5</v>
      </c>
      <c r="N210">
        <v>15</v>
      </c>
      <c r="O210">
        <v>11</v>
      </c>
    </row>
    <row r="211" spans="1:15" x14ac:dyDescent="0.25">
      <c r="A211">
        <v>210</v>
      </c>
      <c r="B211">
        <v>212</v>
      </c>
      <c r="C211" t="s">
        <v>759</v>
      </c>
      <c r="D211" t="s">
        <v>724</v>
      </c>
      <c r="E211" s="1">
        <v>43827.604166666664</v>
      </c>
      <c r="F211" t="s">
        <v>760</v>
      </c>
      <c r="G211" t="s">
        <v>27</v>
      </c>
      <c r="H211" t="s">
        <v>761</v>
      </c>
      <c r="I211">
        <v>8</v>
      </c>
      <c r="J211">
        <v>15</v>
      </c>
      <c r="K211" t="s">
        <v>608</v>
      </c>
      <c r="L211">
        <v>2019</v>
      </c>
      <c r="M211">
        <v>12</v>
      </c>
      <c r="N211">
        <v>28</v>
      </c>
      <c r="O211">
        <v>14</v>
      </c>
    </row>
    <row r="212" spans="1:15" x14ac:dyDescent="0.25">
      <c r="A212">
        <v>211</v>
      </c>
      <c r="B212">
        <v>213</v>
      </c>
      <c r="C212" t="s">
        <v>762</v>
      </c>
      <c r="D212" t="s">
        <v>728</v>
      </c>
      <c r="E212" s="1">
        <v>43891.791666666664</v>
      </c>
      <c r="F212" t="s">
        <v>763</v>
      </c>
      <c r="G212" t="s">
        <v>32</v>
      </c>
      <c r="H212" t="s">
        <v>764</v>
      </c>
      <c r="I212">
        <v>12</v>
      </c>
      <c r="J212">
        <v>25</v>
      </c>
      <c r="K212" t="s">
        <v>656</v>
      </c>
      <c r="L212">
        <v>2020</v>
      </c>
      <c r="M212">
        <v>3</v>
      </c>
      <c r="N212">
        <v>1</v>
      </c>
      <c r="O212">
        <v>19</v>
      </c>
    </row>
    <row r="213" spans="1:15" x14ac:dyDescent="0.25">
      <c r="A213">
        <v>212</v>
      </c>
      <c r="B213">
        <v>214</v>
      </c>
      <c r="C213" t="s">
        <v>765</v>
      </c>
      <c r="D213" t="s">
        <v>732</v>
      </c>
      <c r="E213" s="1">
        <v>43291.65625</v>
      </c>
      <c r="F213" t="s">
        <v>766</v>
      </c>
      <c r="G213" t="s">
        <v>17</v>
      </c>
      <c r="H213" t="s">
        <v>767</v>
      </c>
      <c r="I213">
        <v>10</v>
      </c>
      <c r="J213">
        <v>20</v>
      </c>
      <c r="K213" t="s">
        <v>617</v>
      </c>
      <c r="L213">
        <v>2018</v>
      </c>
      <c r="M213">
        <v>7</v>
      </c>
      <c r="N213">
        <v>10</v>
      </c>
      <c r="O213">
        <v>15</v>
      </c>
    </row>
    <row r="214" spans="1:15" x14ac:dyDescent="0.25">
      <c r="A214">
        <v>213</v>
      </c>
      <c r="B214">
        <v>215</v>
      </c>
      <c r="C214" t="s">
        <v>768</v>
      </c>
      <c r="D214" t="s">
        <v>736</v>
      </c>
      <c r="E214" s="1">
        <v>44566.4375</v>
      </c>
      <c r="F214" t="s">
        <v>769</v>
      </c>
      <c r="G214" t="s">
        <v>27</v>
      </c>
      <c r="H214" t="s">
        <v>770</v>
      </c>
      <c r="I214">
        <v>12</v>
      </c>
      <c r="J214">
        <v>25</v>
      </c>
      <c r="K214" t="s">
        <v>368</v>
      </c>
      <c r="L214">
        <v>2022</v>
      </c>
      <c r="M214">
        <v>1</v>
      </c>
      <c r="N214">
        <v>5</v>
      </c>
      <c r="O214">
        <v>10</v>
      </c>
    </row>
    <row r="215" spans="1:15" x14ac:dyDescent="0.25">
      <c r="A215">
        <v>214</v>
      </c>
      <c r="B215">
        <v>216</v>
      </c>
      <c r="C215" t="s">
        <v>771</v>
      </c>
      <c r="D215" t="s">
        <v>740</v>
      </c>
      <c r="E215" s="1">
        <v>44428.680555555555</v>
      </c>
      <c r="F215" t="s">
        <v>772</v>
      </c>
      <c r="G215" t="s">
        <v>32</v>
      </c>
      <c r="H215" t="s">
        <v>773</v>
      </c>
      <c r="I215">
        <v>15</v>
      </c>
      <c r="J215">
        <v>30</v>
      </c>
      <c r="K215" t="s">
        <v>295</v>
      </c>
      <c r="L215">
        <v>2021</v>
      </c>
      <c r="M215">
        <v>8</v>
      </c>
      <c r="N215">
        <v>20</v>
      </c>
      <c r="O215">
        <v>16</v>
      </c>
    </row>
    <row r="216" spans="1:15" x14ac:dyDescent="0.25">
      <c r="A216">
        <v>215</v>
      </c>
      <c r="B216">
        <v>217</v>
      </c>
      <c r="C216" t="s">
        <v>774</v>
      </c>
      <c r="D216" t="s">
        <v>743</v>
      </c>
      <c r="E216" s="1">
        <v>43772.572916666664</v>
      </c>
      <c r="F216" t="s">
        <v>775</v>
      </c>
      <c r="G216" t="s">
        <v>17</v>
      </c>
      <c r="H216" t="s">
        <v>776</v>
      </c>
      <c r="I216">
        <v>18</v>
      </c>
      <c r="J216">
        <v>35</v>
      </c>
      <c r="K216" t="s">
        <v>205</v>
      </c>
      <c r="L216">
        <v>2019</v>
      </c>
      <c r="M216">
        <v>11</v>
      </c>
      <c r="N216">
        <v>3</v>
      </c>
      <c r="O216">
        <v>13</v>
      </c>
    </row>
    <row r="217" spans="1:15" x14ac:dyDescent="0.25">
      <c r="A217">
        <v>216</v>
      </c>
      <c r="B217">
        <v>218</v>
      </c>
      <c r="C217" t="s">
        <v>777</v>
      </c>
      <c r="D217" t="s">
        <v>747</v>
      </c>
      <c r="E217" s="1">
        <v>43933.8125</v>
      </c>
      <c r="F217" t="s">
        <v>778</v>
      </c>
      <c r="G217" t="s">
        <v>27</v>
      </c>
      <c r="H217" t="s">
        <v>779</v>
      </c>
      <c r="I217">
        <v>25</v>
      </c>
      <c r="J217">
        <v>50</v>
      </c>
      <c r="K217" t="s">
        <v>617</v>
      </c>
      <c r="L217">
        <v>2020</v>
      </c>
      <c r="M217">
        <v>4</v>
      </c>
      <c r="N217">
        <v>12</v>
      </c>
      <c r="O217">
        <v>19</v>
      </c>
    </row>
    <row r="218" spans="1:15" x14ac:dyDescent="0.25">
      <c r="A218">
        <v>217</v>
      </c>
      <c r="B218">
        <v>219</v>
      </c>
      <c r="C218" t="s">
        <v>780</v>
      </c>
      <c r="D218" t="s">
        <v>712</v>
      </c>
      <c r="E218" s="1">
        <v>44666.364583333336</v>
      </c>
      <c r="F218" t="s">
        <v>781</v>
      </c>
      <c r="G218" t="s">
        <v>32</v>
      </c>
      <c r="H218" t="s">
        <v>782</v>
      </c>
      <c r="I218">
        <v>22</v>
      </c>
      <c r="J218">
        <v>45</v>
      </c>
      <c r="K218" t="s">
        <v>656</v>
      </c>
      <c r="L218">
        <v>2022</v>
      </c>
      <c r="M218">
        <v>4</v>
      </c>
      <c r="N218">
        <v>15</v>
      </c>
      <c r="O218">
        <v>8</v>
      </c>
    </row>
    <row r="219" spans="1:15" x14ac:dyDescent="0.25">
      <c r="A219">
        <v>218</v>
      </c>
      <c r="B219">
        <v>220</v>
      </c>
      <c r="C219" t="s">
        <v>783</v>
      </c>
      <c r="D219" t="s">
        <v>716</v>
      </c>
      <c r="E219" s="1">
        <v>44967.708333333336</v>
      </c>
      <c r="F219" t="s">
        <v>784</v>
      </c>
      <c r="G219" t="s">
        <v>17</v>
      </c>
      <c r="H219" t="s">
        <v>785</v>
      </c>
      <c r="I219">
        <v>9</v>
      </c>
      <c r="J219">
        <v>18</v>
      </c>
      <c r="K219" t="s">
        <v>368</v>
      </c>
      <c r="L219">
        <v>2023</v>
      </c>
      <c r="M219">
        <v>2</v>
      </c>
      <c r="N219">
        <v>10</v>
      </c>
      <c r="O219">
        <v>17</v>
      </c>
    </row>
    <row r="220" spans="1:15" x14ac:dyDescent="0.25">
      <c r="A220">
        <v>219</v>
      </c>
      <c r="B220">
        <v>221</v>
      </c>
      <c r="C220" t="s">
        <v>786</v>
      </c>
      <c r="D220" t="s">
        <v>720</v>
      </c>
      <c r="E220" s="1">
        <v>44048.510416666664</v>
      </c>
      <c r="F220" t="s">
        <v>787</v>
      </c>
      <c r="G220" t="s">
        <v>27</v>
      </c>
      <c r="H220" t="s">
        <v>788</v>
      </c>
      <c r="I220">
        <v>14</v>
      </c>
      <c r="J220">
        <v>28</v>
      </c>
      <c r="K220" t="s">
        <v>295</v>
      </c>
      <c r="L220">
        <v>2020</v>
      </c>
      <c r="M220">
        <v>8</v>
      </c>
      <c r="N220">
        <v>5</v>
      </c>
      <c r="O220">
        <v>12</v>
      </c>
    </row>
    <row r="221" spans="1:15" x14ac:dyDescent="0.25">
      <c r="A221">
        <v>220</v>
      </c>
      <c r="B221">
        <v>222</v>
      </c>
      <c r="C221" t="s">
        <v>789</v>
      </c>
      <c r="D221" t="s">
        <v>724</v>
      </c>
      <c r="E221" s="1">
        <v>44531.645833333336</v>
      </c>
      <c r="F221" t="s">
        <v>790</v>
      </c>
      <c r="G221" t="s">
        <v>32</v>
      </c>
      <c r="H221" t="s">
        <v>791</v>
      </c>
      <c r="I221">
        <v>10</v>
      </c>
      <c r="J221">
        <v>20</v>
      </c>
      <c r="K221" t="s">
        <v>205</v>
      </c>
      <c r="L221">
        <v>2021</v>
      </c>
      <c r="M221">
        <v>12</v>
      </c>
      <c r="N221">
        <v>1</v>
      </c>
      <c r="O221">
        <v>15</v>
      </c>
    </row>
    <row r="222" spans="1:15" x14ac:dyDescent="0.25">
      <c r="A222">
        <v>221</v>
      </c>
      <c r="B222">
        <v>223</v>
      </c>
      <c r="C222" t="s">
        <v>792</v>
      </c>
      <c r="D222" t="s">
        <v>728</v>
      </c>
      <c r="E222" s="1">
        <v>43549.875</v>
      </c>
      <c r="F222" t="s">
        <v>793</v>
      </c>
      <c r="G222" t="s">
        <v>17</v>
      </c>
      <c r="H222" t="s">
        <v>794</v>
      </c>
      <c r="I222">
        <v>13</v>
      </c>
      <c r="J222">
        <v>26</v>
      </c>
      <c r="K222" t="s">
        <v>617</v>
      </c>
      <c r="L222">
        <v>2019</v>
      </c>
      <c r="M222">
        <v>3</v>
      </c>
      <c r="N222">
        <v>25</v>
      </c>
      <c r="O222">
        <v>21</v>
      </c>
    </row>
    <row r="223" spans="1:15" x14ac:dyDescent="0.25">
      <c r="A223">
        <v>222</v>
      </c>
      <c r="B223">
        <v>224</v>
      </c>
      <c r="C223" t="s">
        <v>795</v>
      </c>
      <c r="D223" t="s">
        <v>732</v>
      </c>
      <c r="E223" s="1">
        <v>42904.614583333336</v>
      </c>
      <c r="F223" t="s">
        <v>796</v>
      </c>
      <c r="G223" t="s">
        <v>27</v>
      </c>
      <c r="H223" t="s">
        <v>797</v>
      </c>
      <c r="I223">
        <v>12</v>
      </c>
      <c r="J223">
        <v>25</v>
      </c>
      <c r="K223" t="s">
        <v>656</v>
      </c>
      <c r="L223">
        <v>2017</v>
      </c>
      <c r="M223">
        <v>6</v>
      </c>
      <c r="N223">
        <v>18</v>
      </c>
      <c r="O223">
        <v>14</v>
      </c>
    </row>
    <row r="224" spans="1:15" x14ac:dyDescent="0.25">
      <c r="A224">
        <v>223</v>
      </c>
      <c r="B224">
        <v>225</v>
      </c>
      <c r="C224" t="s">
        <v>798</v>
      </c>
      <c r="D224" t="s">
        <v>736</v>
      </c>
      <c r="E224" s="1">
        <v>44750.479166666664</v>
      </c>
      <c r="F224" t="s">
        <v>799</v>
      </c>
      <c r="G224" t="s">
        <v>32</v>
      </c>
      <c r="H224" t="s">
        <v>800</v>
      </c>
      <c r="I224">
        <v>15</v>
      </c>
      <c r="J224">
        <v>30</v>
      </c>
      <c r="K224" t="s">
        <v>295</v>
      </c>
      <c r="L224">
        <v>2022</v>
      </c>
      <c r="M224">
        <v>7</v>
      </c>
      <c r="N224">
        <v>8</v>
      </c>
      <c r="O224">
        <v>11</v>
      </c>
    </row>
    <row r="225" spans="1:15" x14ac:dyDescent="0.25">
      <c r="A225">
        <v>224</v>
      </c>
      <c r="B225">
        <v>226</v>
      </c>
      <c r="C225" t="s">
        <v>801</v>
      </c>
      <c r="D225" t="s">
        <v>740</v>
      </c>
      <c r="E225" s="1">
        <v>45061.680555555555</v>
      </c>
      <c r="F225" t="s">
        <v>802</v>
      </c>
      <c r="G225" t="s">
        <v>17</v>
      </c>
      <c r="H225" t="s">
        <v>803</v>
      </c>
      <c r="I225">
        <v>18</v>
      </c>
      <c r="J225">
        <v>36</v>
      </c>
      <c r="K225" t="s">
        <v>617</v>
      </c>
      <c r="L225">
        <v>2023</v>
      </c>
      <c r="M225">
        <v>5</v>
      </c>
      <c r="N225">
        <v>15</v>
      </c>
      <c r="O225">
        <v>16</v>
      </c>
    </row>
    <row r="226" spans="1:15" x14ac:dyDescent="0.25">
      <c r="A226">
        <v>225</v>
      </c>
      <c r="B226">
        <v>227</v>
      </c>
      <c r="C226" t="s">
        <v>804</v>
      </c>
      <c r="D226" t="s">
        <v>743</v>
      </c>
      <c r="E226" s="1">
        <v>44449.614583333336</v>
      </c>
      <c r="F226" t="s">
        <v>805</v>
      </c>
      <c r="G226" t="s">
        <v>27</v>
      </c>
      <c r="H226" t="s">
        <v>806</v>
      </c>
      <c r="I226">
        <v>20</v>
      </c>
      <c r="J226">
        <v>40</v>
      </c>
      <c r="K226" t="s">
        <v>368</v>
      </c>
      <c r="L226">
        <v>2021</v>
      </c>
      <c r="M226">
        <v>9</v>
      </c>
      <c r="N226">
        <v>10</v>
      </c>
      <c r="O226">
        <v>14</v>
      </c>
    </row>
    <row r="227" spans="1:15" x14ac:dyDescent="0.25">
      <c r="A227">
        <v>226</v>
      </c>
      <c r="B227">
        <v>228</v>
      </c>
      <c r="C227" t="s">
        <v>807</v>
      </c>
      <c r="D227" t="s">
        <v>747</v>
      </c>
      <c r="E227" s="1">
        <v>43889.770833333336</v>
      </c>
      <c r="F227" t="s">
        <v>808</v>
      </c>
      <c r="G227" t="s">
        <v>32</v>
      </c>
      <c r="H227" t="s">
        <v>809</v>
      </c>
      <c r="I227">
        <v>25</v>
      </c>
      <c r="J227">
        <v>50</v>
      </c>
      <c r="K227" t="s">
        <v>205</v>
      </c>
      <c r="L227">
        <v>2020</v>
      </c>
      <c r="M227">
        <v>2</v>
      </c>
      <c r="N227">
        <v>28</v>
      </c>
      <c r="O227">
        <v>18</v>
      </c>
    </row>
    <row r="228" spans="1:15" x14ac:dyDescent="0.25">
      <c r="A228">
        <v>227</v>
      </c>
      <c r="B228">
        <v>231</v>
      </c>
      <c r="C228" t="s">
        <v>810</v>
      </c>
      <c r="D228" t="s">
        <v>716</v>
      </c>
      <c r="E228" s="1">
        <v>44995.6875</v>
      </c>
      <c r="F228" t="s">
        <v>811</v>
      </c>
      <c r="G228" t="s">
        <v>27</v>
      </c>
      <c r="H228" t="s">
        <v>812</v>
      </c>
      <c r="I228">
        <v>9</v>
      </c>
      <c r="J228">
        <v>18</v>
      </c>
      <c r="K228" t="s">
        <v>656</v>
      </c>
      <c r="L228">
        <v>2023</v>
      </c>
      <c r="M228">
        <v>3</v>
      </c>
      <c r="N228">
        <v>10</v>
      </c>
      <c r="O228">
        <v>16</v>
      </c>
    </row>
    <row r="229" spans="1:15" x14ac:dyDescent="0.25">
      <c r="A229">
        <v>228</v>
      </c>
      <c r="B229">
        <v>232</v>
      </c>
      <c r="C229" t="s">
        <v>813</v>
      </c>
      <c r="D229" t="s">
        <v>720</v>
      </c>
      <c r="E229" s="1">
        <v>44318.489583333336</v>
      </c>
      <c r="F229" t="s">
        <v>814</v>
      </c>
      <c r="G229" t="s">
        <v>32</v>
      </c>
      <c r="H229" t="s">
        <v>758</v>
      </c>
      <c r="I229">
        <v>14</v>
      </c>
      <c r="J229">
        <v>28</v>
      </c>
      <c r="K229" t="s">
        <v>295</v>
      </c>
      <c r="L229">
        <v>2021</v>
      </c>
      <c r="M229">
        <v>5</v>
      </c>
      <c r="N229">
        <v>2</v>
      </c>
      <c r="O229">
        <v>11</v>
      </c>
    </row>
    <row r="230" spans="1:15" x14ac:dyDescent="0.25">
      <c r="A230">
        <v>229</v>
      </c>
      <c r="B230">
        <v>233</v>
      </c>
      <c r="C230" t="s">
        <v>815</v>
      </c>
      <c r="D230" t="s">
        <v>724</v>
      </c>
      <c r="E230" s="1">
        <v>43756.604166666664</v>
      </c>
      <c r="F230" t="s">
        <v>816</v>
      </c>
      <c r="G230" t="s">
        <v>17</v>
      </c>
      <c r="H230" t="s">
        <v>817</v>
      </c>
      <c r="I230">
        <v>11</v>
      </c>
      <c r="J230">
        <v>22</v>
      </c>
      <c r="K230" t="s">
        <v>368</v>
      </c>
      <c r="L230">
        <v>2019</v>
      </c>
      <c r="M230">
        <v>10</v>
      </c>
      <c r="N230">
        <v>18</v>
      </c>
      <c r="O230">
        <v>14</v>
      </c>
    </row>
    <row r="231" spans="1:15" x14ac:dyDescent="0.25">
      <c r="A231">
        <v>230</v>
      </c>
      <c r="B231">
        <v>234</v>
      </c>
      <c r="C231" t="s">
        <v>818</v>
      </c>
      <c r="D231" t="s">
        <v>728</v>
      </c>
      <c r="E231" s="1">
        <v>43835.833333333336</v>
      </c>
      <c r="F231" t="s">
        <v>819</v>
      </c>
      <c r="G231" t="s">
        <v>27</v>
      </c>
      <c r="H231" t="s">
        <v>820</v>
      </c>
      <c r="I231">
        <v>13</v>
      </c>
      <c r="J231">
        <v>26</v>
      </c>
      <c r="K231" t="s">
        <v>205</v>
      </c>
      <c r="L231">
        <v>2020</v>
      </c>
      <c r="M231">
        <v>1</v>
      </c>
      <c r="N231">
        <v>5</v>
      </c>
      <c r="O231">
        <v>20</v>
      </c>
    </row>
    <row r="232" spans="1:15" x14ac:dyDescent="0.25">
      <c r="A232">
        <v>231</v>
      </c>
      <c r="B232">
        <v>235</v>
      </c>
      <c r="C232" t="s">
        <v>821</v>
      </c>
      <c r="D232" t="s">
        <v>732</v>
      </c>
      <c r="E232" s="1">
        <v>43322.65625</v>
      </c>
      <c r="F232" t="s">
        <v>822</v>
      </c>
      <c r="G232" t="s">
        <v>32</v>
      </c>
      <c r="H232" t="s">
        <v>823</v>
      </c>
      <c r="I232">
        <v>12</v>
      </c>
      <c r="J232">
        <v>25</v>
      </c>
      <c r="K232" t="s">
        <v>617</v>
      </c>
      <c r="L232">
        <v>2018</v>
      </c>
      <c r="M232">
        <v>8</v>
      </c>
      <c r="N232">
        <v>10</v>
      </c>
      <c r="O232">
        <v>15</v>
      </c>
    </row>
    <row r="233" spans="1:15" x14ac:dyDescent="0.25">
      <c r="A233">
        <v>232</v>
      </c>
      <c r="B233">
        <v>236</v>
      </c>
      <c r="C233" t="s">
        <v>824</v>
      </c>
      <c r="D233" t="s">
        <v>736</v>
      </c>
      <c r="E233" s="1">
        <v>44576.4375</v>
      </c>
      <c r="F233" t="s">
        <v>825</v>
      </c>
      <c r="G233" t="s">
        <v>17</v>
      </c>
      <c r="H233" t="s">
        <v>826</v>
      </c>
      <c r="I233">
        <v>15</v>
      </c>
      <c r="J233">
        <v>30</v>
      </c>
      <c r="K233" t="s">
        <v>656</v>
      </c>
      <c r="L233">
        <v>2022</v>
      </c>
      <c r="M233">
        <v>1</v>
      </c>
      <c r="N233">
        <v>15</v>
      </c>
      <c r="O233">
        <v>10</v>
      </c>
    </row>
    <row r="234" spans="1:15" x14ac:dyDescent="0.25">
      <c r="A234">
        <v>233</v>
      </c>
      <c r="B234">
        <v>237</v>
      </c>
      <c r="C234" t="s">
        <v>827</v>
      </c>
      <c r="D234" t="s">
        <v>740</v>
      </c>
      <c r="E234" s="1">
        <v>44397.680555555555</v>
      </c>
      <c r="F234" t="s">
        <v>828</v>
      </c>
      <c r="G234" t="s">
        <v>27</v>
      </c>
      <c r="H234" t="s">
        <v>829</v>
      </c>
      <c r="I234">
        <v>18</v>
      </c>
      <c r="J234">
        <v>36</v>
      </c>
      <c r="K234" t="s">
        <v>608</v>
      </c>
      <c r="L234">
        <v>2021</v>
      </c>
      <c r="M234">
        <v>7</v>
      </c>
      <c r="N234">
        <v>20</v>
      </c>
      <c r="O234">
        <v>16</v>
      </c>
    </row>
    <row r="235" spans="1:15" x14ac:dyDescent="0.25">
      <c r="A235">
        <v>234</v>
      </c>
      <c r="B235">
        <v>238</v>
      </c>
      <c r="C235" t="s">
        <v>830</v>
      </c>
      <c r="D235" t="s">
        <v>743</v>
      </c>
      <c r="E235" s="1">
        <v>43802.572916666664</v>
      </c>
      <c r="F235" t="s">
        <v>831</v>
      </c>
      <c r="G235" t="s">
        <v>32</v>
      </c>
      <c r="H235" t="s">
        <v>832</v>
      </c>
      <c r="I235">
        <v>20</v>
      </c>
      <c r="J235">
        <v>40</v>
      </c>
      <c r="K235" t="s">
        <v>205</v>
      </c>
      <c r="L235">
        <v>2019</v>
      </c>
      <c r="M235">
        <v>12</v>
      </c>
      <c r="N235">
        <v>3</v>
      </c>
      <c r="O235">
        <v>13</v>
      </c>
    </row>
    <row r="236" spans="1:15" x14ac:dyDescent="0.25">
      <c r="A236">
        <v>235</v>
      </c>
      <c r="B236">
        <v>239</v>
      </c>
      <c r="C236" t="s">
        <v>833</v>
      </c>
      <c r="D236" t="s">
        <v>747</v>
      </c>
      <c r="E236" s="1">
        <v>43933.8125</v>
      </c>
      <c r="F236" t="s">
        <v>834</v>
      </c>
      <c r="G236" t="s">
        <v>17</v>
      </c>
      <c r="H236" t="s">
        <v>835</v>
      </c>
      <c r="I236">
        <v>25</v>
      </c>
      <c r="J236">
        <v>50</v>
      </c>
      <c r="K236" t="s">
        <v>617</v>
      </c>
      <c r="L236">
        <v>2020</v>
      </c>
      <c r="M236">
        <v>4</v>
      </c>
      <c r="N236">
        <v>12</v>
      </c>
      <c r="O236">
        <v>19</v>
      </c>
    </row>
    <row r="237" spans="1:15" x14ac:dyDescent="0.25">
      <c r="A237">
        <v>236</v>
      </c>
      <c r="B237">
        <v>240</v>
      </c>
      <c r="C237" t="s">
        <v>836</v>
      </c>
      <c r="D237" t="s">
        <v>712</v>
      </c>
      <c r="E237" s="1">
        <v>44689.364583333336</v>
      </c>
      <c r="F237" t="s">
        <v>837</v>
      </c>
      <c r="G237" t="s">
        <v>27</v>
      </c>
      <c r="H237" t="s">
        <v>838</v>
      </c>
      <c r="I237">
        <v>22</v>
      </c>
      <c r="J237">
        <v>45</v>
      </c>
      <c r="K237" t="s">
        <v>368</v>
      </c>
      <c r="L237">
        <v>2022</v>
      </c>
      <c r="M237">
        <v>5</v>
      </c>
      <c r="N237">
        <v>8</v>
      </c>
      <c r="O237">
        <v>8</v>
      </c>
    </row>
    <row r="238" spans="1:15" x14ac:dyDescent="0.25">
      <c r="A238">
        <v>237</v>
      </c>
      <c r="B238">
        <v>241</v>
      </c>
      <c r="C238" t="s">
        <v>839</v>
      </c>
      <c r="D238" t="s">
        <v>716</v>
      </c>
      <c r="E238" s="1">
        <v>44979.708333333336</v>
      </c>
      <c r="F238" t="s">
        <v>840</v>
      </c>
      <c r="G238" t="s">
        <v>32</v>
      </c>
      <c r="H238" t="s">
        <v>785</v>
      </c>
      <c r="I238">
        <v>9</v>
      </c>
      <c r="J238">
        <v>18</v>
      </c>
      <c r="K238" t="s">
        <v>656</v>
      </c>
      <c r="L238">
        <v>2023</v>
      </c>
      <c r="M238">
        <v>2</v>
      </c>
      <c r="N238">
        <v>22</v>
      </c>
      <c r="O238">
        <v>17</v>
      </c>
    </row>
    <row r="239" spans="1:15" x14ac:dyDescent="0.25">
      <c r="A239">
        <v>238</v>
      </c>
      <c r="B239">
        <v>242</v>
      </c>
      <c r="C239" t="s">
        <v>841</v>
      </c>
      <c r="D239" t="s">
        <v>720</v>
      </c>
      <c r="E239" s="1">
        <v>43987.510416666664</v>
      </c>
      <c r="F239" t="s">
        <v>842</v>
      </c>
      <c r="G239" t="s">
        <v>17</v>
      </c>
      <c r="H239" t="s">
        <v>843</v>
      </c>
      <c r="I239">
        <v>14</v>
      </c>
      <c r="J239">
        <v>28</v>
      </c>
      <c r="K239" t="s">
        <v>295</v>
      </c>
      <c r="L239">
        <v>2020</v>
      </c>
      <c r="M239">
        <v>6</v>
      </c>
      <c r="N239">
        <v>5</v>
      </c>
      <c r="O239">
        <v>12</v>
      </c>
    </row>
    <row r="240" spans="1:15" x14ac:dyDescent="0.25">
      <c r="A240">
        <v>239</v>
      </c>
      <c r="B240">
        <v>243</v>
      </c>
      <c r="C240" t="s">
        <v>844</v>
      </c>
      <c r="D240" t="s">
        <v>724</v>
      </c>
      <c r="E240" s="1">
        <v>44530.645833333336</v>
      </c>
      <c r="F240" t="s">
        <v>845</v>
      </c>
      <c r="G240" t="s">
        <v>27</v>
      </c>
      <c r="H240" t="s">
        <v>846</v>
      </c>
      <c r="I240">
        <v>10</v>
      </c>
      <c r="J240">
        <v>20</v>
      </c>
      <c r="K240" t="s">
        <v>617</v>
      </c>
      <c r="L240">
        <v>2021</v>
      </c>
      <c r="M240">
        <v>11</v>
      </c>
      <c r="N240">
        <v>30</v>
      </c>
      <c r="O240">
        <v>15</v>
      </c>
    </row>
    <row r="241" spans="1:15" x14ac:dyDescent="0.25">
      <c r="A241">
        <v>240</v>
      </c>
      <c r="B241">
        <v>244</v>
      </c>
      <c r="C241" t="s">
        <v>847</v>
      </c>
      <c r="D241" t="s">
        <v>728</v>
      </c>
      <c r="E241" s="1">
        <v>43521.875</v>
      </c>
      <c r="F241" t="s">
        <v>848</v>
      </c>
      <c r="G241" t="s">
        <v>32</v>
      </c>
      <c r="H241" t="s">
        <v>849</v>
      </c>
      <c r="I241">
        <v>13</v>
      </c>
      <c r="J241">
        <v>26</v>
      </c>
      <c r="K241" t="s">
        <v>368</v>
      </c>
      <c r="L241">
        <v>2019</v>
      </c>
      <c r="M241">
        <v>2</v>
      </c>
      <c r="N241">
        <v>25</v>
      </c>
      <c r="O241">
        <v>21</v>
      </c>
    </row>
    <row r="242" spans="1:15" x14ac:dyDescent="0.25">
      <c r="A242">
        <v>241</v>
      </c>
      <c r="B242">
        <v>245</v>
      </c>
      <c r="C242" t="s">
        <v>850</v>
      </c>
      <c r="D242" t="s">
        <v>732</v>
      </c>
      <c r="E242" s="1">
        <v>42873.614583333336</v>
      </c>
      <c r="F242" t="s">
        <v>851</v>
      </c>
      <c r="G242" t="s">
        <v>17</v>
      </c>
      <c r="H242" t="s">
        <v>852</v>
      </c>
      <c r="I242">
        <v>12</v>
      </c>
      <c r="J242">
        <v>25</v>
      </c>
      <c r="K242" t="s">
        <v>205</v>
      </c>
      <c r="L242">
        <v>2017</v>
      </c>
      <c r="M242">
        <v>5</v>
      </c>
      <c r="N242">
        <v>18</v>
      </c>
      <c r="O242">
        <v>14</v>
      </c>
    </row>
    <row r="243" spans="1:15" x14ac:dyDescent="0.25">
      <c r="A243">
        <v>242</v>
      </c>
      <c r="B243">
        <v>246</v>
      </c>
      <c r="C243" t="s">
        <v>853</v>
      </c>
      <c r="D243" t="s">
        <v>736</v>
      </c>
      <c r="E243" s="1">
        <v>44778.479166666664</v>
      </c>
      <c r="F243" t="s">
        <v>854</v>
      </c>
      <c r="G243" t="s">
        <v>27</v>
      </c>
      <c r="H243" t="s">
        <v>855</v>
      </c>
      <c r="I243">
        <v>15</v>
      </c>
      <c r="J243">
        <v>30</v>
      </c>
      <c r="K243" t="s">
        <v>617</v>
      </c>
      <c r="L243">
        <v>2022</v>
      </c>
      <c r="M243">
        <v>8</v>
      </c>
      <c r="N243">
        <v>5</v>
      </c>
      <c r="O243">
        <v>11</v>
      </c>
    </row>
    <row r="244" spans="1:15" x14ac:dyDescent="0.25">
      <c r="A244">
        <v>243</v>
      </c>
      <c r="B244">
        <v>247</v>
      </c>
      <c r="C244" t="s">
        <v>856</v>
      </c>
      <c r="D244" t="s">
        <v>740</v>
      </c>
      <c r="E244" s="1">
        <v>45092.680555555555</v>
      </c>
      <c r="F244" t="s">
        <v>857</v>
      </c>
      <c r="G244" t="s">
        <v>32</v>
      </c>
      <c r="H244" t="s">
        <v>858</v>
      </c>
      <c r="I244">
        <v>18</v>
      </c>
      <c r="J244">
        <v>36</v>
      </c>
      <c r="K244" t="s">
        <v>295</v>
      </c>
      <c r="L244">
        <v>2023</v>
      </c>
      <c r="M244">
        <v>6</v>
      </c>
      <c r="N244">
        <v>15</v>
      </c>
      <c r="O244">
        <v>16</v>
      </c>
    </row>
    <row r="245" spans="1:15" x14ac:dyDescent="0.25">
      <c r="A245">
        <v>244</v>
      </c>
      <c r="B245">
        <v>248</v>
      </c>
      <c r="C245" t="s">
        <v>859</v>
      </c>
      <c r="D245" t="s">
        <v>743</v>
      </c>
      <c r="E245" s="1">
        <v>44479.614583333336</v>
      </c>
      <c r="F245" t="s">
        <v>860</v>
      </c>
      <c r="G245" t="s">
        <v>17</v>
      </c>
      <c r="H245" t="s">
        <v>861</v>
      </c>
      <c r="I245">
        <v>20</v>
      </c>
      <c r="J245">
        <v>40</v>
      </c>
      <c r="K245" t="s">
        <v>368</v>
      </c>
      <c r="L245">
        <v>2021</v>
      </c>
      <c r="M245">
        <v>10</v>
      </c>
      <c r="N245">
        <v>10</v>
      </c>
      <c r="O245">
        <v>14</v>
      </c>
    </row>
    <row r="246" spans="1:15" x14ac:dyDescent="0.25">
      <c r="A246">
        <v>245</v>
      </c>
      <c r="B246">
        <v>249</v>
      </c>
      <c r="C246" t="s">
        <v>862</v>
      </c>
      <c r="D246" t="s">
        <v>747</v>
      </c>
      <c r="E246" s="1">
        <v>43963.8125</v>
      </c>
      <c r="F246" t="s">
        <v>863</v>
      </c>
      <c r="G246" t="s">
        <v>27</v>
      </c>
      <c r="H246" t="s">
        <v>864</v>
      </c>
      <c r="I246">
        <v>25</v>
      </c>
      <c r="J246">
        <v>50</v>
      </c>
      <c r="K246" t="s">
        <v>205</v>
      </c>
      <c r="L246">
        <v>2020</v>
      </c>
      <c r="M246">
        <v>5</v>
      </c>
      <c r="N246">
        <v>12</v>
      </c>
      <c r="O246">
        <v>19</v>
      </c>
    </row>
    <row r="247" spans="1:15" x14ac:dyDescent="0.25">
      <c r="A247">
        <v>246</v>
      </c>
      <c r="B247">
        <v>250</v>
      </c>
      <c r="C247" t="s">
        <v>865</v>
      </c>
      <c r="D247" t="s">
        <v>712</v>
      </c>
      <c r="E247" s="1">
        <v>44896.385416666664</v>
      </c>
      <c r="F247" t="s">
        <v>866</v>
      </c>
      <c r="G247" t="s">
        <v>32</v>
      </c>
      <c r="H247" t="s">
        <v>867</v>
      </c>
      <c r="I247">
        <v>22</v>
      </c>
      <c r="J247">
        <v>44</v>
      </c>
      <c r="K247" t="s">
        <v>656</v>
      </c>
      <c r="L247">
        <v>2022</v>
      </c>
      <c r="M247">
        <v>12</v>
      </c>
      <c r="N247">
        <v>1</v>
      </c>
      <c r="O247">
        <v>9</v>
      </c>
    </row>
    <row r="248" spans="1:15" x14ac:dyDescent="0.25">
      <c r="A248">
        <v>247</v>
      </c>
      <c r="B248">
        <v>251</v>
      </c>
      <c r="C248" t="s">
        <v>868</v>
      </c>
      <c r="D248" t="s">
        <v>869</v>
      </c>
      <c r="E248" s="1">
        <v>44530.645833333336</v>
      </c>
      <c r="F248" t="s">
        <v>870</v>
      </c>
      <c r="G248" t="s">
        <v>27</v>
      </c>
      <c r="H248" t="s">
        <v>871</v>
      </c>
      <c r="I248">
        <v>10</v>
      </c>
      <c r="J248">
        <v>20</v>
      </c>
      <c r="K248" t="s">
        <v>124</v>
      </c>
      <c r="L248">
        <v>2021</v>
      </c>
      <c r="M248">
        <v>11</v>
      </c>
      <c r="N248">
        <v>30</v>
      </c>
      <c r="O248">
        <v>15</v>
      </c>
    </row>
    <row r="249" spans="1:15" x14ac:dyDescent="0.25">
      <c r="A249">
        <v>248</v>
      </c>
      <c r="B249">
        <v>252</v>
      </c>
      <c r="C249" t="s">
        <v>872</v>
      </c>
      <c r="D249" t="s">
        <v>873</v>
      </c>
      <c r="E249" s="1">
        <v>43293.739583333336</v>
      </c>
      <c r="F249" t="s">
        <v>874</v>
      </c>
      <c r="G249" t="s">
        <v>875</v>
      </c>
      <c r="H249" t="s">
        <v>876</v>
      </c>
      <c r="I249">
        <v>15</v>
      </c>
      <c r="J249">
        <v>30</v>
      </c>
      <c r="K249" t="s">
        <v>99</v>
      </c>
      <c r="L249">
        <v>2018</v>
      </c>
      <c r="M249">
        <v>7</v>
      </c>
      <c r="N249">
        <v>12</v>
      </c>
      <c r="O249">
        <v>17</v>
      </c>
    </row>
    <row r="250" spans="1:15" x14ac:dyDescent="0.25">
      <c r="A250">
        <v>249</v>
      </c>
      <c r="B250">
        <v>253</v>
      </c>
      <c r="C250" t="s">
        <v>877</v>
      </c>
      <c r="D250" t="s">
        <v>878</v>
      </c>
      <c r="E250" s="1">
        <v>44079.840277777781</v>
      </c>
      <c r="F250" t="s">
        <v>879</v>
      </c>
      <c r="G250" t="s">
        <v>32</v>
      </c>
      <c r="H250" t="s">
        <v>880</v>
      </c>
      <c r="I250">
        <v>18</v>
      </c>
      <c r="J250">
        <v>36</v>
      </c>
      <c r="K250" t="s">
        <v>39</v>
      </c>
      <c r="L250">
        <v>2020</v>
      </c>
      <c r="M250">
        <v>9</v>
      </c>
      <c r="N250">
        <v>5</v>
      </c>
      <c r="O250">
        <v>20</v>
      </c>
    </row>
    <row r="251" spans="1:15" x14ac:dyDescent="0.25">
      <c r="A251">
        <v>250</v>
      </c>
      <c r="B251">
        <v>254</v>
      </c>
      <c r="C251" t="s">
        <v>881</v>
      </c>
      <c r="D251" t="s">
        <v>882</v>
      </c>
      <c r="E251" s="1">
        <v>44669.333333333336</v>
      </c>
      <c r="F251" t="s">
        <v>883</v>
      </c>
      <c r="G251" t="s">
        <v>27</v>
      </c>
      <c r="H251" t="s">
        <v>884</v>
      </c>
      <c r="I251">
        <v>12</v>
      </c>
      <c r="J251">
        <v>24</v>
      </c>
      <c r="K251" t="s">
        <v>165</v>
      </c>
      <c r="L251">
        <v>2022</v>
      </c>
      <c r="M251">
        <v>4</v>
      </c>
      <c r="N251">
        <v>18</v>
      </c>
      <c r="O251">
        <v>8</v>
      </c>
    </row>
    <row r="252" spans="1:15" x14ac:dyDescent="0.25">
      <c r="A252">
        <v>251</v>
      </c>
      <c r="B252">
        <v>255</v>
      </c>
      <c r="C252" t="s">
        <v>885</v>
      </c>
      <c r="D252" t="s">
        <v>886</v>
      </c>
      <c r="E252" s="1">
        <v>43809.513888888891</v>
      </c>
      <c r="F252" t="s">
        <v>887</v>
      </c>
      <c r="G252" t="s">
        <v>875</v>
      </c>
      <c r="H252" t="s">
        <v>888</v>
      </c>
      <c r="I252">
        <v>25</v>
      </c>
      <c r="J252">
        <v>50</v>
      </c>
      <c r="K252" t="s">
        <v>124</v>
      </c>
      <c r="L252">
        <v>2019</v>
      </c>
      <c r="M252">
        <v>12</v>
      </c>
      <c r="N252">
        <v>10</v>
      </c>
      <c r="O252">
        <v>12</v>
      </c>
    </row>
    <row r="253" spans="1:15" x14ac:dyDescent="0.25">
      <c r="A253">
        <v>252</v>
      </c>
      <c r="B253">
        <v>256</v>
      </c>
      <c r="C253" t="s">
        <v>889</v>
      </c>
      <c r="D253" t="s">
        <v>890</v>
      </c>
      <c r="E253" s="1">
        <v>44985.40625</v>
      </c>
      <c r="F253" t="s">
        <v>891</v>
      </c>
      <c r="G253" t="s">
        <v>32</v>
      </c>
      <c r="H253" t="s">
        <v>892</v>
      </c>
      <c r="I253">
        <v>20</v>
      </c>
      <c r="J253">
        <v>40</v>
      </c>
      <c r="K253" t="s">
        <v>99</v>
      </c>
      <c r="L253">
        <v>2023</v>
      </c>
      <c r="M253">
        <v>2</v>
      </c>
      <c r="N253">
        <v>28</v>
      </c>
      <c r="O253">
        <v>9</v>
      </c>
    </row>
    <row r="254" spans="1:15" x14ac:dyDescent="0.25">
      <c r="A254">
        <v>253</v>
      </c>
      <c r="B254">
        <v>257</v>
      </c>
      <c r="C254" t="s">
        <v>893</v>
      </c>
      <c r="D254" t="s">
        <v>894</v>
      </c>
      <c r="E254" s="1">
        <v>43193.59375</v>
      </c>
      <c r="F254" t="s">
        <v>895</v>
      </c>
      <c r="G254" t="s">
        <v>27</v>
      </c>
      <c r="H254" t="s">
        <v>896</v>
      </c>
      <c r="I254">
        <v>15</v>
      </c>
      <c r="J254">
        <v>30</v>
      </c>
      <c r="K254" t="s">
        <v>110</v>
      </c>
      <c r="L254">
        <v>2018</v>
      </c>
      <c r="M254">
        <v>4</v>
      </c>
      <c r="N254">
        <v>3</v>
      </c>
      <c r="O254">
        <v>14</v>
      </c>
    </row>
    <row r="255" spans="1:15" x14ac:dyDescent="0.25">
      <c r="A255">
        <v>254</v>
      </c>
      <c r="B255">
        <v>258</v>
      </c>
      <c r="C255" t="s">
        <v>897</v>
      </c>
      <c r="D255" t="s">
        <v>898</v>
      </c>
      <c r="E255" s="1">
        <v>44732.4375</v>
      </c>
      <c r="F255" t="s">
        <v>899</v>
      </c>
      <c r="G255" t="s">
        <v>875</v>
      </c>
      <c r="H255" t="s">
        <v>900</v>
      </c>
      <c r="I255">
        <v>18</v>
      </c>
      <c r="J255">
        <v>36</v>
      </c>
      <c r="K255" t="s">
        <v>39</v>
      </c>
      <c r="L255">
        <v>2022</v>
      </c>
      <c r="M255">
        <v>6</v>
      </c>
      <c r="N255">
        <v>20</v>
      </c>
      <c r="O255">
        <v>10</v>
      </c>
    </row>
    <row r="256" spans="1:15" x14ac:dyDescent="0.25">
      <c r="A256">
        <v>255</v>
      </c>
      <c r="B256">
        <v>259</v>
      </c>
      <c r="C256" t="s">
        <v>901</v>
      </c>
      <c r="D256" t="s">
        <v>902</v>
      </c>
      <c r="E256" s="1">
        <v>44020.75</v>
      </c>
      <c r="F256" t="s">
        <v>903</v>
      </c>
      <c r="G256" t="s">
        <v>32</v>
      </c>
      <c r="H256" t="s">
        <v>904</v>
      </c>
      <c r="I256">
        <v>22</v>
      </c>
      <c r="J256">
        <v>44</v>
      </c>
      <c r="K256" t="s">
        <v>124</v>
      </c>
      <c r="L256">
        <v>2020</v>
      </c>
      <c r="M256">
        <v>7</v>
      </c>
      <c r="N256">
        <v>8</v>
      </c>
      <c r="O256">
        <v>18</v>
      </c>
    </row>
    <row r="257" spans="1:15" x14ac:dyDescent="0.25">
      <c r="A257">
        <v>256</v>
      </c>
      <c r="B257">
        <v>260</v>
      </c>
      <c r="C257" t="s">
        <v>905</v>
      </c>
      <c r="D257" t="s">
        <v>906</v>
      </c>
      <c r="E257" s="1">
        <v>44423.465277777781</v>
      </c>
      <c r="F257" t="s">
        <v>907</v>
      </c>
      <c r="G257" t="s">
        <v>27</v>
      </c>
      <c r="H257" t="s">
        <v>908</v>
      </c>
      <c r="I257">
        <v>20</v>
      </c>
      <c r="J257">
        <v>40</v>
      </c>
      <c r="K257" t="s">
        <v>165</v>
      </c>
      <c r="L257">
        <v>2021</v>
      </c>
      <c r="M257">
        <v>8</v>
      </c>
      <c r="N257">
        <v>15</v>
      </c>
      <c r="O257">
        <v>11</v>
      </c>
    </row>
    <row r="258" spans="1:15" x14ac:dyDescent="0.25">
      <c r="A258">
        <v>257</v>
      </c>
      <c r="B258">
        <v>261</v>
      </c>
      <c r="C258" t="s">
        <v>909</v>
      </c>
      <c r="D258" t="s">
        <v>910</v>
      </c>
      <c r="E258" s="1">
        <v>43763.701388888891</v>
      </c>
      <c r="F258" t="s">
        <v>911</v>
      </c>
      <c r="G258" t="s">
        <v>875</v>
      </c>
      <c r="H258" t="s">
        <v>912</v>
      </c>
      <c r="I258">
        <v>15</v>
      </c>
      <c r="J258">
        <v>30</v>
      </c>
      <c r="K258" t="s">
        <v>110</v>
      </c>
      <c r="L258">
        <v>2019</v>
      </c>
      <c r="M258">
        <v>10</v>
      </c>
      <c r="N258">
        <v>25</v>
      </c>
      <c r="O258">
        <v>16</v>
      </c>
    </row>
    <row r="259" spans="1:15" x14ac:dyDescent="0.25">
      <c r="A259">
        <v>258</v>
      </c>
      <c r="B259">
        <v>262</v>
      </c>
      <c r="C259" t="s">
        <v>913</v>
      </c>
      <c r="D259" t="s">
        <v>882</v>
      </c>
      <c r="E259" s="1">
        <v>45204.3125</v>
      </c>
      <c r="F259" t="s">
        <v>914</v>
      </c>
      <c r="G259" t="s">
        <v>32</v>
      </c>
      <c r="H259" t="s">
        <v>915</v>
      </c>
      <c r="I259">
        <v>12</v>
      </c>
      <c r="J259">
        <v>24</v>
      </c>
      <c r="K259" t="s">
        <v>99</v>
      </c>
      <c r="L259">
        <v>2023</v>
      </c>
      <c r="M259">
        <v>10</v>
      </c>
      <c r="N259">
        <v>5</v>
      </c>
      <c r="O259">
        <v>7</v>
      </c>
    </row>
    <row r="260" spans="1:15" x14ac:dyDescent="0.25">
      <c r="A260">
        <v>259</v>
      </c>
      <c r="B260">
        <v>263</v>
      </c>
      <c r="C260" t="s">
        <v>916</v>
      </c>
      <c r="D260" t="s">
        <v>917</v>
      </c>
      <c r="E260" s="1">
        <v>44607.552083333336</v>
      </c>
      <c r="F260" t="s">
        <v>918</v>
      </c>
      <c r="G260" t="s">
        <v>27</v>
      </c>
      <c r="H260" t="s">
        <v>919</v>
      </c>
      <c r="I260">
        <v>25</v>
      </c>
      <c r="J260">
        <v>50</v>
      </c>
      <c r="K260" t="s">
        <v>39</v>
      </c>
      <c r="L260">
        <v>2022</v>
      </c>
      <c r="M260">
        <v>2</v>
      </c>
      <c r="N260">
        <v>15</v>
      </c>
      <c r="O260">
        <v>13</v>
      </c>
    </row>
    <row r="261" spans="1:15" x14ac:dyDescent="0.25">
      <c r="A261">
        <v>260</v>
      </c>
      <c r="B261">
        <v>264</v>
      </c>
      <c r="C261" t="s">
        <v>920</v>
      </c>
      <c r="D261" t="s">
        <v>921</v>
      </c>
      <c r="E261" s="1">
        <v>44324.916666666664</v>
      </c>
      <c r="F261" t="s">
        <v>922</v>
      </c>
      <c r="G261" t="s">
        <v>875</v>
      </c>
      <c r="H261" t="s">
        <v>923</v>
      </c>
      <c r="I261">
        <v>13</v>
      </c>
      <c r="J261">
        <v>26</v>
      </c>
      <c r="K261" t="s">
        <v>124</v>
      </c>
      <c r="L261">
        <v>2021</v>
      </c>
      <c r="M261">
        <v>5</v>
      </c>
      <c r="N261">
        <v>8</v>
      </c>
      <c r="O261">
        <v>22</v>
      </c>
    </row>
    <row r="262" spans="1:15" x14ac:dyDescent="0.25">
      <c r="A262">
        <v>261</v>
      </c>
      <c r="B262">
        <v>265</v>
      </c>
      <c r="C262" t="s">
        <v>924</v>
      </c>
      <c r="D262" t="s">
        <v>925</v>
      </c>
      <c r="E262" s="1">
        <v>44164.614583333336</v>
      </c>
      <c r="F262" t="s">
        <v>926</v>
      </c>
      <c r="G262" t="s">
        <v>27</v>
      </c>
      <c r="H262" t="s">
        <v>927</v>
      </c>
      <c r="I262">
        <v>17</v>
      </c>
      <c r="J262">
        <v>34</v>
      </c>
      <c r="K262" t="s">
        <v>99</v>
      </c>
      <c r="L262">
        <v>2020</v>
      </c>
      <c r="M262">
        <v>11</v>
      </c>
      <c r="N262">
        <v>29</v>
      </c>
      <c r="O262">
        <v>14</v>
      </c>
    </row>
    <row r="263" spans="1:15" x14ac:dyDescent="0.25">
      <c r="A263">
        <v>262</v>
      </c>
      <c r="B263">
        <v>266</v>
      </c>
      <c r="C263" t="s">
        <v>928</v>
      </c>
      <c r="D263" t="s">
        <v>929</v>
      </c>
      <c r="E263" s="1">
        <v>43722.430555555555</v>
      </c>
      <c r="F263" t="s">
        <v>930</v>
      </c>
      <c r="G263" t="s">
        <v>32</v>
      </c>
      <c r="H263" t="s">
        <v>931</v>
      </c>
      <c r="I263">
        <v>14</v>
      </c>
      <c r="J263">
        <v>28</v>
      </c>
      <c r="K263" t="s">
        <v>110</v>
      </c>
      <c r="L263">
        <v>2019</v>
      </c>
      <c r="M263">
        <v>9</v>
      </c>
      <c r="N263">
        <v>14</v>
      </c>
      <c r="O263">
        <v>10</v>
      </c>
    </row>
    <row r="264" spans="1:15" x14ac:dyDescent="0.25">
      <c r="A264">
        <v>263</v>
      </c>
      <c r="B264">
        <v>267</v>
      </c>
      <c r="C264" t="s">
        <v>932</v>
      </c>
      <c r="D264" t="s">
        <v>890</v>
      </c>
      <c r="E264" s="1">
        <v>44632.829861111109</v>
      </c>
      <c r="F264" t="s">
        <v>933</v>
      </c>
      <c r="G264" t="s">
        <v>875</v>
      </c>
      <c r="H264" t="s">
        <v>934</v>
      </c>
      <c r="I264">
        <v>19</v>
      </c>
      <c r="J264">
        <v>38</v>
      </c>
      <c r="K264" t="s">
        <v>39</v>
      </c>
      <c r="L264">
        <v>2022</v>
      </c>
      <c r="M264">
        <v>3</v>
      </c>
      <c r="N264">
        <v>12</v>
      </c>
      <c r="O264">
        <v>19</v>
      </c>
    </row>
    <row r="265" spans="1:15" x14ac:dyDescent="0.25">
      <c r="A265">
        <v>264</v>
      </c>
      <c r="B265">
        <v>268</v>
      </c>
      <c r="C265" t="s">
        <v>935</v>
      </c>
      <c r="D265" t="s">
        <v>873</v>
      </c>
      <c r="E265" s="1">
        <v>45015.6875</v>
      </c>
      <c r="F265" t="s">
        <v>936</v>
      </c>
      <c r="G265" t="s">
        <v>27</v>
      </c>
      <c r="H265" t="s">
        <v>937</v>
      </c>
      <c r="I265">
        <v>16</v>
      </c>
      <c r="J265">
        <v>32</v>
      </c>
      <c r="K265" t="s">
        <v>165</v>
      </c>
      <c r="L265">
        <v>2023</v>
      </c>
      <c r="M265">
        <v>3</v>
      </c>
      <c r="N265">
        <v>30</v>
      </c>
      <c r="O265">
        <v>16</v>
      </c>
    </row>
    <row r="266" spans="1:15" x14ac:dyDescent="0.25">
      <c r="A266">
        <v>265</v>
      </c>
      <c r="B266">
        <v>269</v>
      </c>
      <c r="C266" t="s">
        <v>938</v>
      </c>
      <c r="D266" t="s">
        <v>898</v>
      </c>
      <c r="E266" s="1">
        <v>44378.506944444445</v>
      </c>
      <c r="F266" t="s">
        <v>939</v>
      </c>
      <c r="G266" t="s">
        <v>32</v>
      </c>
      <c r="H266" t="s">
        <v>940</v>
      </c>
      <c r="I266">
        <v>21</v>
      </c>
      <c r="J266">
        <v>42</v>
      </c>
      <c r="K266" t="s">
        <v>124</v>
      </c>
      <c r="L266">
        <v>2021</v>
      </c>
      <c r="M266">
        <v>7</v>
      </c>
      <c r="N266">
        <v>1</v>
      </c>
      <c r="O266">
        <v>12</v>
      </c>
    </row>
    <row r="267" spans="1:15" x14ac:dyDescent="0.25">
      <c r="A267">
        <v>266</v>
      </c>
      <c r="B267">
        <v>270</v>
      </c>
      <c r="C267" t="s">
        <v>941</v>
      </c>
      <c r="D267" t="s">
        <v>886</v>
      </c>
      <c r="E267" s="1">
        <v>43835.364583333336</v>
      </c>
      <c r="F267" t="s">
        <v>942</v>
      </c>
      <c r="G267" t="s">
        <v>875</v>
      </c>
      <c r="H267" t="s">
        <v>943</v>
      </c>
      <c r="I267">
        <v>23</v>
      </c>
      <c r="J267">
        <v>46</v>
      </c>
      <c r="K267" t="s">
        <v>99</v>
      </c>
      <c r="L267">
        <v>2020</v>
      </c>
      <c r="M267">
        <v>1</v>
      </c>
      <c r="N267">
        <v>5</v>
      </c>
      <c r="O267">
        <v>8</v>
      </c>
    </row>
    <row r="268" spans="1:15" x14ac:dyDescent="0.25">
      <c r="A268">
        <v>267</v>
      </c>
      <c r="B268">
        <v>271</v>
      </c>
      <c r="C268" t="s">
        <v>944</v>
      </c>
      <c r="D268" t="s">
        <v>882</v>
      </c>
      <c r="E268" s="1">
        <v>44759.260416666664</v>
      </c>
      <c r="F268" t="s">
        <v>945</v>
      </c>
      <c r="G268" t="s">
        <v>27</v>
      </c>
      <c r="H268" t="s">
        <v>946</v>
      </c>
      <c r="I268">
        <v>14</v>
      </c>
      <c r="J268">
        <v>28</v>
      </c>
      <c r="K268" t="s">
        <v>110</v>
      </c>
      <c r="L268">
        <v>2022</v>
      </c>
      <c r="M268">
        <v>7</v>
      </c>
      <c r="N268">
        <v>17</v>
      </c>
      <c r="O268">
        <v>6</v>
      </c>
    </row>
    <row r="269" spans="1:15" x14ac:dyDescent="0.25">
      <c r="A269">
        <v>268</v>
      </c>
      <c r="B269">
        <v>272</v>
      </c>
      <c r="C269" t="s">
        <v>947</v>
      </c>
      <c r="D269" t="s">
        <v>902</v>
      </c>
      <c r="E269" s="1">
        <v>43334.722222222219</v>
      </c>
      <c r="F269" t="s">
        <v>948</v>
      </c>
      <c r="G269" t="s">
        <v>32</v>
      </c>
      <c r="H269" t="s">
        <v>949</v>
      </c>
      <c r="I269">
        <v>24</v>
      </c>
      <c r="J269">
        <v>48</v>
      </c>
      <c r="K269" t="s">
        <v>39</v>
      </c>
      <c r="L269">
        <v>2018</v>
      </c>
      <c r="M269">
        <v>8</v>
      </c>
      <c r="N269">
        <v>22</v>
      </c>
      <c r="O269">
        <v>17</v>
      </c>
    </row>
    <row r="270" spans="1:15" x14ac:dyDescent="0.25">
      <c r="A270">
        <v>269</v>
      </c>
      <c r="B270">
        <v>273</v>
      </c>
      <c r="C270" t="s">
        <v>950</v>
      </c>
      <c r="D270" t="s">
        <v>910</v>
      </c>
      <c r="E270" s="1">
        <v>44538.604166666664</v>
      </c>
      <c r="F270" t="s">
        <v>951</v>
      </c>
      <c r="G270" t="s">
        <v>875</v>
      </c>
      <c r="H270" t="s">
        <v>952</v>
      </c>
      <c r="I270">
        <v>18</v>
      </c>
      <c r="J270">
        <v>36</v>
      </c>
      <c r="K270" t="s">
        <v>165</v>
      </c>
      <c r="L270">
        <v>2021</v>
      </c>
      <c r="M270">
        <v>12</v>
      </c>
      <c r="N270">
        <v>8</v>
      </c>
      <c r="O270">
        <v>14</v>
      </c>
    </row>
    <row r="271" spans="1:15" x14ac:dyDescent="0.25">
      <c r="A271">
        <v>270</v>
      </c>
      <c r="B271">
        <v>274</v>
      </c>
      <c r="C271" t="s">
        <v>953</v>
      </c>
      <c r="D271" t="s">
        <v>878</v>
      </c>
      <c r="E271" s="1">
        <v>43582.409722222219</v>
      </c>
      <c r="F271" t="s">
        <v>954</v>
      </c>
      <c r="G271" t="s">
        <v>27</v>
      </c>
      <c r="H271" t="s">
        <v>955</v>
      </c>
      <c r="I271">
        <v>20</v>
      </c>
      <c r="J271">
        <v>40</v>
      </c>
      <c r="K271" t="s">
        <v>124</v>
      </c>
      <c r="L271">
        <v>2019</v>
      </c>
      <c r="M271">
        <v>4</v>
      </c>
      <c r="N271">
        <v>27</v>
      </c>
      <c r="O271">
        <v>9</v>
      </c>
    </row>
    <row r="272" spans="1:15" x14ac:dyDescent="0.25">
      <c r="A272">
        <v>271</v>
      </c>
      <c r="B272">
        <v>275</v>
      </c>
      <c r="C272" t="s">
        <v>956</v>
      </c>
      <c r="D272" t="s">
        <v>894</v>
      </c>
      <c r="E272" s="1">
        <v>45172.902777777781</v>
      </c>
      <c r="F272" t="s">
        <v>957</v>
      </c>
      <c r="G272" t="s">
        <v>32</v>
      </c>
      <c r="H272" t="s">
        <v>958</v>
      </c>
      <c r="I272">
        <v>16</v>
      </c>
      <c r="J272">
        <v>32</v>
      </c>
      <c r="K272" t="s">
        <v>99</v>
      </c>
      <c r="L272">
        <v>2023</v>
      </c>
      <c r="M272">
        <v>9</v>
      </c>
      <c r="N272">
        <v>3</v>
      </c>
      <c r="O272">
        <v>21</v>
      </c>
    </row>
    <row r="273" spans="1:15" x14ac:dyDescent="0.25">
      <c r="A273">
        <v>272</v>
      </c>
      <c r="B273">
        <v>276</v>
      </c>
      <c r="C273" t="s">
        <v>959</v>
      </c>
      <c r="D273" t="s">
        <v>906</v>
      </c>
      <c r="E273" s="1">
        <v>43992.420138888891</v>
      </c>
      <c r="F273" t="s">
        <v>960</v>
      </c>
      <c r="G273" t="s">
        <v>875</v>
      </c>
      <c r="H273" t="s">
        <v>961</v>
      </c>
      <c r="I273">
        <v>22</v>
      </c>
      <c r="J273">
        <v>44</v>
      </c>
      <c r="K273" t="s">
        <v>110</v>
      </c>
      <c r="L273">
        <v>2020</v>
      </c>
      <c r="M273">
        <v>6</v>
      </c>
      <c r="N273">
        <v>10</v>
      </c>
      <c r="O273">
        <v>10</v>
      </c>
    </row>
    <row r="274" spans="1:15" x14ac:dyDescent="0.25">
      <c r="A274">
        <v>273</v>
      </c>
      <c r="B274">
        <v>277</v>
      </c>
      <c r="C274" t="s">
        <v>962</v>
      </c>
      <c r="D274" t="s">
        <v>890</v>
      </c>
      <c r="E274" s="1">
        <v>44652.770833333336</v>
      </c>
      <c r="F274" t="s">
        <v>963</v>
      </c>
      <c r="G274" t="s">
        <v>27</v>
      </c>
      <c r="H274" t="s">
        <v>964</v>
      </c>
      <c r="I274">
        <v>19</v>
      </c>
      <c r="J274">
        <v>38</v>
      </c>
      <c r="K274" t="s">
        <v>39</v>
      </c>
      <c r="L274">
        <v>2022</v>
      </c>
      <c r="M274">
        <v>4</v>
      </c>
      <c r="N274">
        <v>1</v>
      </c>
      <c r="O274">
        <v>18</v>
      </c>
    </row>
    <row r="275" spans="1:15" x14ac:dyDescent="0.25">
      <c r="A275">
        <v>274</v>
      </c>
      <c r="B275">
        <v>278</v>
      </c>
      <c r="C275" t="s">
        <v>965</v>
      </c>
      <c r="D275" t="s">
        <v>917</v>
      </c>
      <c r="E275" s="1">
        <v>44211.541666666664</v>
      </c>
      <c r="F275" t="s">
        <v>966</v>
      </c>
      <c r="G275" t="s">
        <v>32</v>
      </c>
      <c r="H275" t="s">
        <v>967</v>
      </c>
      <c r="I275">
        <v>23</v>
      </c>
      <c r="J275">
        <v>46</v>
      </c>
      <c r="K275" t="s">
        <v>124</v>
      </c>
      <c r="L275">
        <v>2021</v>
      </c>
      <c r="M275">
        <v>1</v>
      </c>
      <c r="N275">
        <v>15</v>
      </c>
      <c r="O275">
        <v>13</v>
      </c>
    </row>
    <row r="276" spans="1:15" x14ac:dyDescent="0.25">
      <c r="A276">
        <v>275</v>
      </c>
      <c r="B276">
        <v>279</v>
      </c>
      <c r="C276" t="s">
        <v>968</v>
      </c>
      <c r="D276" t="s">
        <v>882</v>
      </c>
      <c r="E276" s="1">
        <v>45052.305555555555</v>
      </c>
      <c r="F276" t="s">
        <v>969</v>
      </c>
      <c r="G276" t="s">
        <v>875</v>
      </c>
      <c r="H276" t="s">
        <v>970</v>
      </c>
      <c r="I276">
        <v>15</v>
      </c>
      <c r="J276">
        <v>30</v>
      </c>
      <c r="K276" t="s">
        <v>165</v>
      </c>
      <c r="L276">
        <v>2023</v>
      </c>
      <c r="M276">
        <v>5</v>
      </c>
      <c r="N276">
        <v>6</v>
      </c>
      <c r="O276">
        <v>7</v>
      </c>
    </row>
    <row r="277" spans="1:15" x14ac:dyDescent="0.25">
      <c r="A277">
        <v>276</v>
      </c>
      <c r="B277">
        <v>280</v>
      </c>
      <c r="C277" t="s">
        <v>971</v>
      </c>
      <c r="D277" t="s">
        <v>902</v>
      </c>
      <c r="E277" s="1">
        <v>43787.635416666664</v>
      </c>
      <c r="F277" t="s">
        <v>972</v>
      </c>
      <c r="G277" t="s">
        <v>27</v>
      </c>
      <c r="H277" t="s">
        <v>973</v>
      </c>
      <c r="I277">
        <v>25</v>
      </c>
      <c r="J277">
        <v>50</v>
      </c>
      <c r="K277" t="s">
        <v>99</v>
      </c>
      <c r="L277">
        <v>2019</v>
      </c>
      <c r="M277">
        <v>11</v>
      </c>
      <c r="N277">
        <v>18</v>
      </c>
      <c r="O277">
        <v>15</v>
      </c>
    </row>
    <row r="278" spans="1:15" x14ac:dyDescent="0.25">
      <c r="A278">
        <v>277</v>
      </c>
      <c r="B278">
        <v>281</v>
      </c>
      <c r="C278" t="s">
        <v>974</v>
      </c>
      <c r="D278" t="s">
        <v>910</v>
      </c>
      <c r="E278" s="1">
        <v>44072.864583333336</v>
      </c>
      <c r="F278" t="s">
        <v>975</v>
      </c>
      <c r="G278" t="s">
        <v>32</v>
      </c>
      <c r="H278" t="s">
        <v>976</v>
      </c>
      <c r="I278">
        <v>14</v>
      </c>
      <c r="J278">
        <v>28</v>
      </c>
      <c r="K278" t="s">
        <v>110</v>
      </c>
      <c r="L278">
        <v>2020</v>
      </c>
      <c r="M278">
        <v>8</v>
      </c>
      <c r="N278">
        <v>29</v>
      </c>
      <c r="O278">
        <v>20</v>
      </c>
    </row>
    <row r="279" spans="1:15" x14ac:dyDescent="0.25">
      <c r="A279">
        <v>278</v>
      </c>
      <c r="B279">
        <v>282</v>
      </c>
      <c r="C279" t="s">
        <v>977</v>
      </c>
      <c r="D279" t="s">
        <v>882</v>
      </c>
      <c r="E279" s="1">
        <v>44864.486111111109</v>
      </c>
      <c r="F279" t="s">
        <v>978</v>
      </c>
      <c r="G279" t="s">
        <v>875</v>
      </c>
      <c r="H279" t="s">
        <v>979</v>
      </c>
      <c r="I279">
        <v>17</v>
      </c>
      <c r="J279">
        <v>34</v>
      </c>
      <c r="K279" t="s">
        <v>39</v>
      </c>
      <c r="L279">
        <v>2022</v>
      </c>
      <c r="M279">
        <v>10</v>
      </c>
      <c r="N279">
        <v>30</v>
      </c>
      <c r="O279">
        <v>11</v>
      </c>
    </row>
    <row r="280" spans="1:15" x14ac:dyDescent="0.25">
      <c r="A280">
        <v>279</v>
      </c>
      <c r="B280">
        <v>283</v>
      </c>
      <c r="C280" t="s">
        <v>938</v>
      </c>
      <c r="D280" t="s">
        <v>898</v>
      </c>
      <c r="E280" s="1">
        <v>44378.506944444445</v>
      </c>
      <c r="F280" t="s">
        <v>939</v>
      </c>
      <c r="G280" t="s">
        <v>27</v>
      </c>
      <c r="H280" t="s">
        <v>940</v>
      </c>
      <c r="I280">
        <v>21</v>
      </c>
      <c r="J280">
        <v>42</v>
      </c>
      <c r="K280" t="s">
        <v>124</v>
      </c>
      <c r="L280">
        <v>2021</v>
      </c>
      <c r="M280">
        <v>7</v>
      </c>
      <c r="N280">
        <v>1</v>
      </c>
      <c r="O280">
        <v>12</v>
      </c>
    </row>
    <row r="281" spans="1:15" x14ac:dyDescent="0.25">
      <c r="A281">
        <v>280</v>
      </c>
      <c r="B281">
        <v>284</v>
      </c>
      <c r="C281" t="s">
        <v>941</v>
      </c>
      <c r="D281" t="s">
        <v>886</v>
      </c>
      <c r="E281" s="1">
        <v>43835.364583333336</v>
      </c>
      <c r="F281" t="s">
        <v>942</v>
      </c>
      <c r="G281" t="s">
        <v>875</v>
      </c>
      <c r="H281" t="s">
        <v>943</v>
      </c>
      <c r="I281">
        <v>23</v>
      </c>
      <c r="J281">
        <v>46</v>
      </c>
      <c r="K281" t="s">
        <v>99</v>
      </c>
      <c r="L281">
        <v>2020</v>
      </c>
      <c r="M281">
        <v>1</v>
      </c>
      <c r="N281">
        <v>5</v>
      </c>
      <c r="O281">
        <v>8</v>
      </c>
    </row>
    <row r="282" spans="1:15" x14ac:dyDescent="0.25">
      <c r="A282">
        <v>281</v>
      </c>
      <c r="B282">
        <v>285</v>
      </c>
      <c r="C282" t="s">
        <v>944</v>
      </c>
      <c r="D282" t="s">
        <v>882</v>
      </c>
      <c r="E282" s="1">
        <v>44759.260416666664</v>
      </c>
      <c r="F282" t="s">
        <v>945</v>
      </c>
      <c r="G282" t="s">
        <v>27</v>
      </c>
      <c r="H282" t="s">
        <v>946</v>
      </c>
      <c r="I282">
        <v>14</v>
      </c>
      <c r="J282">
        <v>28</v>
      </c>
      <c r="K282" t="s">
        <v>110</v>
      </c>
      <c r="L282">
        <v>2022</v>
      </c>
      <c r="M282">
        <v>7</v>
      </c>
      <c r="N282">
        <v>17</v>
      </c>
      <c r="O282">
        <v>6</v>
      </c>
    </row>
    <row r="283" spans="1:15" x14ac:dyDescent="0.25">
      <c r="A283">
        <v>282</v>
      </c>
      <c r="B283">
        <v>286</v>
      </c>
      <c r="C283" t="s">
        <v>947</v>
      </c>
      <c r="D283" t="s">
        <v>902</v>
      </c>
      <c r="E283" s="1">
        <v>43334.722222222219</v>
      </c>
      <c r="F283" t="s">
        <v>948</v>
      </c>
      <c r="G283" t="s">
        <v>32</v>
      </c>
      <c r="H283" t="s">
        <v>949</v>
      </c>
      <c r="I283">
        <v>24</v>
      </c>
      <c r="J283">
        <v>48</v>
      </c>
      <c r="K283" t="s">
        <v>39</v>
      </c>
      <c r="L283">
        <v>2018</v>
      </c>
      <c r="M283">
        <v>8</v>
      </c>
      <c r="N283">
        <v>22</v>
      </c>
      <c r="O283">
        <v>17</v>
      </c>
    </row>
    <row r="284" spans="1:15" x14ac:dyDescent="0.25">
      <c r="A284">
        <v>283</v>
      </c>
      <c r="B284">
        <v>287</v>
      </c>
      <c r="C284" t="s">
        <v>950</v>
      </c>
      <c r="D284" t="s">
        <v>910</v>
      </c>
      <c r="E284" s="1">
        <v>44538.604166666664</v>
      </c>
      <c r="F284" t="s">
        <v>951</v>
      </c>
      <c r="G284" t="s">
        <v>875</v>
      </c>
      <c r="H284" t="s">
        <v>952</v>
      </c>
      <c r="I284">
        <v>18</v>
      </c>
      <c r="J284">
        <v>36</v>
      </c>
      <c r="K284" t="s">
        <v>165</v>
      </c>
      <c r="L284">
        <v>2021</v>
      </c>
      <c r="M284">
        <v>12</v>
      </c>
      <c r="N284">
        <v>8</v>
      </c>
      <c r="O284">
        <v>14</v>
      </c>
    </row>
    <row r="285" spans="1:15" x14ac:dyDescent="0.25">
      <c r="A285">
        <v>284</v>
      </c>
      <c r="B285">
        <v>288</v>
      </c>
      <c r="C285" t="s">
        <v>953</v>
      </c>
      <c r="D285" t="s">
        <v>878</v>
      </c>
      <c r="E285" s="1">
        <v>43582.409722222219</v>
      </c>
      <c r="F285" t="s">
        <v>954</v>
      </c>
      <c r="G285" t="s">
        <v>27</v>
      </c>
      <c r="H285" t="s">
        <v>955</v>
      </c>
      <c r="I285">
        <v>20</v>
      </c>
      <c r="J285">
        <v>40</v>
      </c>
      <c r="K285" t="s">
        <v>124</v>
      </c>
      <c r="L285">
        <v>2019</v>
      </c>
      <c r="M285">
        <v>4</v>
      </c>
      <c r="N285">
        <v>27</v>
      </c>
      <c r="O285">
        <v>9</v>
      </c>
    </row>
    <row r="286" spans="1:15" x14ac:dyDescent="0.25">
      <c r="A286">
        <v>285</v>
      </c>
      <c r="B286">
        <v>289</v>
      </c>
      <c r="C286" t="s">
        <v>956</v>
      </c>
      <c r="D286" t="s">
        <v>894</v>
      </c>
      <c r="E286" s="1">
        <v>45172.902777777781</v>
      </c>
      <c r="F286" t="s">
        <v>957</v>
      </c>
      <c r="G286" t="s">
        <v>32</v>
      </c>
      <c r="H286" t="s">
        <v>958</v>
      </c>
      <c r="I286">
        <v>16</v>
      </c>
      <c r="J286">
        <v>32</v>
      </c>
      <c r="K286" t="s">
        <v>99</v>
      </c>
      <c r="L286">
        <v>2023</v>
      </c>
      <c r="M286">
        <v>9</v>
      </c>
      <c r="N286">
        <v>3</v>
      </c>
      <c r="O286">
        <v>21</v>
      </c>
    </row>
    <row r="287" spans="1:15" x14ac:dyDescent="0.25">
      <c r="A287">
        <v>286</v>
      </c>
      <c r="B287">
        <v>290</v>
      </c>
      <c r="C287" t="s">
        <v>959</v>
      </c>
      <c r="D287" t="s">
        <v>906</v>
      </c>
      <c r="E287" s="1">
        <v>43992.420138888891</v>
      </c>
      <c r="F287" t="s">
        <v>960</v>
      </c>
      <c r="G287" t="s">
        <v>875</v>
      </c>
      <c r="H287" t="s">
        <v>961</v>
      </c>
      <c r="I287">
        <v>22</v>
      </c>
      <c r="J287">
        <v>44</v>
      </c>
      <c r="K287" t="s">
        <v>110</v>
      </c>
      <c r="L287">
        <v>2020</v>
      </c>
      <c r="M287">
        <v>6</v>
      </c>
      <c r="N287">
        <v>10</v>
      </c>
      <c r="O287">
        <v>10</v>
      </c>
    </row>
    <row r="288" spans="1:15" x14ac:dyDescent="0.25">
      <c r="A288">
        <v>287</v>
      </c>
      <c r="B288">
        <v>291</v>
      </c>
      <c r="C288" t="s">
        <v>962</v>
      </c>
      <c r="D288" t="s">
        <v>890</v>
      </c>
      <c r="E288" s="1">
        <v>44652.770833333336</v>
      </c>
      <c r="F288" t="s">
        <v>963</v>
      </c>
      <c r="G288" t="s">
        <v>27</v>
      </c>
      <c r="H288" t="s">
        <v>964</v>
      </c>
      <c r="I288">
        <v>19</v>
      </c>
      <c r="J288">
        <v>38</v>
      </c>
      <c r="K288" t="s">
        <v>39</v>
      </c>
      <c r="L288">
        <v>2022</v>
      </c>
      <c r="M288">
        <v>4</v>
      </c>
      <c r="N288">
        <v>1</v>
      </c>
      <c r="O288">
        <v>18</v>
      </c>
    </row>
    <row r="289" spans="1:15" x14ac:dyDescent="0.25">
      <c r="A289">
        <v>288</v>
      </c>
      <c r="B289">
        <v>292</v>
      </c>
      <c r="C289" t="s">
        <v>965</v>
      </c>
      <c r="D289" t="s">
        <v>917</v>
      </c>
      <c r="E289" s="1">
        <v>44211.541666666664</v>
      </c>
      <c r="F289" t="s">
        <v>966</v>
      </c>
      <c r="G289" t="s">
        <v>32</v>
      </c>
      <c r="H289" t="s">
        <v>967</v>
      </c>
      <c r="I289">
        <v>23</v>
      </c>
      <c r="J289">
        <v>46</v>
      </c>
      <c r="K289" t="s">
        <v>124</v>
      </c>
      <c r="L289">
        <v>2021</v>
      </c>
      <c r="M289">
        <v>1</v>
      </c>
      <c r="N289">
        <v>15</v>
      </c>
      <c r="O289">
        <v>13</v>
      </c>
    </row>
    <row r="290" spans="1:15" x14ac:dyDescent="0.25">
      <c r="A290">
        <v>289</v>
      </c>
      <c r="B290">
        <v>293</v>
      </c>
      <c r="C290" t="s">
        <v>968</v>
      </c>
      <c r="D290" t="s">
        <v>882</v>
      </c>
      <c r="E290" s="1">
        <v>45052.305555555555</v>
      </c>
      <c r="F290" t="s">
        <v>969</v>
      </c>
      <c r="G290" t="s">
        <v>875</v>
      </c>
      <c r="H290" t="s">
        <v>970</v>
      </c>
      <c r="I290">
        <v>15</v>
      </c>
      <c r="J290">
        <v>30</v>
      </c>
      <c r="K290" t="s">
        <v>165</v>
      </c>
      <c r="L290">
        <v>2023</v>
      </c>
      <c r="M290">
        <v>5</v>
      </c>
      <c r="N290">
        <v>6</v>
      </c>
      <c r="O290">
        <v>7</v>
      </c>
    </row>
    <row r="291" spans="1:15" x14ac:dyDescent="0.25">
      <c r="A291">
        <v>290</v>
      </c>
      <c r="B291">
        <v>294</v>
      </c>
      <c r="C291" t="s">
        <v>971</v>
      </c>
      <c r="D291" t="s">
        <v>902</v>
      </c>
      <c r="E291" s="1">
        <v>43787.635416666664</v>
      </c>
      <c r="F291" t="s">
        <v>972</v>
      </c>
      <c r="G291" t="s">
        <v>27</v>
      </c>
      <c r="H291" t="s">
        <v>973</v>
      </c>
      <c r="I291">
        <v>25</v>
      </c>
      <c r="J291">
        <v>50</v>
      </c>
      <c r="K291" t="s">
        <v>99</v>
      </c>
      <c r="L291">
        <v>2019</v>
      </c>
      <c r="M291">
        <v>11</v>
      </c>
      <c r="N291">
        <v>18</v>
      </c>
      <c r="O291">
        <v>15</v>
      </c>
    </row>
    <row r="292" spans="1:15" x14ac:dyDescent="0.25">
      <c r="A292">
        <v>291</v>
      </c>
      <c r="B292">
        <v>295</v>
      </c>
      <c r="C292" t="s">
        <v>974</v>
      </c>
      <c r="D292" t="s">
        <v>910</v>
      </c>
      <c r="E292" s="1">
        <v>44072.864583333336</v>
      </c>
      <c r="F292" t="s">
        <v>975</v>
      </c>
      <c r="G292" t="s">
        <v>32</v>
      </c>
      <c r="H292" t="s">
        <v>976</v>
      </c>
      <c r="I292">
        <v>14</v>
      </c>
      <c r="J292">
        <v>28</v>
      </c>
      <c r="K292" t="s">
        <v>110</v>
      </c>
      <c r="L292">
        <v>2020</v>
      </c>
      <c r="M292">
        <v>8</v>
      </c>
      <c r="N292">
        <v>29</v>
      </c>
      <c r="O292">
        <v>20</v>
      </c>
    </row>
    <row r="293" spans="1:15" x14ac:dyDescent="0.25">
      <c r="A293">
        <v>292</v>
      </c>
      <c r="B293">
        <v>296</v>
      </c>
      <c r="C293" t="s">
        <v>977</v>
      </c>
      <c r="D293" t="s">
        <v>882</v>
      </c>
      <c r="E293" s="1">
        <v>44864.486111111109</v>
      </c>
      <c r="F293" t="s">
        <v>978</v>
      </c>
      <c r="G293" t="s">
        <v>875</v>
      </c>
      <c r="H293" t="s">
        <v>979</v>
      </c>
      <c r="I293">
        <v>17</v>
      </c>
      <c r="J293">
        <v>34</v>
      </c>
      <c r="K293" t="s">
        <v>39</v>
      </c>
      <c r="L293">
        <v>2022</v>
      </c>
      <c r="M293">
        <v>10</v>
      </c>
      <c r="N293">
        <v>30</v>
      </c>
      <c r="O293">
        <v>11</v>
      </c>
    </row>
    <row r="294" spans="1:15" x14ac:dyDescent="0.25">
      <c r="A294">
        <v>293</v>
      </c>
      <c r="B294">
        <v>297</v>
      </c>
      <c r="C294" t="s">
        <v>938</v>
      </c>
      <c r="D294" t="s">
        <v>898</v>
      </c>
      <c r="E294" s="1">
        <v>44378.506944444445</v>
      </c>
      <c r="F294" t="s">
        <v>939</v>
      </c>
      <c r="G294" t="s">
        <v>27</v>
      </c>
      <c r="H294" t="s">
        <v>940</v>
      </c>
      <c r="I294">
        <v>21</v>
      </c>
      <c r="J294">
        <v>42</v>
      </c>
      <c r="K294" t="s">
        <v>124</v>
      </c>
      <c r="L294">
        <v>2021</v>
      </c>
      <c r="M294">
        <v>7</v>
      </c>
      <c r="N294">
        <v>1</v>
      </c>
      <c r="O294">
        <v>12</v>
      </c>
    </row>
    <row r="295" spans="1:15" x14ac:dyDescent="0.25">
      <c r="A295">
        <v>294</v>
      </c>
      <c r="B295">
        <v>298</v>
      </c>
      <c r="C295" t="s">
        <v>941</v>
      </c>
      <c r="D295" t="s">
        <v>886</v>
      </c>
      <c r="E295" s="1">
        <v>43835.364583333336</v>
      </c>
      <c r="F295" t="s">
        <v>942</v>
      </c>
      <c r="G295" t="s">
        <v>875</v>
      </c>
      <c r="H295" t="s">
        <v>943</v>
      </c>
      <c r="I295">
        <v>23</v>
      </c>
      <c r="J295">
        <v>46</v>
      </c>
      <c r="K295" t="s">
        <v>99</v>
      </c>
      <c r="L295">
        <v>2020</v>
      </c>
      <c r="M295">
        <v>1</v>
      </c>
      <c r="N295">
        <v>5</v>
      </c>
      <c r="O295">
        <v>8</v>
      </c>
    </row>
    <row r="296" spans="1:15" x14ac:dyDescent="0.25">
      <c r="A296">
        <v>295</v>
      </c>
      <c r="B296">
        <v>299</v>
      </c>
      <c r="C296" t="s">
        <v>944</v>
      </c>
      <c r="D296" t="s">
        <v>882</v>
      </c>
      <c r="E296" s="1">
        <v>44759.260416666664</v>
      </c>
      <c r="F296" t="s">
        <v>945</v>
      </c>
      <c r="G296" t="s">
        <v>27</v>
      </c>
      <c r="H296" t="s">
        <v>946</v>
      </c>
      <c r="I296">
        <v>14</v>
      </c>
      <c r="J296">
        <v>28</v>
      </c>
      <c r="K296" t="s">
        <v>165</v>
      </c>
      <c r="L296">
        <v>2022</v>
      </c>
      <c r="M296">
        <v>7</v>
      </c>
      <c r="N296">
        <v>17</v>
      </c>
      <c r="O296">
        <v>6</v>
      </c>
    </row>
    <row r="297" spans="1:15" x14ac:dyDescent="0.25">
      <c r="A297">
        <v>296</v>
      </c>
      <c r="B297">
        <v>300</v>
      </c>
      <c r="C297" t="s">
        <v>947</v>
      </c>
      <c r="D297" t="s">
        <v>902</v>
      </c>
      <c r="E297" s="1">
        <v>43334.722222222219</v>
      </c>
      <c r="F297" t="s">
        <v>948</v>
      </c>
      <c r="G297" t="s">
        <v>32</v>
      </c>
      <c r="H297" t="s">
        <v>949</v>
      </c>
      <c r="I297">
        <v>24</v>
      </c>
      <c r="J297">
        <v>48</v>
      </c>
      <c r="K297" t="s">
        <v>39</v>
      </c>
      <c r="L297">
        <v>2018</v>
      </c>
      <c r="M297">
        <v>8</v>
      </c>
      <c r="N297">
        <v>22</v>
      </c>
      <c r="O297">
        <v>17</v>
      </c>
    </row>
    <row r="298" spans="1:15" x14ac:dyDescent="0.25">
      <c r="A298">
        <v>297</v>
      </c>
      <c r="B298">
        <v>301</v>
      </c>
      <c r="C298" t="s">
        <v>980</v>
      </c>
      <c r="D298" t="s">
        <v>981</v>
      </c>
      <c r="E298" s="1">
        <v>44454.666666666664</v>
      </c>
      <c r="F298" t="s">
        <v>982</v>
      </c>
      <c r="G298" t="s">
        <v>27</v>
      </c>
      <c r="H298" t="s">
        <v>983</v>
      </c>
      <c r="I298">
        <v>8</v>
      </c>
      <c r="J298">
        <v>16</v>
      </c>
      <c r="K298" t="s">
        <v>124</v>
      </c>
      <c r="L298">
        <v>2021</v>
      </c>
      <c r="M298">
        <v>9</v>
      </c>
      <c r="N298">
        <v>15</v>
      </c>
      <c r="O298">
        <v>16</v>
      </c>
    </row>
    <row r="299" spans="1:15" x14ac:dyDescent="0.25">
      <c r="A299">
        <v>298</v>
      </c>
      <c r="B299">
        <v>302</v>
      </c>
      <c r="C299" t="s">
        <v>984</v>
      </c>
      <c r="D299" t="s">
        <v>985</v>
      </c>
      <c r="E299" s="1">
        <v>43532.597222222219</v>
      </c>
      <c r="F299" t="s">
        <v>986</v>
      </c>
      <c r="G299" t="s">
        <v>32</v>
      </c>
      <c r="H299" t="s">
        <v>987</v>
      </c>
      <c r="I299">
        <v>12</v>
      </c>
      <c r="J299">
        <v>24</v>
      </c>
      <c r="K299" t="s">
        <v>110</v>
      </c>
      <c r="L299">
        <v>2019</v>
      </c>
      <c r="M299">
        <v>3</v>
      </c>
      <c r="N299">
        <v>8</v>
      </c>
      <c r="O299">
        <v>14</v>
      </c>
    </row>
    <row r="300" spans="1:15" x14ac:dyDescent="0.25">
      <c r="A300">
        <v>299</v>
      </c>
      <c r="B300">
        <v>303</v>
      </c>
      <c r="C300" t="s">
        <v>988</v>
      </c>
      <c r="D300" t="s">
        <v>650</v>
      </c>
      <c r="E300" s="1">
        <v>42936.489583333336</v>
      </c>
      <c r="F300" t="s">
        <v>989</v>
      </c>
      <c r="G300" t="s">
        <v>875</v>
      </c>
      <c r="H300" t="s">
        <v>990</v>
      </c>
      <c r="I300">
        <v>15</v>
      </c>
      <c r="J300">
        <v>30</v>
      </c>
      <c r="K300" t="s">
        <v>99</v>
      </c>
      <c r="L300">
        <v>2017</v>
      </c>
      <c r="M300">
        <v>7</v>
      </c>
      <c r="N300">
        <v>20</v>
      </c>
      <c r="O300">
        <v>11</v>
      </c>
    </row>
    <row r="301" spans="1:15" x14ac:dyDescent="0.25">
      <c r="A301">
        <v>300</v>
      </c>
      <c r="B301">
        <v>304</v>
      </c>
      <c r="C301" t="s">
        <v>991</v>
      </c>
      <c r="D301" t="s">
        <v>992</v>
      </c>
      <c r="E301" s="1">
        <v>44137.8125</v>
      </c>
      <c r="F301" t="s">
        <v>993</v>
      </c>
      <c r="G301" t="s">
        <v>27</v>
      </c>
      <c r="H301" t="s">
        <v>994</v>
      </c>
      <c r="I301">
        <v>10</v>
      </c>
      <c r="J301">
        <v>20</v>
      </c>
      <c r="K301" t="s">
        <v>39</v>
      </c>
      <c r="L301">
        <v>2020</v>
      </c>
      <c r="M301">
        <v>11</v>
      </c>
      <c r="N301">
        <v>2</v>
      </c>
      <c r="O301">
        <v>19</v>
      </c>
    </row>
    <row r="302" spans="1:15" x14ac:dyDescent="0.25">
      <c r="A302">
        <v>301</v>
      </c>
      <c r="B302">
        <v>305</v>
      </c>
      <c r="C302" t="s">
        <v>995</v>
      </c>
      <c r="D302" t="s">
        <v>996</v>
      </c>
      <c r="E302" s="1">
        <v>44693.083333333336</v>
      </c>
      <c r="F302" t="s">
        <v>997</v>
      </c>
      <c r="G302" t="s">
        <v>32</v>
      </c>
      <c r="H302" t="s">
        <v>998</v>
      </c>
      <c r="I302">
        <v>18</v>
      </c>
      <c r="J302">
        <v>36</v>
      </c>
      <c r="K302" t="s">
        <v>165</v>
      </c>
      <c r="L302">
        <v>2022</v>
      </c>
      <c r="M302">
        <v>5</v>
      </c>
      <c r="N302">
        <v>12</v>
      </c>
      <c r="O302">
        <v>2</v>
      </c>
    </row>
    <row r="303" spans="1:15" x14ac:dyDescent="0.25">
      <c r="A303">
        <v>302</v>
      </c>
      <c r="B303">
        <v>306</v>
      </c>
      <c r="C303" t="s">
        <v>999</v>
      </c>
      <c r="D303" t="s">
        <v>1000</v>
      </c>
      <c r="E303" s="1">
        <v>45024.552083333336</v>
      </c>
      <c r="F303" t="s">
        <v>1001</v>
      </c>
      <c r="G303" t="s">
        <v>875</v>
      </c>
      <c r="H303" t="s">
        <v>1002</v>
      </c>
      <c r="I303">
        <v>14</v>
      </c>
      <c r="J303">
        <v>28</v>
      </c>
      <c r="K303" t="s">
        <v>110</v>
      </c>
      <c r="L303">
        <v>2023</v>
      </c>
      <c r="M303">
        <v>4</v>
      </c>
      <c r="N303">
        <v>8</v>
      </c>
      <c r="O303">
        <v>13</v>
      </c>
    </row>
    <row r="304" spans="1:15" x14ac:dyDescent="0.25">
      <c r="A304">
        <v>303</v>
      </c>
      <c r="B304">
        <v>307</v>
      </c>
      <c r="C304" t="s">
        <v>1003</v>
      </c>
      <c r="D304" t="s">
        <v>1004</v>
      </c>
      <c r="E304" s="1">
        <v>44372.743055555555</v>
      </c>
      <c r="F304" t="s">
        <v>1005</v>
      </c>
      <c r="G304" t="s">
        <v>27</v>
      </c>
      <c r="H304" t="s">
        <v>1006</v>
      </c>
      <c r="I304">
        <v>22</v>
      </c>
      <c r="J304">
        <v>44</v>
      </c>
      <c r="K304" t="s">
        <v>124</v>
      </c>
      <c r="L304">
        <v>2021</v>
      </c>
      <c r="M304">
        <v>6</v>
      </c>
      <c r="N304">
        <v>25</v>
      </c>
      <c r="O304">
        <v>17</v>
      </c>
    </row>
    <row r="305" spans="1:15" x14ac:dyDescent="0.25">
      <c r="A305">
        <v>304</v>
      </c>
      <c r="B305">
        <v>308</v>
      </c>
      <c r="C305" t="s">
        <v>1007</v>
      </c>
      <c r="D305" t="s">
        <v>1008</v>
      </c>
      <c r="E305" s="1">
        <v>43707.423611111109</v>
      </c>
      <c r="F305" t="s">
        <v>1009</v>
      </c>
      <c r="G305" t="s">
        <v>32</v>
      </c>
      <c r="H305" t="s">
        <v>1010</v>
      </c>
      <c r="I305">
        <v>16</v>
      </c>
      <c r="J305">
        <v>32</v>
      </c>
      <c r="K305" t="s">
        <v>99</v>
      </c>
      <c r="L305">
        <v>2019</v>
      </c>
      <c r="M305">
        <v>8</v>
      </c>
      <c r="N305">
        <v>30</v>
      </c>
      <c r="O305">
        <v>10</v>
      </c>
    </row>
    <row r="306" spans="1:15" x14ac:dyDescent="0.25">
      <c r="A306">
        <v>305</v>
      </c>
      <c r="B306">
        <v>309</v>
      </c>
      <c r="C306" t="s">
        <v>1011</v>
      </c>
      <c r="D306" t="s">
        <v>1012</v>
      </c>
      <c r="E306" s="1">
        <v>44776.645833333336</v>
      </c>
      <c r="F306" t="s">
        <v>1013</v>
      </c>
      <c r="G306" t="s">
        <v>875</v>
      </c>
      <c r="H306" t="s">
        <v>1014</v>
      </c>
      <c r="I306">
        <v>25</v>
      </c>
      <c r="J306">
        <v>50</v>
      </c>
      <c r="K306" t="s">
        <v>39</v>
      </c>
      <c r="L306">
        <v>2022</v>
      </c>
      <c r="M306">
        <v>8</v>
      </c>
      <c r="N306">
        <v>3</v>
      </c>
      <c r="O306">
        <v>15</v>
      </c>
    </row>
    <row r="307" spans="1:15" x14ac:dyDescent="0.25">
      <c r="A307">
        <v>306</v>
      </c>
      <c r="B307">
        <v>310</v>
      </c>
      <c r="C307" t="s">
        <v>1015</v>
      </c>
      <c r="D307" t="s">
        <v>1016</v>
      </c>
      <c r="E307" s="1">
        <v>44182.388888888891</v>
      </c>
      <c r="F307" t="s">
        <v>1017</v>
      </c>
      <c r="G307" t="s">
        <v>27</v>
      </c>
      <c r="H307" t="s">
        <v>1018</v>
      </c>
      <c r="I307">
        <v>12</v>
      </c>
      <c r="J307">
        <v>24</v>
      </c>
      <c r="K307" t="s">
        <v>165</v>
      </c>
      <c r="L307">
        <v>2020</v>
      </c>
      <c r="M307">
        <v>12</v>
      </c>
      <c r="N307">
        <v>17</v>
      </c>
      <c r="O307">
        <v>9</v>
      </c>
    </row>
    <row r="308" spans="1:15" x14ac:dyDescent="0.25">
      <c r="A308">
        <v>307</v>
      </c>
      <c r="B308">
        <v>311</v>
      </c>
      <c r="C308" t="s">
        <v>1019</v>
      </c>
      <c r="D308" t="s">
        <v>1020</v>
      </c>
      <c r="E308" s="1">
        <v>44255.947916666664</v>
      </c>
      <c r="F308" t="s">
        <v>1021</v>
      </c>
      <c r="G308" t="s">
        <v>32</v>
      </c>
      <c r="H308" t="s">
        <v>1022</v>
      </c>
      <c r="I308">
        <v>20</v>
      </c>
      <c r="J308">
        <v>40</v>
      </c>
      <c r="K308" t="s">
        <v>99</v>
      </c>
      <c r="L308">
        <v>2021</v>
      </c>
      <c r="M308">
        <v>2</v>
      </c>
      <c r="N308">
        <v>28</v>
      </c>
      <c r="O308">
        <v>22</v>
      </c>
    </row>
    <row r="309" spans="1:15" x14ac:dyDescent="0.25">
      <c r="A309">
        <v>308</v>
      </c>
      <c r="B309">
        <v>312</v>
      </c>
      <c r="C309" t="s">
        <v>1023</v>
      </c>
      <c r="D309" t="s">
        <v>1024</v>
      </c>
      <c r="E309" s="1">
        <v>43230.583333333336</v>
      </c>
      <c r="F309" t="s">
        <v>1025</v>
      </c>
      <c r="G309" t="s">
        <v>875</v>
      </c>
      <c r="H309" t="s">
        <v>1026</v>
      </c>
      <c r="I309">
        <v>14</v>
      </c>
      <c r="J309">
        <v>28</v>
      </c>
      <c r="K309" t="s">
        <v>110</v>
      </c>
      <c r="L309">
        <v>2018</v>
      </c>
      <c r="M309">
        <v>5</v>
      </c>
      <c r="N309">
        <v>10</v>
      </c>
      <c r="O309">
        <v>14</v>
      </c>
    </row>
    <row r="310" spans="1:15" x14ac:dyDescent="0.25">
      <c r="A310">
        <v>309</v>
      </c>
      <c r="B310">
        <v>313</v>
      </c>
      <c r="C310" t="s">
        <v>1027</v>
      </c>
      <c r="D310" t="s">
        <v>1016</v>
      </c>
      <c r="E310" s="1">
        <v>44568.465277777781</v>
      </c>
      <c r="F310" t="s">
        <v>1028</v>
      </c>
      <c r="G310" t="s">
        <v>27</v>
      </c>
      <c r="H310" t="s">
        <v>1029</v>
      </c>
      <c r="I310">
        <v>15</v>
      </c>
      <c r="J310">
        <v>30</v>
      </c>
      <c r="K310" t="s">
        <v>124</v>
      </c>
      <c r="L310">
        <v>2022</v>
      </c>
      <c r="M310">
        <v>1</v>
      </c>
      <c r="N310">
        <v>7</v>
      </c>
      <c r="O310">
        <v>11</v>
      </c>
    </row>
    <row r="311" spans="1:15" x14ac:dyDescent="0.25">
      <c r="A311">
        <v>310</v>
      </c>
      <c r="B311">
        <v>314</v>
      </c>
      <c r="C311" t="s">
        <v>1030</v>
      </c>
      <c r="D311" t="s">
        <v>650</v>
      </c>
      <c r="E311" s="1">
        <v>43727.145833333336</v>
      </c>
      <c r="F311" t="s">
        <v>1031</v>
      </c>
      <c r="G311" t="s">
        <v>32</v>
      </c>
      <c r="H311" t="s">
        <v>1032</v>
      </c>
      <c r="I311">
        <v>18</v>
      </c>
      <c r="J311">
        <v>36</v>
      </c>
      <c r="K311" t="s">
        <v>39</v>
      </c>
      <c r="L311">
        <v>2019</v>
      </c>
      <c r="M311">
        <v>9</v>
      </c>
      <c r="N311">
        <v>19</v>
      </c>
      <c r="O311">
        <v>3</v>
      </c>
    </row>
    <row r="312" spans="1:15" x14ac:dyDescent="0.25">
      <c r="A312">
        <v>311</v>
      </c>
      <c r="B312">
        <v>315</v>
      </c>
      <c r="C312" t="s">
        <v>1033</v>
      </c>
      <c r="D312" t="s">
        <v>996</v>
      </c>
      <c r="E312" s="1">
        <v>45121.958333333336</v>
      </c>
      <c r="F312" t="s">
        <v>1034</v>
      </c>
      <c r="G312" t="s">
        <v>875</v>
      </c>
      <c r="H312" t="s">
        <v>1035</v>
      </c>
      <c r="I312">
        <v>13</v>
      </c>
      <c r="J312">
        <v>26</v>
      </c>
      <c r="K312" t="s">
        <v>110</v>
      </c>
      <c r="L312">
        <v>2023</v>
      </c>
      <c r="M312">
        <v>7</v>
      </c>
      <c r="N312">
        <v>14</v>
      </c>
      <c r="O312">
        <v>23</v>
      </c>
    </row>
    <row r="313" spans="1:15" x14ac:dyDescent="0.25">
      <c r="A313">
        <v>312</v>
      </c>
      <c r="B313">
        <v>316</v>
      </c>
      <c r="C313" t="s">
        <v>1036</v>
      </c>
      <c r="D313" t="s">
        <v>985</v>
      </c>
      <c r="E313" s="1">
        <v>43926.680555555555</v>
      </c>
      <c r="F313" t="s">
        <v>1037</v>
      </c>
      <c r="G313" t="s">
        <v>27</v>
      </c>
      <c r="H313" t="s">
        <v>1038</v>
      </c>
      <c r="I313">
        <v>10</v>
      </c>
      <c r="J313">
        <v>20</v>
      </c>
      <c r="K313" t="s">
        <v>165</v>
      </c>
      <c r="L313">
        <v>2020</v>
      </c>
      <c r="M313">
        <v>4</v>
      </c>
      <c r="N313">
        <v>5</v>
      </c>
      <c r="O313">
        <v>16</v>
      </c>
    </row>
    <row r="314" spans="1:15" x14ac:dyDescent="0.25">
      <c r="A314">
        <v>313</v>
      </c>
      <c r="B314">
        <v>317</v>
      </c>
      <c r="C314" t="s">
        <v>1039</v>
      </c>
      <c r="D314" t="s">
        <v>1004</v>
      </c>
      <c r="E314" s="1">
        <v>44529.364583333336</v>
      </c>
      <c r="F314" t="s">
        <v>1040</v>
      </c>
      <c r="G314" t="s">
        <v>32</v>
      </c>
      <c r="H314" t="s">
        <v>1041</v>
      </c>
      <c r="I314">
        <v>20</v>
      </c>
      <c r="J314">
        <v>40</v>
      </c>
      <c r="K314" t="s">
        <v>99</v>
      </c>
      <c r="L314">
        <v>2021</v>
      </c>
      <c r="M314">
        <v>11</v>
      </c>
      <c r="N314">
        <v>29</v>
      </c>
      <c r="O314">
        <v>8</v>
      </c>
    </row>
    <row r="315" spans="1:15" x14ac:dyDescent="0.25">
      <c r="A315">
        <v>314</v>
      </c>
      <c r="B315">
        <v>318</v>
      </c>
      <c r="C315" t="s">
        <v>1042</v>
      </c>
      <c r="D315" t="s">
        <v>1008</v>
      </c>
      <c r="E315" s="1">
        <v>43811.708333333336</v>
      </c>
      <c r="F315" t="s">
        <v>1043</v>
      </c>
      <c r="G315" t="s">
        <v>875</v>
      </c>
      <c r="H315" t="s">
        <v>1044</v>
      </c>
      <c r="I315">
        <v>16</v>
      </c>
      <c r="J315">
        <v>32</v>
      </c>
      <c r="K315" t="s">
        <v>39</v>
      </c>
      <c r="L315">
        <v>2019</v>
      </c>
      <c r="M315">
        <v>12</v>
      </c>
      <c r="N315">
        <v>12</v>
      </c>
      <c r="O315">
        <v>17</v>
      </c>
    </row>
    <row r="316" spans="1:15" x14ac:dyDescent="0.25">
      <c r="A316">
        <v>315</v>
      </c>
      <c r="B316">
        <v>319</v>
      </c>
      <c r="C316" t="s">
        <v>1045</v>
      </c>
      <c r="D316" t="s">
        <v>1012</v>
      </c>
      <c r="E316" s="1">
        <v>44701.618055555555</v>
      </c>
      <c r="F316" t="s">
        <v>1046</v>
      </c>
      <c r="G316" t="s">
        <v>27</v>
      </c>
      <c r="H316" t="s">
        <v>1047</v>
      </c>
      <c r="I316">
        <v>25</v>
      </c>
      <c r="J316">
        <v>50</v>
      </c>
      <c r="K316" t="s">
        <v>124</v>
      </c>
      <c r="L316">
        <v>2022</v>
      </c>
      <c r="M316">
        <v>5</v>
      </c>
      <c r="N316">
        <v>20</v>
      </c>
      <c r="O316">
        <v>14</v>
      </c>
    </row>
    <row r="317" spans="1:15" x14ac:dyDescent="0.25">
      <c r="A317">
        <v>316</v>
      </c>
      <c r="B317">
        <v>320</v>
      </c>
      <c r="C317" t="s">
        <v>1048</v>
      </c>
      <c r="D317" t="s">
        <v>1016</v>
      </c>
      <c r="E317" s="1">
        <v>44077.510416666664</v>
      </c>
      <c r="F317" t="s">
        <v>1049</v>
      </c>
      <c r="G317" t="s">
        <v>32</v>
      </c>
      <c r="H317" t="s">
        <v>1050</v>
      </c>
      <c r="I317">
        <v>14</v>
      </c>
      <c r="J317">
        <v>28</v>
      </c>
      <c r="K317" t="s">
        <v>110</v>
      </c>
      <c r="L317">
        <v>2020</v>
      </c>
      <c r="M317">
        <v>9</v>
      </c>
      <c r="N317">
        <v>3</v>
      </c>
      <c r="O317">
        <v>12</v>
      </c>
    </row>
    <row r="318" spans="1:15" x14ac:dyDescent="0.25">
      <c r="A318">
        <v>317</v>
      </c>
      <c r="B318">
        <v>321</v>
      </c>
      <c r="C318" t="s">
        <v>1051</v>
      </c>
      <c r="D318" t="s">
        <v>1020</v>
      </c>
      <c r="E318" s="1">
        <v>44237.8125</v>
      </c>
      <c r="F318" t="s">
        <v>1052</v>
      </c>
      <c r="G318" t="s">
        <v>875</v>
      </c>
      <c r="H318" t="s">
        <v>1053</v>
      </c>
      <c r="I318">
        <v>20</v>
      </c>
      <c r="J318">
        <v>40</v>
      </c>
      <c r="K318" t="s">
        <v>99</v>
      </c>
      <c r="L318">
        <v>2021</v>
      </c>
      <c r="M318">
        <v>2</v>
      </c>
      <c r="N318">
        <v>10</v>
      </c>
      <c r="O318">
        <v>19</v>
      </c>
    </row>
    <row r="319" spans="1:15" x14ac:dyDescent="0.25">
      <c r="A319">
        <v>318</v>
      </c>
      <c r="B319">
        <v>322</v>
      </c>
      <c r="C319" t="s">
        <v>1054</v>
      </c>
      <c r="D319" t="s">
        <v>1024</v>
      </c>
      <c r="E319" s="1">
        <v>43330.611111111109</v>
      </c>
      <c r="F319" t="s">
        <v>1055</v>
      </c>
      <c r="G319" t="s">
        <v>27</v>
      </c>
      <c r="H319" t="s">
        <v>1056</v>
      </c>
      <c r="I319">
        <v>12</v>
      </c>
      <c r="J319">
        <v>24</v>
      </c>
      <c r="K319" t="s">
        <v>39</v>
      </c>
      <c r="L319">
        <v>2018</v>
      </c>
      <c r="M319">
        <v>8</v>
      </c>
      <c r="N319">
        <v>18</v>
      </c>
      <c r="O319">
        <v>14</v>
      </c>
    </row>
    <row r="320" spans="1:15" x14ac:dyDescent="0.25">
      <c r="A320">
        <v>319</v>
      </c>
      <c r="B320">
        <v>323</v>
      </c>
      <c r="C320" t="s">
        <v>1057</v>
      </c>
      <c r="D320" t="s">
        <v>981</v>
      </c>
      <c r="E320" s="1">
        <v>44620.875</v>
      </c>
      <c r="F320" t="s">
        <v>1058</v>
      </c>
      <c r="G320" t="s">
        <v>32</v>
      </c>
      <c r="H320" t="s">
        <v>1059</v>
      </c>
      <c r="I320">
        <v>8</v>
      </c>
      <c r="J320">
        <v>16</v>
      </c>
      <c r="K320" t="s">
        <v>124</v>
      </c>
      <c r="L320">
        <v>2022</v>
      </c>
      <c r="M320">
        <v>2</v>
      </c>
      <c r="N320">
        <v>28</v>
      </c>
      <c r="O320">
        <v>21</v>
      </c>
    </row>
    <row r="321" spans="1:15" x14ac:dyDescent="0.25">
      <c r="A321">
        <v>320</v>
      </c>
      <c r="B321">
        <v>324</v>
      </c>
      <c r="C321" t="s">
        <v>1060</v>
      </c>
      <c r="D321" t="s">
        <v>985</v>
      </c>
      <c r="E321" s="1">
        <v>43753.4375</v>
      </c>
      <c r="F321" t="s">
        <v>1061</v>
      </c>
      <c r="G321" t="s">
        <v>875</v>
      </c>
      <c r="H321" t="s">
        <v>1062</v>
      </c>
      <c r="I321">
        <v>15</v>
      </c>
      <c r="J321">
        <v>30</v>
      </c>
      <c r="K321" t="s">
        <v>110</v>
      </c>
      <c r="L321">
        <v>2019</v>
      </c>
      <c r="M321">
        <v>10</v>
      </c>
      <c r="N321">
        <v>15</v>
      </c>
      <c r="O321">
        <v>10</v>
      </c>
    </row>
    <row r="322" spans="1:15" x14ac:dyDescent="0.25">
      <c r="A322">
        <v>321</v>
      </c>
      <c r="B322">
        <v>325</v>
      </c>
      <c r="C322" t="s">
        <v>1063</v>
      </c>
      <c r="D322" t="s">
        <v>650</v>
      </c>
      <c r="E322" s="1">
        <v>43070.784722222219</v>
      </c>
      <c r="F322" t="s">
        <v>1064</v>
      </c>
      <c r="G322" t="s">
        <v>27</v>
      </c>
      <c r="H322" t="s">
        <v>1065</v>
      </c>
      <c r="I322">
        <v>18</v>
      </c>
      <c r="J322">
        <v>36</v>
      </c>
      <c r="K322" t="s">
        <v>99</v>
      </c>
      <c r="L322">
        <v>2017</v>
      </c>
      <c r="M322">
        <v>12</v>
      </c>
      <c r="N322">
        <v>1</v>
      </c>
      <c r="O322">
        <v>18</v>
      </c>
    </row>
    <row r="323" spans="1:15" x14ac:dyDescent="0.25">
      <c r="A323">
        <v>322</v>
      </c>
      <c r="B323">
        <v>326</v>
      </c>
      <c r="C323" t="s">
        <v>1066</v>
      </c>
      <c r="D323" t="s">
        <v>992</v>
      </c>
      <c r="E323" s="1">
        <v>43939.677083333336</v>
      </c>
      <c r="F323" t="s">
        <v>1067</v>
      </c>
      <c r="G323" t="s">
        <v>32</v>
      </c>
      <c r="H323" t="s">
        <v>1068</v>
      </c>
      <c r="I323">
        <v>10</v>
      </c>
      <c r="J323">
        <v>20</v>
      </c>
      <c r="K323" t="s">
        <v>39</v>
      </c>
      <c r="L323">
        <v>2020</v>
      </c>
      <c r="M323">
        <v>4</v>
      </c>
      <c r="N323">
        <v>18</v>
      </c>
      <c r="O323">
        <v>16</v>
      </c>
    </row>
    <row r="324" spans="1:15" x14ac:dyDescent="0.25">
      <c r="A324">
        <v>323</v>
      </c>
      <c r="B324">
        <v>327</v>
      </c>
      <c r="C324" t="s">
        <v>1069</v>
      </c>
      <c r="D324" t="s">
        <v>996</v>
      </c>
      <c r="E324" s="1">
        <v>44933.145833333336</v>
      </c>
      <c r="F324" t="s">
        <v>997</v>
      </c>
      <c r="G324" t="s">
        <v>875</v>
      </c>
      <c r="H324" t="s">
        <v>1070</v>
      </c>
      <c r="I324">
        <v>18</v>
      </c>
      <c r="J324">
        <v>36</v>
      </c>
      <c r="K324" t="s">
        <v>165</v>
      </c>
      <c r="L324">
        <v>2023</v>
      </c>
      <c r="M324">
        <v>1</v>
      </c>
      <c r="N324">
        <v>7</v>
      </c>
      <c r="O324">
        <v>3</v>
      </c>
    </row>
    <row r="325" spans="1:15" x14ac:dyDescent="0.25">
      <c r="A325">
        <v>324</v>
      </c>
      <c r="B325">
        <v>328</v>
      </c>
      <c r="C325" t="s">
        <v>1071</v>
      </c>
      <c r="D325" t="s">
        <v>1000</v>
      </c>
      <c r="E325" s="1">
        <v>44357.416666666664</v>
      </c>
      <c r="F325" t="s">
        <v>969</v>
      </c>
      <c r="G325" t="s">
        <v>27</v>
      </c>
      <c r="H325" t="s">
        <v>1072</v>
      </c>
      <c r="I325">
        <v>14</v>
      </c>
      <c r="J325">
        <v>28</v>
      </c>
      <c r="K325" t="s">
        <v>124</v>
      </c>
      <c r="L325">
        <v>2021</v>
      </c>
      <c r="M325">
        <v>6</v>
      </c>
      <c r="N325">
        <v>10</v>
      </c>
      <c r="O325">
        <v>10</v>
      </c>
    </row>
    <row r="326" spans="1:15" x14ac:dyDescent="0.25">
      <c r="A326">
        <v>325</v>
      </c>
      <c r="B326">
        <v>329</v>
      </c>
      <c r="C326" t="s">
        <v>1073</v>
      </c>
      <c r="D326" t="s">
        <v>1004</v>
      </c>
      <c r="E326" s="1">
        <v>43883.638888888891</v>
      </c>
      <c r="F326" t="s">
        <v>1074</v>
      </c>
      <c r="G326" t="s">
        <v>32</v>
      </c>
      <c r="H326" t="s">
        <v>1075</v>
      </c>
      <c r="I326">
        <v>22</v>
      </c>
      <c r="J326">
        <v>44</v>
      </c>
      <c r="K326" t="s">
        <v>99</v>
      </c>
      <c r="L326">
        <v>2020</v>
      </c>
      <c r="M326">
        <v>2</v>
      </c>
      <c r="N326">
        <v>22</v>
      </c>
      <c r="O326">
        <v>15</v>
      </c>
    </row>
    <row r="327" spans="1:15" x14ac:dyDescent="0.25">
      <c r="A327">
        <v>326</v>
      </c>
      <c r="B327">
        <v>330</v>
      </c>
      <c r="C327" t="s">
        <v>1076</v>
      </c>
      <c r="D327" t="s">
        <v>1008</v>
      </c>
      <c r="E327" s="1">
        <v>43176.614583333336</v>
      </c>
      <c r="F327" t="s">
        <v>1077</v>
      </c>
      <c r="G327" t="s">
        <v>875</v>
      </c>
      <c r="H327" t="s">
        <v>1078</v>
      </c>
      <c r="I327">
        <v>16</v>
      </c>
      <c r="J327">
        <v>32</v>
      </c>
      <c r="K327" t="s">
        <v>110</v>
      </c>
      <c r="L327">
        <v>2018</v>
      </c>
      <c r="M327">
        <v>3</v>
      </c>
      <c r="N327">
        <v>17</v>
      </c>
      <c r="O327">
        <v>14</v>
      </c>
    </row>
    <row r="328" spans="1:15" x14ac:dyDescent="0.25">
      <c r="A328">
        <v>327</v>
      </c>
      <c r="B328">
        <v>331</v>
      </c>
      <c r="C328" t="s">
        <v>1079</v>
      </c>
      <c r="D328" t="s">
        <v>1012</v>
      </c>
      <c r="E328" s="1">
        <v>44862.46875</v>
      </c>
      <c r="F328" t="s">
        <v>1080</v>
      </c>
      <c r="G328" t="s">
        <v>27</v>
      </c>
      <c r="H328" t="s">
        <v>1081</v>
      </c>
      <c r="I328">
        <v>25</v>
      </c>
      <c r="J328">
        <v>50</v>
      </c>
      <c r="K328" t="s">
        <v>39</v>
      </c>
      <c r="L328">
        <v>2022</v>
      </c>
      <c r="M328">
        <v>10</v>
      </c>
      <c r="N328">
        <v>28</v>
      </c>
      <c r="O328">
        <v>11</v>
      </c>
    </row>
    <row r="329" spans="1:15" x14ac:dyDescent="0.25">
      <c r="A329">
        <v>328</v>
      </c>
      <c r="B329">
        <v>332</v>
      </c>
      <c r="C329" t="s">
        <v>1082</v>
      </c>
      <c r="D329" t="s">
        <v>1016</v>
      </c>
      <c r="E329" s="1">
        <v>44136.520833333336</v>
      </c>
      <c r="F329" t="s">
        <v>1083</v>
      </c>
      <c r="G329" t="s">
        <v>32</v>
      </c>
      <c r="H329" t="s">
        <v>1084</v>
      </c>
      <c r="I329">
        <v>14</v>
      </c>
      <c r="J329">
        <v>28</v>
      </c>
      <c r="K329" t="s">
        <v>165</v>
      </c>
      <c r="L329">
        <v>2020</v>
      </c>
      <c r="M329">
        <v>11</v>
      </c>
      <c r="N329">
        <v>1</v>
      </c>
      <c r="O329">
        <v>12</v>
      </c>
    </row>
    <row r="330" spans="1:15" x14ac:dyDescent="0.25">
      <c r="A330">
        <v>329</v>
      </c>
      <c r="B330">
        <v>333</v>
      </c>
      <c r="C330" t="s">
        <v>1085</v>
      </c>
      <c r="D330" t="s">
        <v>1020</v>
      </c>
      <c r="E330" s="1">
        <v>44211.923611111109</v>
      </c>
      <c r="F330" t="s">
        <v>1086</v>
      </c>
      <c r="G330" t="s">
        <v>875</v>
      </c>
      <c r="H330" t="s">
        <v>1087</v>
      </c>
      <c r="I330">
        <v>20</v>
      </c>
      <c r="J330">
        <v>40</v>
      </c>
      <c r="K330" t="s">
        <v>99</v>
      </c>
      <c r="L330">
        <v>2021</v>
      </c>
      <c r="M330">
        <v>1</v>
      </c>
      <c r="N330">
        <v>15</v>
      </c>
      <c r="O330">
        <v>22</v>
      </c>
    </row>
    <row r="331" spans="1:15" x14ac:dyDescent="0.25">
      <c r="A331">
        <v>330</v>
      </c>
      <c r="B331">
        <v>334</v>
      </c>
      <c r="C331" t="s">
        <v>1054</v>
      </c>
      <c r="D331" t="s">
        <v>1024</v>
      </c>
      <c r="E331" s="1">
        <v>43330.583333333336</v>
      </c>
      <c r="F331" t="s">
        <v>1025</v>
      </c>
      <c r="G331" t="s">
        <v>27</v>
      </c>
      <c r="H331" t="s">
        <v>1056</v>
      </c>
      <c r="I331">
        <v>12</v>
      </c>
      <c r="J331">
        <v>24</v>
      </c>
      <c r="K331" t="s">
        <v>39</v>
      </c>
      <c r="L331">
        <v>2018</v>
      </c>
      <c r="M331">
        <v>8</v>
      </c>
      <c r="N331">
        <v>18</v>
      </c>
      <c r="O331">
        <v>14</v>
      </c>
    </row>
    <row r="332" spans="1:15" x14ac:dyDescent="0.25">
      <c r="A332">
        <v>331</v>
      </c>
      <c r="B332">
        <v>335</v>
      </c>
      <c r="C332" t="s">
        <v>1027</v>
      </c>
      <c r="D332" t="s">
        <v>1016</v>
      </c>
      <c r="E332" s="1">
        <v>44568.465277777781</v>
      </c>
      <c r="F332" t="s">
        <v>1028</v>
      </c>
      <c r="G332" t="s">
        <v>875</v>
      </c>
      <c r="H332" t="s">
        <v>1029</v>
      </c>
      <c r="I332">
        <v>15</v>
      </c>
      <c r="J332">
        <v>30</v>
      </c>
      <c r="K332" t="s">
        <v>124</v>
      </c>
      <c r="L332">
        <v>2022</v>
      </c>
      <c r="M332">
        <v>1</v>
      </c>
      <c r="N332">
        <v>7</v>
      </c>
      <c r="O332">
        <v>11</v>
      </c>
    </row>
    <row r="333" spans="1:15" x14ac:dyDescent="0.25">
      <c r="A333">
        <v>332</v>
      </c>
      <c r="B333">
        <v>336</v>
      </c>
      <c r="C333" t="s">
        <v>1030</v>
      </c>
      <c r="D333" t="s">
        <v>650</v>
      </c>
      <c r="E333" s="1">
        <v>43727.145833333336</v>
      </c>
      <c r="F333" t="s">
        <v>1031</v>
      </c>
      <c r="G333" t="s">
        <v>32</v>
      </c>
      <c r="H333" t="s">
        <v>1032</v>
      </c>
      <c r="I333">
        <v>18</v>
      </c>
      <c r="J333">
        <v>36</v>
      </c>
      <c r="K333" t="s">
        <v>39</v>
      </c>
      <c r="L333">
        <v>2019</v>
      </c>
      <c r="M333">
        <v>9</v>
      </c>
      <c r="N333">
        <v>19</v>
      </c>
      <c r="O333">
        <v>3</v>
      </c>
    </row>
    <row r="334" spans="1:15" x14ac:dyDescent="0.25">
      <c r="A334">
        <v>333</v>
      </c>
      <c r="B334">
        <v>337</v>
      </c>
      <c r="C334" t="s">
        <v>1088</v>
      </c>
      <c r="D334" t="s">
        <v>1089</v>
      </c>
      <c r="E334" s="1">
        <v>44654.260416666664</v>
      </c>
      <c r="F334" t="s">
        <v>1090</v>
      </c>
      <c r="G334" t="s">
        <v>27</v>
      </c>
      <c r="H334" t="s">
        <v>1091</v>
      </c>
      <c r="I334">
        <v>28</v>
      </c>
      <c r="J334">
        <v>55</v>
      </c>
      <c r="K334" t="s">
        <v>1092</v>
      </c>
      <c r="L334">
        <v>2022</v>
      </c>
      <c r="M334">
        <v>4</v>
      </c>
      <c r="N334">
        <v>3</v>
      </c>
      <c r="O334">
        <v>6</v>
      </c>
    </row>
    <row r="335" spans="1:15" x14ac:dyDescent="0.25">
      <c r="A335">
        <v>334</v>
      </c>
      <c r="B335">
        <v>338</v>
      </c>
      <c r="C335" t="s">
        <v>1093</v>
      </c>
      <c r="D335" t="s">
        <v>1094</v>
      </c>
      <c r="E335" s="1">
        <v>45211.4375</v>
      </c>
      <c r="F335" t="s">
        <v>1095</v>
      </c>
      <c r="G335" t="s">
        <v>17</v>
      </c>
      <c r="H335" t="s">
        <v>1096</v>
      </c>
      <c r="I335">
        <v>15</v>
      </c>
      <c r="J335">
        <v>30</v>
      </c>
      <c r="K335" t="s">
        <v>1097</v>
      </c>
      <c r="L335">
        <v>2023</v>
      </c>
      <c r="M335">
        <v>10</v>
      </c>
      <c r="N335">
        <v>12</v>
      </c>
      <c r="O335">
        <v>10</v>
      </c>
    </row>
    <row r="336" spans="1:15" x14ac:dyDescent="0.25">
      <c r="A336">
        <v>335</v>
      </c>
      <c r="B336">
        <v>339</v>
      </c>
      <c r="C336" t="s">
        <v>1098</v>
      </c>
      <c r="D336" t="s">
        <v>1099</v>
      </c>
      <c r="E336" s="1">
        <v>43644.791666666664</v>
      </c>
      <c r="F336" t="s">
        <v>1100</v>
      </c>
      <c r="G336" t="s">
        <v>32</v>
      </c>
      <c r="H336" t="s">
        <v>1101</v>
      </c>
      <c r="I336">
        <v>22</v>
      </c>
      <c r="J336">
        <v>45</v>
      </c>
      <c r="K336" t="s">
        <v>1102</v>
      </c>
      <c r="L336">
        <v>2019</v>
      </c>
      <c r="M336">
        <v>6</v>
      </c>
      <c r="N336">
        <v>28</v>
      </c>
      <c r="O336">
        <v>19</v>
      </c>
    </row>
    <row r="337" spans="1:15" x14ac:dyDescent="0.25">
      <c r="A337">
        <v>336</v>
      </c>
      <c r="B337">
        <v>340</v>
      </c>
      <c r="C337" t="s">
        <v>1103</v>
      </c>
      <c r="D337" t="s">
        <v>1104</v>
      </c>
      <c r="E337" s="1">
        <v>44089.614583333336</v>
      </c>
      <c r="F337" t="s">
        <v>1105</v>
      </c>
      <c r="G337" t="s">
        <v>27</v>
      </c>
      <c r="H337" t="s">
        <v>1106</v>
      </c>
      <c r="I337">
        <v>40</v>
      </c>
      <c r="J337">
        <v>80</v>
      </c>
      <c r="K337" t="s">
        <v>1107</v>
      </c>
      <c r="L337">
        <v>2020</v>
      </c>
      <c r="M337">
        <v>9</v>
      </c>
      <c r="N337">
        <v>15</v>
      </c>
      <c r="O337">
        <v>14</v>
      </c>
    </row>
    <row r="338" spans="1:15" x14ac:dyDescent="0.25">
      <c r="A338">
        <v>337</v>
      </c>
      <c r="B338">
        <v>341</v>
      </c>
      <c r="C338" t="s">
        <v>1108</v>
      </c>
      <c r="D338" t="s">
        <v>1109</v>
      </c>
      <c r="E338" s="1">
        <v>43047.888888888891</v>
      </c>
      <c r="F338" t="s">
        <v>1110</v>
      </c>
      <c r="G338" t="s">
        <v>17</v>
      </c>
      <c r="H338" t="s">
        <v>1111</v>
      </c>
      <c r="I338">
        <v>18</v>
      </c>
      <c r="J338">
        <v>35</v>
      </c>
      <c r="K338" t="s">
        <v>1112</v>
      </c>
      <c r="L338">
        <v>2017</v>
      </c>
      <c r="M338">
        <v>11</v>
      </c>
      <c r="N338">
        <v>8</v>
      </c>
      <c r="O338">
        <v>21</v>
      </c>
    </row>
    <row r="339" spans="1:15" x14ac:dyDescent="0.25">
      <c r="A339">
        <v>338</v>
      </c>
      <c r="B339">
        <v>342</v>
      </c>
      <c r="C339" t="s">
        <v>1113</v>
      </c>
      <c r="D339" t="s">
        <v>1114</v>
      </c>
      <c r="E339" s="1">
        <v>44336.729166666664</v>
      </c>
      <c r="F339" t="s">
        <v>1115</v>
      </c>
      <c r="G339" t="s">
        <v>32</v>
      </c>
      <c r="H339" t="s">
        <v>1116</v>
      </c>
      <c r="I339">
        <v>25</v>
      </c>
      <c r="J339">
        <v>50</v>
      </c>
      <c r="K339" t="s">
        <v>1092</v>
      </c>
      <c r="L339">
        <v>2021</v>
      </c>
      <c r="M339">
        <v>5</v>
      </c>
      <c r="N339">
        <v>20</v>
      </c>
      <c r="O339">
        <v>17</v>
      </c>
    </row>
    <row r="340" spans="1:15" x14ac:dyDescent="0.25">
      <c r="A340">
        <v>339</v>
      </c>
      <c r="B340">
        <v>343</v>
      </c>
      <c r="C340" t="s">
        <v>1117</v>
      </c>
      <c r="D340" t="s">
        <v>389</v>
      </c>
      <c r="E340" s="1">
        <v>44936.5</v>
      </c>
      <c r="F340" t="s">
        <v>285</v>
      </c>
      <c r="G340" t="s">
        <v>27</v>
      </c>
      <c r="H340" t="s">
        <v>1118</v>
      </c>
      <c r="I340">
        <v>30</v>
      </c>
      <c r="J340">
        <v>60</v>
      </c>
      <c r="K340" t="s">
        <v>1119</v>
      </c>
      <c r="L340">
        <v>2023</v>
      </c>
      <c r="M340">
        <v>1</v>
      </c>
      <c r="N340">
        <v>10</v>
      </c>
      <c r="O340">
        <v>12</v>
      </c>
    </row>
    <row r="341" spans="1:15" x14ac:dyDescent="0.25">
      <c r="A341">
        <v>340</v>
      </c>
      <c r="B341">
        <v>344</v>
      </c>
      <c r="C341" t="s">
        <v>1120</v>
      </c>
      <c r="D341" t="s">
        <v>1121</v>
      </c>
      <c r="E341" s="1">
        <v>43439.364583333336</v>
      </c>
      <c r="F341" t="s">
        <v>1122</v>
      </c>
      <c r="G341" t="s">
        <v>17</v>
      </c>
      <c r="H341" t="s">
        <v>1123</v>
      </c>
      <c r="I341">
        <v>35</v>
      </c>
      <c r="J341">
        <v>70</v>
      </c>
      <c r="K341" t="s">
        <v>1124</v>
      </c>
      <c r="L341">
        <v>2018</v>
      </c>
      <c r="M341">
        <v>12</v>
      </c>
      <c r="N341">
        <v>5</v>
      </c>
      <c r="O341">
        <v>8</v>
      </c>
    </row>
    <row r="342" spans="1:15" x14ac:dyDescent="0.25">
      <c r="A342">
        <v>341</v>
      </c>
      <c r="B342">
        <v>345</v>
      </c>
      <c r="C342" t="s">
        <v>1125</v>
      </c>
      <c r="D342" t="s">
        <v>1126</v>
      </c>
      <c r="E342" s="1">
        <v>43905.770833333336</v>
      </c>
      <c r="F342" t="s">
        <v>1127</v>
      </c>
      <c r="G342" t="s">
        <v>27</v>
      </c>
      <c r="H342" t="s">
        <v>1128</v>
      </c>
      <c r="I342">
        <v>20</v>
      </c>
      <c r="J342">
        <v>40</v>
      </c>
      <c r="K342" t="s">
        <v>1129</v>
      </c>
      <c r="L342">
        <v>2020</v>
      </c>
      <c r="M342">
        <v>3</v>
      </c>
      <c r="N342">
        <v>15</v>
      </c>
      <c r="O342">
        <v>18</v>
      </c>
    </row>
    <row r="343" spans="1:15" x14ac:dyDescent="0.25">
      <c r="A343">
        <v>342</v>
      </c>
      <c r="B343">
        <v>346</v>
      </c>
      <c r="C343" t="s">
        <v>1130</v>
      </c>
      <c r="D343" t="s">
        <v>1131</v>
      </c>
      <c r="E343" s="1">
        <v>42604.631944444445</v>
      </c>
      <c r="F343" t="s">
        <v>1132</v>
      </c>
      <c r="G343" t="s">
        <v>32</v>
      </c>
      <c r="H343" t="s">
        <v>1133</v>
      </c>
      <c r="I343">
        <v>18</v>
      </c>
      <c r="J343">
        <v>35</v>
      </c>
      <c r="K343" t="s">
        <v>1134</v>
      </c>
      <c r="L343">
        <v>2016</v>
      </c>
      <c r="M343">
        <v>8</v>
      </c>
      <c r="N343">
        <v>22</v>
      </c>
      <c r="O343">
        <v>15</v>
      </c>
    </row>
    <row r="344" spans="1:15" x14ac:dyDescent="0.25">
      <c r="A344">
        <v>343</v>
      </c>
      <c r="B344">
        <v>347</v>
      </c>
      <c r="C344" t="s">
        <v>1135</v>
      </c>
      <c r="D344" t="s">
        <v>1136</v>
      </c>
      <c r="E344" s="1">
        <v>43697.666666666664</v>
      </c>
      <c r="F344" t="s">
        <v>1137</v>
      </c>
      <c r="G344" t="s">
        <v>27</v>
      </c>
      <c r="H344" t="s">
        <v>1138</v>
      </c>
      <c r="I344">
        <v>25</v>
      </c>
      <c r="J344">
        <v>50</v>
      </c>
      <c r="K344" t="s">
        <v>1092</v>
      </c>
      <c r="L344">
        <v>2019</v>
      </c>
      <c r="M344">
        <v>8</v>
      </c>
      <c r="N344">
        <v>20</v>
      </c>
      <c r="O344">
        <v>16</v>
      </c>
    </row>
    <row r="345" spans="1:15" x14ac:dyDescent="0.25">
      <c r="A345">
        <v>344</v>
      </c>
      <c r="B345">
        <v>348</v>
      </c>
      <c r="C345" t="s">
        <v>1139</v>
      </c>
      <c r="D345" t="s">
        <v>1140</v>
      </c>
      <c r="E345" s="1">
        <v>44538.8125</v>
      </c>
      <c r="F345" t="s">
        <v>1141</v>
      </c>
      <c r="G345" t="s">
        <v>17</v>
      </c>
      <c r="H345" t="s">
        <v>1142</v>
      </c>
      <c r="I345">
        <v>18</v>
      </c>
      <c r="J345">
        <v>35</v>
      </c>
      <c r="K345" t="s">
        <v>1097</v>
      </c>
      <c r="L345">
        <v>2021</v>
      </c>
      <c r="M345">
        <v>12</v>
      </c>
      <c r="N345">
        <v>8</v>
      </c>
      <c r="O345">
        <v>19</v>
      </c>
    </row>
    <row r="346" spans="1:15" x14ac:dyDescent="0.25">
      <c r="A346">
        <v>345</v>
      </c>
      <c r="B346">
        <v>349</v>
      </c>
      <c r="C346" t="s">
        <v>1143</v>
      </c>
      <c r="D346" t="s">
        <v>1144</v>
      </c>
      <c r="E346" s="1">
        <v>43992.864583333336</v>
      </c>
      <c r="F346" t="s">
        <v>1145</v>
      </c>
      <c r="G346" t="s">
        <v>27</v>
      </c>
      <c r="H346" t="s">
        <v>1146</v>
      </c>
      <c r="I346">
        <v>30</v>
      </c>
      <c r="J346">
        <v>60</v>
      </c>
      <c r="K346" t="s">
        <v>1102</v>
      </c>
      <c r="L346">
        <v>2020</v>
      </c>
      <c r="M346">
        <v>6</v>
      </c>
      <c r="N346">
        <v>10</v>
      </c>
      <c r="O346">
        <v>20</v>
      </c>
    </row>
    <row r="347" spans="1:15" x14ac:dyDescent="0.25">
      <c r="A347">
        <v>346</v>
      </c>
      <c r="B347">
        <v>350</v>
      </c>
      <c r="C347" t="s">
        <v>1147</v>
      </c>
      <c r="D347" t="s">
        <v>1148</v>
      </c>
      <c r="E347" s="1">
        <v>44620.302083333336</v>
      </c>
      <c r="F347" t="s">
        <v>1149</v>
      </c>
      <c r="G347" t="s">
        <v>32</v>
      </c>
      <c r="H347" t="s">
        <v>1150</v>
      </c>
      <c r="I347">
        <v>40</v>
      </c>
      <c r="J347">
        <v>80</v>
      </c>
      <c r="K347" t="s">
        <v>1112</v>
      </c>
      <c r="L347">
        <v>2022</v>
      </c>
      <c r="M347">
        <v>2</v>
      </c>
      <c r="N347">
        <v>28</v>
      </c>
      <c r="O347">
        <v>7</v>
      </c>
    </row>
    <row r="348" spans="1:15" x14ac:dyDescent="0.25">
      <c r="A348">
        <v>347</v>
      </c>
      <c r="B348">
        <v>351</v>
      </c>
      <c r="C348" t="s">
        <v>1151</v>
      </c>
      <c r="D348" t="s">
        <v>421</v>
      </c>
      <c r="E348" s="1">
        <v>42840.333333333336</v>
      </c>
      <c r="F348" t="s">
        <v>1152</v>
      </c>
      <c r="G348" t="s">
        <v>17</v>
      </c>
      <c r="H348" t="s">
        <v>1153</v>
      </c>
      <c r="I348">
        <v>22</v>
      </c>
      <c r="J348">
        <v>45</v>
      </c>
      <c r="K348" t="s">
        <v>1154</v>
      </c>
      <c r="L348">
        <v>2017</v>
      </c>
      <c r="M348">
        <v>4</v>
      </c>
      <c r="N348">
        <v>15</v>
      </c>
      <c r="O348">
        <v>8</v>
      </c>
    </row>
    <row r="349" spans="1:15" x14ac:dyDescent="0.25">
      <c r="A349">
        <v>348</v>
      </c>
      <c r="B349">
        <v>352</v>
      </c>
      <c r="C349" t="s">
        <v>1155</v>
      </c>
      <c r="D349" t="s">
        <v>429</v>
      </c>
      <c r="E349" s="1">
        <v>43348.597222222219</v>
      </c>
      <c r="F349" t="s">
        <v>1156</v>
      </c>
      <c r="G349" t="s">
        <v>27</v>
      </c>
      <c r="H349" t="s">
        <v>1157</v>
      </c>
      <c r="I349">
        <v>35</v>
      </c>
      <c r="J349">
        <v>70</v>
      </c>
      <c r="K349" t="s">
        <v>1092</v>
      </c>
      <c r="L349">
        <v>2018</v>
      </c>
      <c r="M349">
        <v>9</v>
      </c>
      <c r="N349">
        <v>5</v>
      </c>
      <c r="O349">
        <v>14</v>
      </c>
    </row>
    <row r="350" spans="1:15" x14ac:dyDescent="0.25">
      <c r="A350">
        <v>349</v>
      </c>
      <c r="B350">
        <v>353</v>
      </c>
      <c r="C350" t="s">
        <v>1158</v>
      </c>
      <c r="D350" t="s">
        <v>1159</v>
      </c>
      <c r="E350" s="1">
        <v>44856.53125</v>
      </c>
      <c r="F350" t="s">
        <v>1160</v>
      </c>
      <c r="G350" t="s">
        <v>32</v>
      </c>
      <c r="H350" t="s">
        <v>1161</v>
      </c>
      <c r="I350">
        <v>15</v>
      </c>
      <c r="J350">
        <v>30</v>
      </c>
      <c r="K350" t="s">
        <v>1097</v>
      </c>
      <c r="L350">
        <v>2022</v>
      </c>
      <c r="M350">
        <v>10</v>
      </c>
      <c r="N350">
        <v>22</v>
      </c>
      <c r="O350">
        <v>12</v>
      </c>
    </row>
    <row r="351" spans="1:15" x14ac:dyDescent="0.25">
      <c r="A351">
        <v>350</v>
      </c>
      <c r="B351">
        <v>354</v>
      </c>
      <c r="C351" t="s">
        <v>1162</v>
      </c>
      <c r="D351" t="s">
        <v>1163</v>
      </c>
      <c r="E351" s="1">
        <v>42553.979166666664</v>
      </c>
      <c r="F351" t="s">
        <v>333</v>
      </c>
      <c r="G351" t="s">
        <v>17</v>
      </c>
      <c r="H351" t="s">
        <v>1164</v>
      </c>
      <c r="I351">
        <v>28</v>
      </c>
      <c r="J351">
        <v>55</v>
      </c>
      <c r="K351" t="s">
        <v>1102</v>
      </c>
      <c r="L351">
        <v>2016</v>
      </c>
      <c r="M351">
        <v>7</v>
      </c>
      <c r="N351">
        <v>2</v>
      </c>
      <c r="O351">
        <v>23</v>
      </c>
    </row>
    <row r="352" spans="1:15" x14ac:dyDescent="0.25">
      <c r="A352">
        <v>351</v>
      </c>
      <c r="B352">
        <v>355</v>
      </c>
      <c r="C352" t="s">
        <v>1165</v>
      </c>
      <c r="D352" t="s">
        <v>1166</v>
      </c>
      <c r="E352" s="1">
        <v>44153.715277777781</v>
      </c>
      <c r="F352" t="s">
        <v>1167</v>
      </c>
      <c r="G352" t="s">
        <v>27</v>
      </c>
      <c r="H352" t="s">
        <v>1168</v>
      </c>
      <c r="I352">
        <v>20</v>
      </c>
      <c r="J352">
        <v>40</v>
      </c>
      <c r="K352" t="s">
        <v>1154</v>
      </c>
      <c r="L352">
        <v>2020</v>
      </c>
      <c r="M352">
        <v>11</v>
      </c>
      <c r="N352">
        <v>18</v>
      </c>
      <c r="O352">
        <v>17</v>
      </c>
    </row>
    <row r="353" spans="1:15" x14ac:dyDescent="0.25">
      <c r="A353">
        <v>352</v>
      </c>
      <c r="B353">
        <v>356</v>
      </c>
      <c r="C353" t="s">
        <v>1169</v>
      </c>
      <c r="D353" t="s">
        <v>1170</v>
      </c>
      <c r="E353" s="1">
        <v>44990.625</v>
      </c>
      <c r="F353" t="s">
        <v>1171</v>
      </c>
      <c r="G353" t="s">
        <v>32</v>
      </c>
      <c r="H353" t="s">
        <v>1172</v>
      </c>
      <c r="I353">
        <v>30</v>
      </c>
      <c r="J353">
        <v>60</v>
      </c>
      <c r="K353" t="s">
        <v>1112</v>
      </c>
      <c r="L353">
        <v>2023</v>
      </c>
      <c r="M353">
        <v>3</v>
      </c>
      <c r="N353">
        <v>5</v>
      </c>
      <c r="O353">
        <v>15</v>
      </c>
    </row>
    <row r="354" spans="1:15" x14ac:dyDescent="0.25">
      <c r="A354">
        <v>353</v>
      </c>
      <c r="B354">
        <v>357</v>
      </c>
      <c r="C354" t="s">
        <v>1173</v>
      </c>
      <c r="D354" t="s">
        <v>1174</v>
      </c>
      <c r="E354" s="1">
        <v>42339.479166666664</v>
      </c>
      <c r="F354" t="s">
        <v>575</v>
      </c>
      <c r="G354" t="s">
        <v>17</v>
      </c>
      <c r="H354" t="s">
        <v>1175</v>
      </c>
      <c r="I354">
        <v>25</v>
      </c>
      <c r="J354">
        <v>50</v>
      </c>
      <c r="K354" t="s">
        <v>1092</v>
      </c>
      <c r="L354">
        <v>2015</v>
      </c>
      <c r="M354">
        <v>12</v>
      </c>
      <c r="N354">
        <v>1</v>
      </c>
      <c r="O354">
        <v>11</v>
      </c>
    </row>
    <row r="355" spans="1:15" x14ac:dyDescent="0.25">
      <c r="A355">
        <v>354</v>
      </c>
      <c r="B355">
        <v>358</v>
      </c>
      <c r="C355" t="s">
        <v>1176</v>
      </c>
      <c r="D355" t="s">
        <v>1177</v>
      </c>
      <c r="E355" s="1">
        <v>44449.40625</v>
      </c>
      <c r="F355" t="s">
        <v>1178</v>
      </c>
      <c r="G355" t="s">
        <v>27</v>
      </c>
      <c r="H355" t="s">
        <v>1179</v>
      </c>
      <c r="I355">
        <v>18</v>
      </c>
      <c r="J355">
        <v>35</v>
      </c>
      <c r="K355" t="s">
        <v>1102</v>
      </c>
      <c r="L355">
        <v>2021</v>
      </c>
      <c r="M355">
        <v>9</v>
      </c>
      <c r="N355">
        <v>10</v>
      </c>
      <c r="O355">
        <v>9</v>
      </c>
    </row>
    <row r="356" spans="1:15" x14ac:dyDescent="0.25">
      <c r="A356">
        <v>355</v>
      </c>
      <c r="B356">
        <v>359</v>
      </c>
      <c r="C356" t="s">
        <v>1180</v>
      </c>
      <c r="D356" t="s">
        <v>416</v>
      </c>
      <c r="E356" s="1">
        <v>43232.597222222219</v>
      </c>
      <c r="F356" t="s">
        <v>1181</v>
      </c>
      <c r="G356" t="s">
        <v>32</v>
      </c>
      <c r="H356" t="s">
        <v>1182</v>
      </c>
      <c r="I356">
        <v>22</v>
      </c>
      <c r="J356">
        <v>45</v>
      </c>
      <c r="K356" t="s">
        <v>1097</v>
      </c>
      <c r="L356">
        <v>2018</v>
      </c>
      <c r="M356">
        <v>5</v>
      </c>
      <c r="N356">
        <v>12</v>
      </c>
      <c r="O356">
        <v>14</v>
      </c>
    </row>
    <row r="357" spans="1:15" x14ac:dyDescent="0.25">
      <c r="A357">
        <v>356</v>
      </c>
      <c r="B357">
        <v>360</v>
      </c>
      <c r="C357" t="s">
        <v>1183</v>
      </c>
      <c r="D357" t="s">
        <v>1184</v>
      </c>
      <c r="E357" s="1">
        <v>44767.416666666664</v>
      </c>
      <c r="F357" t="s">
        <v>1185</v>
      </c>
      <c r="G357" t="s">
        <v>17</v>
      </c>
      <c r="H357" t="s">
        <v>1186</v>
      </c>
      <c r="I357">
        <v>40</v>
      </c>
      <c r="J357">
        <v>80</v>
      </c>
      <c r="K357" t="s">
        <v>1154</v>
      </c>
      <c r="L357">
        <v>2022</v>
      </c>
      <c r="M357">
        <v>7</v>
      </c>
      <c r="N357">
        <v>25</v>
      </c>
      <c r="O357">
        <v>10</v>
      </c>
    </row>
    <row r="358" spans="1:15" x14ac:dyDescent="0.25">
      <c r="A358">
        <v>357</v>
      </c>
      <c r="B358">
        <v>361</v>
      </c>
      <c r="C358" t="s">
        <v>1187</v>
      </c>
      <c r="D358" t="s">
        <v>1188</v>
      </c>
      <c r="E358" s="1">
        <v>43532.770833333336</v>
      </c>
      <c r="F358" t="s">
        <v>478</v>
      </c>
      <c r="G358" t="s">
        <v>27</v>
      </c>
      <c r="H358" t="s">
        <v>1189</v>
      </c>
      <c r="I358">
        <v>35</v>
      </c>
      <c r="J358">
        <v>70</v>
      </c>
      <c r="K358" t="s">
        <v>1092</v>
      </c>
      <c r="L358">
        <v>2019</v>
      </c>
      <c r="M358">
        <v>3</v>
      </c>
      <c r="N358">
        <v>8</v>
      </c>
      <c r="O358">
        <v>18</v>
      </c>
    </row>
    <row r="359" spans="1:15" x14ac:dyDescent="0.25">
      <c r="A359">
        <v>358</v>
      </c>
      <c r="B359">
        <v>362</v>
      </c>
      <c r="C359" t="s">
        <v>1190</v>
      </c>
      <c r="D359" t="s">
        <v>1191</v>
      </c>
      <c r="E359" s="1">
        <v>42763.885416666664</v>
      </c>
      <c r="F359" t="s">
        <v>1192</v>
      </c>
      <c r="G359" t="s">
        <v>32</v>
      </c>
      <c r="H359" t="s">
        <v>1193</v>
      </c>
      <c r="I359">
        <v>20</v>
      </c>
      <c r="J359">
        <v>40</v>
      </c>
      <c r="K359" t="s">
        <v>1112</v>
      </c>
      <c r="L359">
        <v>2017</v>
      </c>
      <c r="M359">
        <v>1</v>
      </c>
      <c r="N359">
        <v>28</v>
      </c>
      <c r="O359">
        <v>21</v>
      </c>
    </row>
    <row r="360" spans="1:15" x14ac:dyDescent="0.25">
      <c r="A360">
        <v>359</v>
      </c>
      <c r="B360">
        <v>363</v>
      </c>
      <c r="C360" t="s">
        <v>1194</v>
      </c>
      <c r="D360" t="s">
        <v>1195</v>
      </c>
      <c r="E360" s="1">
        <v>42688.572916666664</v>
      </c>
      <c r="F360" t="s">
        <v>1196</v>
      </c>
      <c r="G360" t="s">
        <v>17</v>
      </c>
      <c r="H360" t="s">
        <v>1197</v>
      </c>
      <c r="I360">
        <v>28</v>
      </c>
      <c r="J360">
        <v>55</v>
      </c>
      <c r="K360" t="s">
        <v>1102</v>
      </c>
      <c r="L360">
        <v>2016</v>
      </c>
      <c r="M360">
        <v>11</v>
      </c>
      <c r="N360">
        <v>14</v>
      </c>
      <c r="O360">
        <v>13</v>
      </c>
    </row>
    <row r="361" spans="1:15" x14ac:dyDescent="0.25">
      <c r="A361">
        <v>360</v>
      </c>
      <c r="B361">
        <v>364</v>
      </c>
      <c r="C361" t="s">
        <v>1198</v>
      </c>
      <c r="D361" t="s">
        <v>1199</v>
      </c>
      <c r="E361" s="1">
        <v>43923.729166666664</v>
      </c>
      <c r="F361" t="s">
        <v>1200</v>
      </c>
      <c r="G361" t="s">
        <v>27</v>
      </c>
      <c r="H361" t="s">
        <v>1201</v>
      </c>
      <c r="I361">
        <v>15</v>
      </c>
      <c r="J361">
        <v>30</v>
      </c>
      <c r="K361" t="s">
        <v>1092</v>
      </c>
      <c r="L361">
        <v>2020</v>
      </c>
      <c r="M361">
        <v>4</v>
      </c>
      <c r="N361">
        <v>2</v>
      </c>
      <c r="O361">
        <v>17</v>
      </c>
    </row>
    <row r="362" spans="1:15" x14ac:dyDescent="0.25">
      <c r="A362">
        <v>361</v>
      </c>
      <c r="B362">
        <v>365</v>
      </c>
      <c r="C362" t="s">
        <v>1202</v>
      </c>
      <c r="D362" t="s">
        <v>411</v>
      </c>
      <c r="E362" s="1">
        <v>44941.791666666664</v>
      </c>
      <c r="F362" t="s">
        <v>1203</v>
      </c>
      <c r="G362" t="s">
        <v>32</v>
      </c>
      <c r="H362" t="s">
        <v>1204</v>
      </c>
      <c r="I362">
        <v>25</v>
      </c>
      <c r="J362">
        <v>50</v>
      </c>
      <c r="K362" t="s">
        <v>1097</v>
      </c>
      <c r="L362">
        <v>2023</v>
      </c>
      <c r="M362">
        <v>1</v>
      </c>
      <c r="N362">
        <v>15</v>
      </c>
      <c r="O362">
        <v>19</v>
      </c>
    </row>
    <row r="363" spans="1:15" x14ac:dyDescent="0.25">
      <c r="A363">
        <v>362</v>
      </c>
      <c r="B363">
        <v>366</v>
      </c>
      <c r="C363" t="s">
        <v>1205</v>
      </c>
      <c r="D363" t="s">
        <v>445</v>
      </c>
      <c r="E363" s="1">
        <v>43319.510416666664</v>
      </c>
      <c r="F363" t="s">
        <v>1206</v>
      </c>
      <c r="G363" t="s">
        <v>17</v>
      </c>
      <c r="H363" t="s">
        <v>1207</v>
      </c>
      <c r="I363">
        <v>30</v>
      </c>
      <c r="J363">
        <v>60</v>
      </c>
      <c r="K363" t="s">
        <v>1154</v>
      </c>
      <c r="L363">
        <v>2018</v>
      </c>
      <c r="M363">
        <v>8</v>
      </c>
      <c r="N363">
        <v>7</v>
      </c>
      <c r="O363">
        <v>12</v>
      </c>
    </row>
    <row r="364" spans="1:15" x14ac:dyDescent="0.25">
      <c r="A364">
        <v>363</v>
      </c>
      <c r="B364">
        <v>367</v>
      </c>
      <c r="C364" t="s">
        <v>1208</v>
      </c>
      <c r="D364" t="s">
        <v>1209</v>
      </c>
      <c r="E364" s="1">
        <v>43756.697916666664</v>
      </c>
      <c r="F364" t="s">
        <v>1210</v>
      </c>
      <c r="G364" t="s">
        <v>27</v>
      </c>
      <c r="H364" t="s">
        <v>1211</v>
      </c>
      <c r="I364">
        <v>18</v>
      </c>
      <c r="J364">
        <v>35</v>
      </c>
      <c r="K364" t="s">
        <v>1102</v>
      </c>
      <c r="L364">
        <v>2019</v>
      </c>
      <c r="M364">
        <v>10</v>
      </c>
      <c r="N364">
        <v>18</v>
      </c>
      <c r="O364">
        <v>16</v>
      </c>
    </row>
    <row r="365" spans="1:15" x14ac:dyDescent="0.25">
      <c r="A365">
        <v>364</v>
      </c>
      <c r="B365">
        <v>368</v>
      </c>
      <c r="C365" t="s">
        <v>1212</v>
      </c>
      <c r="D365" t="s">
        <v>1213</v>
      </c>
      <c r="E365" s="1">
        <v>44742.291666666664</v>
      </c>
      <c r="F365" t="s">
        <v>493</v>
      </c>
      <c r="G365" t="s">
        <v>32</v>
      </c>
      <c r="H365" t="s">
        <v>1214</v>
      </c>
      <c r="I365">
        <v>22</v>
      </c>
      <c r="J365">
        <v>45</v>
      </c>
      <c r="K365" t="s">
        <v>1112</v>
      </c>
      <c r="L365">
        <v>2022</v>
      </c>
      <c r="M365">
        <v>6</v>
      </c>
      <c r="N365">
        <v>30</v>
      </c>
      <c r="O365">
        <v>7</v>
      </c>
    </row>
    <row r="366" spans="1:15" x14ac:dyDescent="0.25">
      <c r="A366">
        <v>365</v>
      </c>
      <c r="B366">
        <v>369</v>
      </c>
      <c r="C366" t="s">
        <v>1215</v>
      </c>
      <c r="D366" t="s">
        <v>1216</v>
      </c>
      <c r="E366" s="1">
        <v>42898.763888888891</v>
      </c>
      <c r="F366" t="s">
        <v>1217</v>
      </c>
      <c r="G366" t="s">
        <v>17</v>
      </c>
      <c r="H366" t="s">
        <v>1218</v>
      </c>
      <c r="I366">
        <v>35</v>
      </c>
      <c r="J366">
        <v>70</v>
      </c>
      <c r="K366" t="s">
        <v>1092</v>
      </c>
      <c r="L366">
        <v>2017</v>
      </c>
      <c r="M366">
        <v>6</v>
      </c>
      <c r="N366">
        <v>12</v>
      </c>
      <c r="O366">
        <v>18</v>
      </c>
    </row>
    <row r="367" spans="1:15" x14ac:dyDescent="0.25">
      <c r="A367">
        <v>366</v>
      </c>
      <c r="B367">
        <v>370</v>
      </c>
      <c r="C367" t="s">
        <v>1219</v>
      </c>
      <c r="D367" t="s">
        <v>1220</v>
      </c>
      <c r="E367" s="1">
        <v>44382.395833333336</v>
      </c>
      <c r="F367" t="s">
        <v>1221</v>
      </c>
      <c r="G367" t="s">
        <v>27</v>
      </c>
      <c r="H367" t="s">
        <v>1222</v>
      </c>
      <c r="I367">
        <v>20</v>
      </c>
      <c r="J367">
        <v>40</v>
      </c>
      <c r="K367" t="s">
        <v>1097</v>
      </c>
      <c r="L367">
        <v>2021</v>
      </c>
      <c r="M367">
        <v>7</v>
      </c>
      <c r="N367">
        <v>5</v>
      </c>
      <c r="O367">
        <v>9</v>
      </c>
    </row>
    <row r="368" spans="1:15" x14ac:dyDescent="0.25">
      <c r="A368">
        <v>367</v>
      </c>
      <c r="B368">
        <v>371</v>
      </c>
      <c r="C368" t="s">
        <v>1223</v>
      </c>
      <c r="D368" t="s">
        <v>1224</v>
      </c>
      <c r="E368" s="1">
        <v>42475.618055555555</v>
      </c>
      <c r="F368" t="s">
        <v>1225</v>
      </c>
      <c r="G368" t="s">
        <v>32</v>
      </c>
      <c r="H368" t="s">
        <v>1226</v>
      </c>
      <c r="I368">
        <v>28</v>
      </c>
      <c r="J368">
        <v>55</v>
      </c>
      <c r="K368" t="s">
        <v>1102</v>
      </c>
      <c r="L368">
        <v>2016</v>
      </c>
      <c r="M368">
        <v>4</v>
      </c>
      <c r="N368">
        <v>15</v>
      </c>
      <c r="O368">
        <v>14</v>
      </c>
    </row>
    <row r="369" spans="1:15" x14ac:dyDescent="0.25">
      <c r="A369">
        <v>368</v>
      </c>
      <c r="B369">
        <v>372</v>
      </c>
      <c r="C369" t="s">
        <v>1227</v>
      </c>
      <c r="D369" t="s">
        <v>1228</v>
      </c>
      <c r="E369" s="1">
        <v>43871.46875</v>
      </c>
      <c r="F369" t="s">
        <v>1229</v>
      </c>
      <c r="G369" t="s">
        <v>17</v>
      </c>
      <c r="H369" t="s">
        <v>1230</v>
      </c>
      <c r="I369">
        <v>15</v>
      </c>
      <c r="J369">
        <v>30</v>
      </c>
      <c r="K369" t="s">
        <v>1154</v>
      </c>
      <c r="L369">
        <v>2020</v>
      </c>
      <c r="M369">
        <v>2</v>
      </c>
      <c r="N369">
        <v>10</v>
      </c>
      <c r="O369">
        <v>11</v>
      </c>
    </row>
    <row r="370" spans="1:15" x14ac:dyDescent="0.25">
      <c r="A370">
        <v>369</v>
      </c>
      <c r="B370">
        <v>373</v>
      </c>
      <c r="C370" t="s">
        <v>1231</v>
      </c>
      <c r="D370" t="s">
        <v>403</v>
      </c>
      <c r="E370" s="1">
        <v>43365.6875</v>
      </c>
      <c r="F370" t="s">
        <v>1232</v>
      </c>
      <c r="G370" t="s">
        <v>27</v>
      </c>
      <c r="H370" t="s">
        <v>1233</v>
      </c>
      <c r="I370">
        <v>40</v>
      </c>
      <c r="J370">
        <v>80</v>
      </c>
      <c r="K370" t="s">
        <v>1092</v>
      </c>
      <c r="L370">
        <v>2018</v>
      </c>
      <c r="M370">
        <v>9</v>
      </c>
      <c r="N370">
        <v>22</v>
      </c>
      <c r="O370">
        <v>16</v>
      </c>
    </row>
    <row r="371" spans="1:15" x14ac:dyDescent="0.25">
      <c r="A371">
        <v>370</v>
      </c>
      <c r="B371">
        <v>374</v>
      </c>
      <c r="C371" t="s">
        <v>1234</v>
      </c>
      <c r="D371" t="s">
        <v>1235</v>
      </c>
      <c r="E371" s="1">
        <v>42316.416666666664</v>
      </c>
      <c r="F371" t="s">
        <v>1236</v>
      </c>
      <c r="G371" t="s">
        <v>32</v>
      </c>
      <c r="H371" t="s">
        <v>1237</v>
      </c>
      <c r="I371">
        <v>18</v>
      </c>
      <c r="J371">
        <v>35</v>
      </c>
      <c r="K371" t="s">
        <v>1112</v>
      </c>
      <c r="L371">
        <v>2015</v>
      </c>
      <c r="M371">
        <v>11</v>
      </c>
      <c r="N371">
        <v>8</v>
      </c>
      <c r="O371">
        <v>10</v>
      </c>
    </row>
    <row r="372" spans="1:15" x14ac:dyDescent="0.25">
      <c r="A372">
        <v>371</v>
      </c>
      <c r="B372">
        <v>375</v>
      </c>
      <c r="C372" t="s">
        <v>1238</v>
      </c>
      <c r="D372" t="s">
        <v>1239</v>
      </c>
      <c r="E372" s="1">
        <v>44783.916666666664</v>
      </c>
      <c r="F372" t="s">
        <v>1240</v>
      </c>
      <c r="G372" t="s">
        <v>27</v>
      </c>
      <c r="H372" t="s">
        <v>1241</v>
      </c>
      <c r="I372">
        <v>25</v>
      </c>
      <c r="J372">
        <v>50</v>
      </c>
      <c r="K372" t="s">
        <v>1242</v>
      </c>
      <c r="L372">
        <v>2022</v>
      </c>
      <c r="M372">
        <v>8</v>
      </c>
      <c r="N372">
        <v>10</v>
      </c>
      <c r="O372">
        <v>22</v>
      </c>
    </row>
    <row r="373" spans="1:15" x14ac:dyDescent="0.25">
      <c r="A373">
        <v>372</v>
      </c>
      <c r="B373">
        <v>376</v>
      </c>
      <c r="C373" t="s">
        <v>1243</v>
      </c>
      <c r="D373" t="s">
        <v>1244</v>
      </c>
      <c r="E373" s="1">
        <v>43560.729166666664</v>
      </c>
      <c r="F373" t="s">
        <v>1245</v>
      </c>
      <c r="G373" t="s">
        <v>17</v>
      </c>
      <c r="H373" t="s">
        <v>1246</v>
      </c>
      <c r="I373">
        <v>18</v>
      </c>
      <c r="J373">
        <v>35</v>
      </c>
      <c r="K373" t="s">
        <v>1247</v>
      </c>
      <c r="L373">
        <v>2019</v>
      </c>
      <c r="M373">
        <v>4</v>
      </c>
      <c r="N373">
        <v>5</v>
      </c>
      <c r="O373">
        <v>17</v>
      </c>
    </row>
    <row r="374" spans="1:15" x14ac:dyDescent="0.25">
      <c r="A374">
        <v>373</v>
      </c>
      <c r="B374">
        <v>377</v>
      </c>
      <c r="C374" t="s">
        <v>1248</v>
      </c>
      <c r="D374" t="s">
        <v>1249</v>
      </c>
      <c r="E374" s="1">
        <v>44180.65625</v>
      </c>
      <c r="F374" t="s">
        <v>1250</v>
      </c>
      <c r="G374" t="s">
        <v>32</v>
      </c>
      <c r="H374" t="s">
        <v>1251</v>
      </c>
      <c r="I374">
        <v>22</v>
      </c>
      <c r="J374">
        <v>45</v>
      </c>
      <c r="K374" t="s">
        <v>1252</v>
      </c>
      <c r="L374">
        <v>2020</v>
      </c>
      <c r="M374">
        <v>12</v>
      </c>
      <c r="N374">
        <v>15</v>
      </c>
      <c r="O374">
        <v>15</v>
      </c>
    </row>
    <row r="375" spans="1:15" x14ac:dyDescent="0.25">
      <c r="A375">
        <v>374</v>
      </c>
      <c r="B375">
        <v>378</v>
      </c>
      <c r="C375" t="s">
        <v>1253</v>
      </c>
      <c r="D375" t="s">
        <v>1254</v>
      </c>
      <c r="E375" s="1">
        <v>43028.34375</v>
      </c>
      <c r="F375" t="s">
        <v>1255</v>
      </c>
      <c r="G375" t="s">
        <v>27</v>
      </c>
      <c r="H375" t="s">
        <v>1256</v>
      </c>
      <c r="I375">
        <v>35</v>
      </c>
      <c r="J375">
        <v>70</v>
      </c>
      <c r="K375" t="s">
        <v>1257</v>
      </c>
      <c r="L375">
        <v>2017</v>
      </c>
      <c r="M375">
        <v>10</v>
      </c>
      <c r="N375">
        <v>20</v>
      </c>
      <c r="O375">
        <v>8</v>
      </c>
    </row>
    <row r="376" spans="1:15" x14ac:dyDescent="0.25">
      <c r="A376">
        <v>375</v>
      </c>
      <c r="B376">
        <v>379</v>
      </c>
      <c r="C376" t="s">
        <v>1258</v>
      </c>
      <c r="D376" t="s">
        <v>1259</v>
      </c>
      <c r="E376" s="1">
        <v>44255.541666666664</v>
      </c>
      <c r="F376" t="s">
        <v>1260</v>
      </c>
      <c r="G376" t="s">
        <v>17</v>
      </c>
      <c r="H376" t="s">
        <v>1261</v>
      </c>
      <c r="I376">
        <v>30</v>
      </c>
      <c r="J376">
        <v>60</v>
      </c>
      <c r="K376" t="s">
        <v>1262</v>
      </c>
      <c r="L376">
        <v>2021</v>
      </c>
      <c r="M376">
        <v>2</v>
      </c>
      <c r="N376">
        <v>28</v>
      </c>
      <c r="O376">
        <v>13</v>
      </c>
    </row>
    <row r="377" spans="1:15" x14ac:dyDescent="0.25">
      <c r="A377">
        <v>376</v>
      </c>
      <c r="B377">
        <v>380</v>
      </c>
      <c r="C377" t="s">
        <v>1263</v>
      </c>
      <c r="D377" t="s">
        <v>1264</v>
      </c>
      <c r="E377" s="1">
        <v>43263.854166666664</v>
      </c>
      <c r="F377" t="s">
        <v>1265</v>
      </c>
      <c r="G377" t="s">
        <v>32</v>
      </c>
      <c r="H377" t="s">
        <v>1266</v>
      </c>
      <c r="I377">
        <v>28</v>
      </c>
      <c r="J377">
        <v>55</v>
      </c>
      <c r="K377" t="s">
        <v>1267</v>
      </c>
      <c r="L377">
        <v>2018</v>
      </c>
      <c r="M377">
        <v>6</v>
      </c>
      <c r="N377">
        <v>12</v>
      </c>
      <c r="O377">
        <v>20</v>
      </c>
    </row>
    <row r="378" spans="1:15" x14ac:dyDescent="0.25">
      <c r="A378">
        <v>377</v>
      </c>
      <c r="B378">
        <v>381</v>
      </c>
      <c r="C378" t="s">
        <v>1268</v>
      </c>
      <c r="D378" t="s">
        <v>1269</v>
      </c>
      <c r="E378" s="1">
        <v>42437.597222222219</v>
      </c>
      <c r="F378" t="s">
        <v>1270</v>
      </c>
      <c r="G378" t="s">
        <v>27</v>
      </c>
      <c r="H378" t="s">
        <v>1271</v>
      </c>
      <c r="I378">
        <v>20</v>
      </c>
      <c r="J378">
        <v>40</v>
      </c>
      <c r="K378" t="s">
        <v>1272</v>
      </c>
      <c r="L378">
        <v>2016</v>
      </c>
      <c r="M378">
        <v>3</v>
      </c>
      <c r="N378">
        <v>8</v>
      </c>
      <c r="O378">
        <v>14</v>
      </c>
    </row>
    <row r="379" spans="1:15" x14ac:dyDescent="0.25">
      <c r="A379">
        <v>378</v>
      </c>
      <c r="B379">
        <v>382</v>
      </c>
      <c r="C379" t="s">
        <v>1273</v>
      </c>
      <c r="D379" t="s">
        <v>1274</v>
      </c>
      <c r="E379" s="1">
        <v>45034.715277777781</v>
      </c>
      <c r="F379" t="s">
        <v>1275</v>
      </c>
      <c r="G379" t="s">
        <v>17</v>
      </c>
      <c r="H379" t="s">
        <v>1276</v>
      </c>
      <c r="I379">
        <v>18</v>
      </c>
      <c r="J379">
        <v>35</v>
      </c>
      <c r="K379" t="s">
        <v>1277</v>
      </c>
      <c r="L379">
        <v>2023</v>
      </c>
      <c r="M379">
        <v>4</v>
      </c>
      <c r="N379">
        <v>18</v>
      </c>
      <c r="O379">
        <v>17</v>
      </c>
    </row>
    <row r="380" spans="1:15" x14ac:dyDescent="0.25">
      <c r="A380">
        <v>379</v>
      </c>
      <c r="B380">
        <v>383</v>
      </c>
      <c r="C380" t="s">
        <v>1278</v>
      </c>
      <c r="D380" t="s">
        <v>1279</v>
      </c>
      <c r="E380" s="1">
        <v>44037.53125</v>
      </c>
      <c r="F380" t="s">
        <v>1280</v>
      </c>
      <c r="G380" t="s">
        <v>32</v>
      </c>
      <c r="H380" t="s">
        <v>1281</v>
      </c>
      <c r="I380">
        <v>22</v>
      </c>
      <c r="J380">
        <v>45</v>
      </c>
      <c r="K380" t="s">
        <v>1282</v>
      </c>
      <c r="L380">
        <v>2020</v>
      </c>
      <c r="M380">
        <v>7</v>
      </c>
      <c r="N380">
        <v>25</v>
      </c>
      <c r="O380">
        <v>12</v>
      </c>
    </row>
    <row r="381" spans="1:15" x14ac:dyDescent="0.25">
      <c r="A381">
        <v>380</v>
      </c>
      <c r="B381">
        <v>384</v>
      </c>
      <c r="C381" t="s">
        <v>1283</v>
      </c>
      <c r="D381" t="s">
        <v>1284</v>
      </c>
      <c r="E381" s="1">
        <v>43799.8125</v>
      </c>
      <c r="F381" t="s">
        <v>1285</v>
      </c>
      <c r="G381" t="s">
        <v>27</v>
      </c>
      <c r="H381" t="s">
        <v>1286</v>
      </c>
      <c r="I381">
        <v>35</v>
      </c>
      <c r="J381">
        <v>70</v>
      </c>
      <c r="K381" t="s">
        <v>1287</v>
      </c>
      <c r="L381">
        <v>2019</v>
      </c>
      <c r="M381">
        <v>11</v>
      </c>
      <c r="N381">
        <v>30</v>
      </c>
      <c r="O381">
        <v>19</v>
      </c>
    </row>
    <row r="382" spans="1:15" x14ac:dyDescent="0.25">
      <c r="A382">
        <v>381</v>
      </c>
      <c r="B382">
        <v>385</v>
      </c>
      <c r="C382" t="s">
        <v>1288</v>
      </c>
      <c r="D382" t="s">
        <v>1289</v>
      </c>
      <c r="E382" s="1">
        <v>42248.666666666664</v>
      </c>
      <c r="F382" t="s">
        <v>1290</v>
      </c>
      <c r="G382" t="s">
        <v>17</v>
      </c>
      <c r="H382" t="s">
        <v>1291</v>
      </c>
      <c r="I382">
        <v>15</v>
      </c>
      <c r="J382">
        <v>30</v>
      </c>
      <c r="K382" t="s">
        <v>1292</v>
      </c>
      <c r="L382">
        <v>2015</v>
      </c>
      <c r="M382">
        <v>9</v>
      </c>
      <c r="N382">
        <v>1</v>
      </c>
      <c r="O382">
        <v>16</v>
      </c>
    </row>
    <row r="383" spans="1:15" x14ac:dyDescent="0.25">
      <c r="A383">
        <v>382</v>
      </c>
      <c r="B383">
        <v>386</v>
      </c>
      <c r="C383" t="s">
        <v>1293</v>
      </c>
      <c r="D383" t="s">
        <v>1294</v>
      </c>
      <c r="E383" s="1">
        <v>44686.427083333336</v>
      </c>
      <c r="F383" t="s">
        <v>1295</v>
      </c>
      <c r="G383" t="s">
        <v>32</v>
      </c>
      <c r="H383" t="s">
        <v>1296</v>
      </c>
      <c r="I383">
        <v>25</v>
      </c>
      <c r="J383">
        <v>50</v>
      </c>
      <c r="K383" t="s">
        <v>1297</v>
      </c>
      <c r="L383">
        <v>2022</v>
      </c>
      <c r="M383">
        <v>5</v>
      </c>
      <c r="N383">
        <v>5</v>
      </c>
      <c r="O383">
        <v>10</v>
      </c>
    </row>
    <row r="384" spans="1:15" x14ac:dyDescent="0.25">
      <c r="A384">
        <v>383</v>
      </c>
      <c r="B384">
        <v>387</v>
      </c>
      <c r="C384" t="s">
        <v>1298</v>
      </c>
      <c r="D384" t="s">
        <v>1299</v>
      </c>
      <c r="E384" s="1">
        <v>43289.958333333336</v>
      </c>
      <c r="F384" t="s">
        <v>1300</v>
      </c>
      <c r="G384" t="s">
        <v>27</v>
      </c>
      <c r="H384" t="s">
        <v>1301</v>
      </c>
      <c r="I384">
        <v>40</v>
      </c>
      <c r="J384">
        <v>80</v>
      </c>
      <c r="K384" t="s">
        <v>1302</v>
      </c>
      <c r="L384">
        <v>2018</v>
      </c>
      <c r="M384">
        <v>7</v>
      </c>
      <c r="N384">
        <v>8</v>
      </c>
      <c r="O384">
        <v>23</v>
      </c>
    </row>
    <row r="385" spans="1:15" x14ac:dyDescent="0.25">
      <c r="A385">
        <v>384</v>
      </c>
      <c r="B385">
        <v>388</v>
      </c>
      <c r="C385" t="s">
        <v>1303</v>
      </c>
      <c r="D385" t="s">
        <v>1304</v>
      </c>
      <c r="E385" s="1">
        <v>44459.604166666664</v>
      </c>
      <c r="F385" t="s">
        <v>1305</v>
      </c>
      <c r="G385" t="s">
        <v>17</v>
      </c>
      <c r="H385" t="s">
        <v>1306</v>
      </c>
      <c r="I385">
        <v>18</v>
      </c>
      <c r="J385">
        <v>35</v>
      </c>
      <c r="K385" t="s">
        <v>1307</v>
      </c>
      <c r="L385">
        <v>2021</v>
      </c>
      <c r="M385">
        <v>9</v>
      </c>
      <c r="N385">
        <v>20</v>
      </c>
      <c r="O385">
        <v>14</v>
      </c>
    </row>
    <row r="386" spans="1:15" x14ac:dyDescent="0.25">
      <c r="A386">
        <v>385</v>
      </c>
      <c r="B386">
        <v>389</v>
      </c>
      <c r="C386" t="s">
        <v>1308</v>
      </c>
      <c r="D386" t="s">
        <v>1309</v>
      </c>
      <c r="E386" s="1">
        <v>42689.489583333336</v>
      </c>
      <c r="F386" t="s">
        <v>1310</v>
      </c>
      <c r="G386" t="s">
        <v>32</v>
      </c>
      <c r="H386" t="s">
        <v>1311</v>
      </c>
      <c r="I386">
        <v>28</v>
      </c>
      <c r="J386">
        <v>55</v>
      </c>
      <c r="K386" t="s">
        <v>1312</v>
      </c>
      <c r="L386">
        <v>2016</v>
      </c>
      <c r="M386">
        <v>11</v>
      </c>
      <c r="N386">
        <v>15</v>
      </c>
      <c r="O386">
        <v>11</v>
      </c>
    </row>
    <row r="387" spans="1:15" x14ac:dyDescent="0.25">
      <c r="A387">
        <v>386</v>
      </c>
      <c r="B387">
        <v>390</v>
      </c>
      <c r="C387" t="s">
        <v>1313</v>
      </c>
      <c r="D387" t="s">
        <v>1314</v>
      </c>
      <c r="E387" s="1">
        <v>43842.75</v>
      </c>
      <c r="F387" t="s">
        <v>484</v>
      </c>
      <c r="G387" t="s">
        <v>27</v>
      </c>
      <c r="H387" t="s">
        <v>1315</v>
      </c>
      <c r="I387">
        <v>30</v>
      </c>
      <c r="J387">
        <v>60</v>
      </c>
      <c r="K387" t="s">
        <v>1316</v>
      </c>
      <c r="L387">
        <v>2020</v>
      </c>
      <c r="M387">
        <v>1</v>
      </c>
      <c r="N387">
        <v>12</v>
      </c>
      <c r="O387">
        <v>18</v>
      </c>
    </row>
    <row r="388" spans="1:15" x14ac:dyDescent="0.25">
      <c r="A388">
        <v>387</v>
      </c>
      <c r="B388">
        <v>391</v>
      </c>
      <c r="C388" t="s">
        <v>1317</v>
      </c>
      <c r="D388" t="s">
        <v>1318</v>
      </c>
      <c r="E388" s="1">
        <v>43097.802083333336</v>
      </c>
      <c r="F388" t="s">
        <v>1319</v>
      </c>
      <c r="G388" t="s">
        <v>32</v>
      </c>
      <c r="H388" t="s">
        <v>1320</v>
      </c>
      <c r="I388">
        <v>22</v>
      </c>
      <c r="J388">
        <v>45</v>
      </c>
      <c r="K388" t="s">
        <v>1321</v>
      </c>
      <c r="L388">
        <v>2017</v>
      </c>
      <c r="M388">
        <v>12</v>
      </c>
      <c r="N388">
        <v>28</v>
      </c>
      <c r="O388">
        <v>19</v>
      </c>
    </row>
    <row r="389" spans="1:15" x14ac:dyDescent="0.25">
      <c r="A389">
        <v>388</v>
      </c>
      <c r="B389">
        <v>392</v>
      </c>
      <c r="C389" t="s">
        <v>1322</v>
      </c>
      <c r="D389" t="s">
        <v>1323</v>
      </c>
      <c r="E389" s="1">
        <v>43526.847222222219</v>
      </c>
      <c r="F389" t="s">
        <v>1324</v>
      </c>
      <c r="G389" t="s">
        <v>17</v>
      </c>
      <c r="H389" t="s">
        <v>1325</v>
      </c>
      <c r="I389">
        <v>35</v>
      </c>
      <c r="J389">
        <v>70</v>
      </c>
      <c r="K389" t="s">
        <v>1326</v>
      </c>
      <c r="L389">
        <v>2019</v>
      </c>
      <c r="M389">
        <v>3</v>
      </c>
      <c r="N389">
        <v>2</v>
      </c>
      <c r="O389">
        <v>20</v>
      </c>
    </row>
    <row r="390" spans="1:15" x14ac:dyDescent="0.25">
      <c r="A390">
        <v>389</v>
      </c>
      <c r="B390">
        <v>393</v>
      </c>
      <c r="C390" t="s">
        <v>1327</v>
      </c>
      <c r="D390" t="s">
        <v>1328</v>
      </c>
      <c r="E390" s="1">
        <v>44720.645833333336</v>
      </c>
      <c r="F390" t="s">
        <v>1329</v>
      </c>
      <c r="G390" t="s">
        <v>27</v>
      </c>
      <c r="H390" t="s">
        <v>1330</v>
      </c>
      <c r="I390">
        <v>20</v>
      </c>
      <c r="J390">
        <v>40</v>
      </c>
      <c r="K390" t="s">
        <v>1331</v>
      </c>
      <c r="L390">
        <v>2022</v>
      </c>
      <c r="M390">
        <v>6</v>
      </c>
      <c r="N390">
        <v>8</v>
      </c>
      <c r="O390">
        <v>15</v>
      </c>
    </row>
    <row r="391" spans="1:15" x14ac:dyDescent="0.25">
      <c r="A391">
        <v>390</v>
      </c>
      <c r="B391">
        <v>394</v>
      </c>
      <c r="C391" t="s">
        <v>1332</v>
      </c>
      <c r="D391" t="s">
        <v>1333</v>
      </c>
      <c r="E391" s="1">
        <v>43330.614583333336</v>
      </c>
      <c r="F391" t="s">
        <v>1334</v>
      </c>
      <c r="G391" t="s">
        <v>32</v>
      </c>
      <c r="H391" t="s">
        <v>1335</v>
      </c>
      <c r="I391">
        <v>18</v>
      </c>
      <c r="J391">
        <v>35</v>
      </c>
      <c r="K391" t="s">
        <v>1336</v>
      </c>
      <c r="L391">
        <v>2018</v>
      </c>
      <c r="M391">
        <v>8</v>
      </c>
      <c r="N391">
        <v>18</v>
      </c>
      <c r="O391">
        <v>14</v>
      </c>
    </row>
    <row r="392" spans="1:15" x14ac:dyDescent="0.25">
      <c r="A392">
        <v>391</v>
      </c>
      <c r="B392">
        <v>395</v>
      </c>
      <c r="C392" t="s">
        <v>1337</v>
      </c>
      <c r="D392" t="s">
        <v>1239</v>
      </c>
      <c r="E392" s="1">
        <v>44783.916666666664</v>
      </c>
      <c r="F392" t="s">
        <v>1240</v>
      </c>
      <c r="G392" t="s">
        <v>27</v>
      </c>
      <c r="H392" t="s">
        <v>1338</v>
      </c>
      <c r="I392">
        <v>25</v>
      </c>
      <c r="J392">
        <v>50</v>
      </c>
      <c r="K392" t="s">
        <v>1242</v>
      </c>
      <c r="L392">
        <v>2022</v>
      </c>
      <c r="M392">
        <v>8</v>
      </c>
      <c r="N392">
        <v>10</v>
      </c>
      <c r="O392">
        <v>22</v>
      </c>
    </row>
    <row r="393" spans="1:15" x14ac:dyDescent="0.25">
      <c r="A393">
        <v>392</v>
      </c>
      <c r="B393">
        <v>396</v>
      </c>
      <c r="C393" t="s">
        <v>1339</v>
      </c>
      <c r="D393" t="s">
        <v>1340</v>
      </c>
      <c r="E393" s="1">
        <v>43560.729166666664</v>
      </c>
      <c r="F393" t="s">
        <v>1341</v>
      </c>
      <c r="G393" t="s">
        <v>17</v>
      </c>
      <c r="H393" t="s">
        <v>1342</v>
      </c>
      <c r="I393">
        <v>18</v>
      </c>
      <c r="J393">
        <v>35</v>
      </c>
      <c r="K393" t="s">
        <v>1247</v>
      </c>
      <c r="L393">
        <v>2019</v>
      </c>
      <c r="M393">
        <v>4</v>
      </c>
      <c r="N393">
        <v>5</v>
      </c>
      <c r="O393">
        <v>17</v>
      </c>
    </row>
    <row r="394" spans="1:15" x14ac:dyDescent="0.25">
      <c r="A394">
        <v>393</v>
      </c>
      <c r="B394">
        <v>397</v>
      </c>
      <c r="C394" t="s">
        <v>1343</v>
      </c>
      <c r="D394" t="s">
        <v>1344</v>
      </c>
      <c r="E394" s="1">
        <v>44180.65625</v>
      </c>
      <c r="F394" t="s">
        <v>1345</v>
      </c>
      <c r="G394" t="s">
        <v>32</v>
      </c>
      <c r="H394" t="s">
        <v>1346</v>
      </c>
      <c r="I394">
        <v>22</v>
      </c>
      <c r="J394">
        <v>45</v>
      </c>
      <c r="K394" t="s">
        <v>1252</v>
      </c>
      <c r="L394">
        <v>2020</v>
      </c>
      <c r="M394">
        <v>12</v>
      </c>
      <c r="N394">
        <v>15</v>
      </c>
      <c r="O394">
        <v>15</v>
      </c>
    </row>
    <row r="395" spans="1:15" x14ac:dyDescent="0.25">
      <c r="A395">
        <v>394</v>
      </c>
      <c r="B395">
        <v>398</v>
      </c>
      <c r="C395" t="s">
        <v>1347</v>
      </c>
      <c r="D395" t="s">
        <v>1348</v>
      </c>
      <c r="E395" s="1">
        <v>43028.34375</v>
      </c>
      <c r="F395" t="s">
        <v>1349</v>
      </c>
      <c r="G395" t="s">
        <v>27</v>
      </c>
      <c r="H395" t="s">
        <v>1350</v>
      </c>
      <c r="I395">
        <v>35</v>
      </c>
      <c r="J395">
        <v>70</v>
      </c>
      <c r="K395" t="s">
        <v>1257</v>
      </c>
      <c r="L395">
        <v>2017</v>
      </c>
      <c r="M395">
        <v>10</v>
      </c>
      <c r="N395">
        <v>20</v>
      </c>
      <c r="O395">
        <v>8</v>
      </c>
    </row>
    <row r="396" spans="1:15" x14ac:dyDescent="0.25">
      <c r="A396">
        <v>395</v>
      </c>
      <c r="B396">
        <v>399</v>
      </c>
      <c r="C396" t="s">
        <v>1351</v>
      </c>
      <c r="D396" t="s">
        <v>1352</v>
      </c>
      <c r="E396" s="1">
        <v>44255.541666666664</v>
      </c>
      <c r="F396" t="s">
        <v>1353</v>
      </c>
      <c r="G396" t="s">
        <v>17</v>
      </c>
      <c r="H396" t="s">
        <v>1354</v>
      </c>
      <c r="I396">
        <v>30</v>
      </c>
      <c r="J396">
        <v>60</v>
      </c>
      <c r="K396" t="s">
        <v>1262</v>
      </c>
      <c r="L396">
        <v>2021</v>
      </c>
      <c r="M396">
        <v>2</v>
      </c>
      <c r="N396">
        <v>28</v>
      </c>
      <c r="O396">
        <v>13</v>
      </c>
    </row>
    <row r="397" spans="1:15" x14ac:dyDescent="0.25">
      <c r="A397">
        <v>396</v>
      </c>
      <c r="B397">
        <v>400</v>
      </c>
      <c r="C397" t="s">
        <v>1355</v>
      </c>
      <c r="D397" t="s">
        <v>1356</v>
      </c>
      <c r="E397" s="1">
        <v>43263.854166666664</v>
      </c>
      <c r="F397" t="s">
        <v>1357</v>
      </c>
      <c r="G397" t="s">
        <v>32</v>
      </c>
      <c r="H397" t="s">
        <v>1358</v>
      </c>
      <c r="I397">
        <v>28</v>
      </c>
      <c r="J397">
        <v>55</v>
      </c>
      <c r="K397" t="s">
        <v>1267</v>
      </c>
      <c r="L397">
        <v>2018</v>
      </c>
      <c r="M397">
        <v>6</v>
      </c>
      <c r="N397">
        <v>12</v>
      </c>
      <c r="O397">
        <v>20</v>
      </c>
    </row>
    <row r="398" spans="1:15" x14ac:dyDescent="0.25">
      <c r="A398">
        <v>397</v>
      </c>
      <c r="B398">
        <v>401</v>
      </c>
      <c r="C398" t="s">
        <v>1359</v>
      </c>
      <c r="D398" t="s">
        <v>1269</v>
      </c>
      <c r="E398" s="1">
        <v>42437.597222222219</v>
      </c>
      <c r="F398" t="s">
        <v>1360</v>
      </c>
      <c r="G398" t="s">
        <v>27</v>
      </c>
      <c r="H398" t="s">
        <v>1361</v>
      </c>
      <c r="I398">
        <v>20</v>
      </c>
      <c r="J398">
        <v>40</v>
      </c>
      <c r="K398" t="s">
        <v>1272</v>
      </c>
      <c r="L398">
        <v>2016</v>
      </c>
      <c r="M398">
        <v>3</v>
      </c>
      <c r="N398">
        <v>8</v>
      </c>
      <c r="O398">
        <v>14</v>
      </c>
    </row>
    <row r="399" spans="1:15" x14ac:dyDescent="0.25">
      <c r="A399">
        <v>398</v>
      </c>
      <c r="B399">
        <v>402</v>
      </c>
      <c r="C399" t="s">
        <v>1362</v>
      </c>
      <c r="D399" t="s">
        <v>1188</v>
      </c>
      <c r="E399" s="1">
        <v>45034.715277777781</v>
      </c>
      <c r="F399" t="s">
        <v>1275</v>
      </c>
      <c r="G399" t="s">
        <v>17</v>
      </c>
      <c r="H399" t="s">
        <v>1363</v>
      </c>
      <c r="I399">
        <v>18</v>
      </c>
      <c r="J399">
        <v>35</v>
      </c>
      <c r="K399" t="s">
        <v>1277</v>
      </c>
      <c r="L399">
        <v>2023</v>
      </c>
      <c r="M399">
        <v>4</v>
      </c>
      <c r="N399">
        <v>18</v>
      </c>
      <c r="O399">
        <v>17</v>
      </c>
    </row>
    <row r="400" spans="1:15" x14ac:dyDescent="0.25">
      <c r="A400">
        <v>399</v>
      </c>
      <c r="B400">
        <v>403</v>
      </c>
      <c r="C400" t="s">
        <v>1364</v>
      </c>
      <c r="D400" t="s">
        <v>1365</v>
      </c>
      <c r="E400" s="1">
        <v>44037.53125</v>
      </c>
      <c r="F400" t="s">
        <v>1366</v>
      </c>
      <c r="G400" t="s">
        <v>32</v>
      </c>
      <c r="H400" t="s">
        <v>1367</v>
      </c>
      <c r="I400">
        <v>22</v>
      </c>
      <c r="J400">
        <v>45</v>
      </c>
      <c r="K400" t="s">
        <v>1282</v>
      </c>
      <c r="L400">
        <v>2020</v>
      </c>
      <c r="M400">
        <v>7</v>
      </c>
      <c r="N400">
        <v>25</v>
      </c>
      <c r="O400">
        <v>12</v>
      </c>
    </row>
    <row r="401" spans="1:15" x14ac:dyDescent="0.25">
      <c r="A401">
        <v>400</v>
      </c>
      <c r="B401">
        <v>404</v>
      </c>
      <c r="C401" t="s">
        <v>1368</v>
      </c>
      <c r="D401" t="s">
        <v>1369</v>
      </c>
      <c r="E401" s="1">
        <v>43799.8125</v>
      </c>
      <c r="F401" t="s">
        <v>1285</v>
      </c>
      <c r="G401" t="s">
        <v>27</v>
      </c>
      <c r="H401" t="s">
        <v>1286</v>
      </c>
      <c r="I401">
        <v>35</v>
      </c>
      <c r="J401">
        <v>70</v>
      </c>
      <c r="K401" t="s">
        <v>1287</v>
      </c>
      <c r="L401">
        <v>2019</v>
      </c>
      <c r="M401">
        <v>11</v>
      </c>
      <c r="N401">
        <v>30</v>
      </c>
      <c r="O401">
        <v>19</v>
      </c>
    </row>
    <row r="402" spans="1:15" x14ac:dyDescent="0.25">
      <c r="A402">
        <v>401</v>
      </c>
      <c r="B402">
        <v>405</v>
      </c>
      <c r="C402" t="s">
        <v>1370</v>
      </c>
      <c r="D402" t="s">
        <v>1371</v>
      </c>
      <c r="E402" s="1">
        <v>42248.666666666664</v>
      </c>
      <c r="F402" t="s">
        <v>1290</v>
      </c>
      <c r="G402" t="s">
        <v>17</v>
      </c>
      <c r="H402" t="s">
        <v>1372</v>
      </c>
      <c r="I402">
        <v>15</v>
      </c>
      <c r="J402">
        <v>30</v>
      </c>
      <c r="K402" t="s">
        <v>1292</v>
      </c>
      <c r="L402">
        <v>2015</v>
      </c>
      <c r="M402">
        <v>9</v>
      </c>
      <c r="N402">
        <v>1</v>
      </c>
      <c r="O402">
        <v>16</v>
      </c>
    </row>
    <row r="403" spans="1:15" x14ac:dyDescent="0.25">
      <c r="A403">
        <v>402</v>
      </c>
      <c r="B403">
        <v>406</v>
      </c>
      <c r="C403" t="s">
        <v>1373</v>
      </c>
      <c r="D403" t="s">
        <v>1374</v>
      </c>
      <c r="E403" s="1">
        <v>44686.427083333336</v>
      </c>
      <c r="F403" t="s">
        <v>1295</v>
      </c>
      <c r="G403" t="s">
        <v>32</v>
      </c>
      <c r="H403" t="s">
        <v>1296</v>
      </c>
      <c r="I403">
        <v>25</v>
      </c>
      <c r="J403">
        <v>50</v>
      </c>
      <c r="K403" t="s">
        <v>1297</v>
      </c>
      <c r="L403">
        <v>2022</v>
      </c>
      <c r="M403">
        <v>5</v>
      </c>
      <c r="N403">
        <v>5</v>
      </c>
      <c r="O403">
        <v>10</v>
      </c>
    </row>
    <row r="404" spans="1:15" x14ac:dyDescent="0.25">
      <c r="A404">
        <v>403</v>
      </c>
      <c r="B404">
        <v>407</v>
      </c>
      <c r="C404" t="s">
        <v>1375</v>
      </c>
      <c r="D404" t="s">
        <v>1376</v>
      </c>
      <c r="E404" s="1">
        <v>43289.958333333336</v>
      </c>
      <c r="F404" t="s">
        <v>1300</v>
      </c>
      <c r="G404" t="s">
        <v>27</v>
      </c>
      <c r="H404" t="s">
        <v>1301</v>
      </c>
      <c r="I404">
        <v>40</v>
      </c>
      <c r="J404">
        <v>80</v>
      </c>
      <c r="K404" t="s">
        <v>1302</v>
      </c>
      <c r="L404">
        <v>2018</v>
      </c>
      <c r="M404">
        <v>7</v>
      </c>
      <c r="N404">
        <v>8</v>
      </c>
      <c r="O404">
        <v>23</v>
      </c>
    </row>
    <row r="405" spans="1:15" x14ac:dyDescent="0.25">
      <c r="A405">
        <v>404</v>
      </c>
      <c r="B405">
        <v>408</v>
      </c>
      <c r="C405" t="s">
        <v>1303</v>
      </c>
      <c r="D405" t="s">
        <v>1304</v>
      </c>
      <c r="E405" s="1">
        <v>44459.604166666664</v>
      </c>
      <c r="F405" t="s">
        <v>1305</v>
      </c>
      <c r="G405" t="s">
        <v>17</v>
      </c>
      <c r="H405" t="s">
        <v>1306</v>
      </c>
      <c r="I405">
        <v>18</v>
      </c>
      <c r="J405">
        <v>35</v>
      </c>
      <c r="K405" t="s">
        <v>1307</v>
      </c>
      <c r="L405">
        <v>2021</v>
      </c>
      <c r="M405">
        <v>9</v>
      </c>
      <c r="N405">
        <v>20</v>
      </c>
      <c r="O405">
        <v>14</v>
      </c>
    </row>
    <row r="406" spans="1:15" x14ac:dyDescent="0.25">
      <c r="A406">
        <v>405</v>
      </c>
      <c r="B406">
        <v>409</v>
      </c>
      <c r="C406" t="s">
        <v>1308</v>
      </c>
      <c r="D406" t="s">
        <v>1377</v>
      </c>
      <c r="E406" s="1">
        <v>42689.489583333336</v>
      </c>
      <c r="F406" t="s">
        <v>1310</v>
      </c>
      <c r="G406" t="s">
        <v>32</v>
      </c>
      <c r="H406" t="s">
        <v>1311</v>
      </c>
      <c r="I406">
        <v>28</v>
      </c>
      <c r="J406">
        <v>55</v>
      </c>
      <c r="K406" t="s">
        <v>1312</v>
      </c>
      <c r="L406">
        <v>2016</v>
      </c>
      <c r="M406">
        <v>11</v>
      </c>
      <c r="N406">
        <v>15</v>
      </c>
      <c r="O406">
        <v>11</v>
      </c>
    </row>
    <row r="407" spans="1:15" x14ac:dyDescent="0.25">
      <c r="A407">
        <v>406</v>
      </c>
      <c r="B407">
        <v>410</v>
      </c>
      <c r="C407" t="s">
        <v>1313</v>
      </c>
      <c r="D407" t="s">
        <v>1314</v>
      </c>
      <c r="E407" s="1">
        <v>43842.75</v>
      </c>
      <c r="F407" t="s">
        <v>484</v>
      </c>
      <c r="G407" t="s">
        <v>27</v>
      </c>
      <c r="H407" t="s">
        <v>1315</v>
      </c>
      <c r="I407">
        <v>30</v>
      </c>
      <c r="J407">
        <v>60</v>
      </c>
      <c r="K407" t="s">
        <v>1316</v>
      </c>
      <c r="L407">
        <v>2020</v>
      </c>
      <c r="M407">
        <v>1</v>
      </c>
      <c r="N407">
        <v>12</v>
      </c>
      <c r="O407">
        <v>18</v>
      </c>
    </row>
    <row r="408" spans="1:15" x14ac:dyDescent="0.25">
      <c r="A408">
        <v>407</v>
      </c>
      <c r="B408">
        <v>411</v>
      </c>
      <c r="C408" t="s">
        <v>1317</v>
      </c>
      <c r="D408" t="s">
        <v>1318</v>
      </c>
      <c r="E408" s="1">
        <v>43097.802083333336</v>
      </c>
      <c r="F408" t="s">
        <v>1319</v>
      </c>
      <c r="G408" t="s">
        <v>32</v>
      </c>
      <c r="H408" t="s">
        <v>1320</v>
      </c>
      <c r="I408">
        <v>22</v>
      </c>
      <c r="J408">
        <v>45</v>
      </c>
      <c r="K408" t="s">
        <v>1321</v>
      </c>
      <c r="L408">
        <v>2017</v>
      </c>
      <c r="M408">
        <v>12</v>
      </c>
      <c r="N408">
        <v>28</v>
      </c>
      <c r="O408">
        <v>19</v>
      </c>
    </row>
    <row r="409" spans="1:15" x14ac:dyDescent="0.25">
      <c r="A409">
        <v>408</v>
      </c>
      <c r="B409">
        <v>412</v>
      </c>
      <c r="C409" t="s">
        <v>1378</v>
      </c>
      <c r="D409" t="s">
        <v>1379</v>
      </c>
      <c r="E409" s="1">
        <v>43526.847222222219</v>
      </c>
      <c r="F409" t="s">
        <v>1324</v>
      </c>
      <c r="G409" t="s">
        <v>17</v>
      </c>
      <c r="H409" t="s">
        <v>1380</v>
      </c>
      <c r="I409">
        <v>35</v>
      </c>
      <c r="J409">
        <v>70</v>
      </c>
      <c r="K409" t="s">
        <v>1326</v>
      </c>
      <c r="L409">
        <v>2019</v>
      </c>
      <c r="M409">
        <v>3</v>
      </c>
      <c r="N409">
        <v>2</v>
      </c>
      <c r="O409">
        <v>20</v>
      </c>
    </row>
    <row r="410" spans="1:15" x14ac:dyDescent="0.25">
      <c r="A410">
        <v>409</v>
      </c>
      <c r="B410">
        <v>413</v>
      </c>
      <c r="C410" t="s">
        <v>1381</v>
      </c>
      <c r="D410" t="s">
        <v>1382</v>
      </c>
      <c r="E410" s="1">
        <v>44720.645833333336</v>
      </c>
      <c r="F410" t="s">
        <v>1329</v>
      </c>
      <c r="G410" t="s">
        <v>27</v>
      </c>
      <c r="H410" t="s">
        <v>1383</v>
      </c>
      <c r="I410">
        <v>20</v>
      </c>
      <c r="J410">
        <v>40</v>
      </c>
      <c r="K410" t="s">
        <v>1331</v>
      </c>
      <c r="L410">
        <v>2022</v>
      </c>
      <c r="M410">
        <v>6</v>
      </c>
      <c r="N410">
        <v>8</v>
      </c>
      <c r="O410">
        <v>15</v>
      </c>
    </row>
    <row r="411" spans="1:15" x14ac:dyDescent="0.25">
      <c r="A411">
        <v>410</v>
      </c>
      <c r="B411">
        <v>414</v>
      </c>
      <c r="C411" t="s">
        <v>1384</v>
      </c>
      <c r="D411" t="s">
        <v>1333</v>
      </c>
      <c r="E411" s="1">
        <v>43330.614583333336</v>
      </c>
      <c r="F411" t="s">
        <v>1334</v>
      </c>
      <c r="G411" t="s">
        <v>32</v>
      </c>
      <c r="H411" t="s">
        <v>1335</v>
      </c>
      <c r="I411">
        <v>18</v>
      </c>
      <c r="J411">
        <v>35</v>
      </c>
      <c r="K411" t="s">
        <v>1336</v>
      </c>
      <c r="L411">
        <v>2018</v>
      </c>
      <c r="M411">
        <v>8</v>
      </c>
      <c r="N411">
        <v>18</v>
      </c>
      <c r="O411">
        <v>14</v>
      </c>
    </row>
    <row r="412" spans="1:15" x14ac:dyDescent="0.25">
      <c r="A412">
        <v>411</v>
      </c>
      <c r="B412">
        <v>415</v>
      </c>
      <c r="C412" t="s">
        <v>1385</v>
      </c>
      <c r="D412" t="s">
        <v>1386</v>
      </c>
      <c r="E412" s="1">
        <v>42316.416666666664</v>
      </c>
      <c r="F412" t="s">
        <v>1236</v>
      </c>
      <c r="G412" t="s">
        <v>27</v>
      </c>
      <c r="H412" t="s">
        <v>1387</v>
      </c>
      <c r="I412">
        <v>18</v>
      </c>
      <c r="J412">
        <v>35</v>
      </c>
      <c r="K412" t="s">
        <v>39</v>
      </c>
      <c r="L412">
        <v>2015</v>
      </c>
      <c r="M412">
        <v>11</v>
      </c>
      <c r="N412">
        <v>8</v>
      </c>
      <c r="O412">
        <v>10</v>
      </c>
    </row>
    <row r="413" spans="1:15" x14ac:dyDescent="0.25">
      <c r="A413">
        <v>412</v>
      </c>
      <c r="B413">
        <v>416</v>
      </c>
      <c r="C413" t="s">
        <v>1388</v>
      </c>
      <c r="D413" t="s">
        <v>284</v>
      </c>
      <c r="E413" s="1">
        <v>44167.729166666664</v>
      </c>
      <c r="F413" t="s">
        <v>1389</v>
      </c>
      <c r="G413" t="s">
        <v>17</v>
      </c>
      <c r="H413" t="s">
        <v>1390</v>
      </c>
      <c r="I413">
        <v>22</v>
      </c>
      <c r="J413">
        <v>45</v>
      </c>
      <c r="K413" t="s">
        <v>1391</v>
      </c>
      <c r="L413">
        <v>2020</v>
      </c>
      <c r="M413">
        <v>12</v>
      </c>
      <c r="N413">
        <v>2</v>
      </c>
      <c r="O413">
        <v>17</v>
      </c>
    </row>
    <row r="414" spans="1:15" x14ac:dyDescent="0.25">
      <c r="A414">
        <v>413</v>
      </c>
      <c r="B414">
        <v>417</v>
      </c>
      <c r="C414" t="s">
        <v>1392</v>
      </c>
      <c r="D414" t="s">
        <v>878</v>
      </c>
      <c r="E414" s="1">
        <v>42896.510416666664</v>
      </c>
      <c r="F414" t="s">
        <v>1393</v>
      </c>
      <c r="G414" t="s">
        <v>27</v>
      </c>
      <c r="H414" t="s">
        <v>1394</v>
      </c>
      <c r="I414">
        <v>28</v>
      </c>
      <c r="J414">
        <v>55</v>
      </c>
      <c r="K414" t="s">
        <v>1395</v>
      </c>
      <c r="L414">
        <v>2017</v>
      </c>
      <c r="M414">
        <v>6</v>
      </c>
      <c r="N414">
        <v>10</v>
      </c>
      <c r="O414">
        <v>12</v>
      </c>
    </row>
    <row r="415" spans="1:15" x14ac:dyDescent="0.25">
      <c r="A415">
        <v>414</v>
      </c>
      <c r="B415">
        <v>418</v>
      </c>
      <c r="C415" t="s">
        <v>1396</v>
      </c>
      <c r="D415" t="s">
        <v>1397</v>
      </c>
      <c r="E415" s="1">
        <v>44301.597222222219</v>
      </c>
      <c r="F415" t="s">
        <v>1398</v>
      </c>
      <c r="G415" t="s">
        <v>32</v>
      </c>
      <c r="H415" t="s">
        <v>1399</v>
      </c>
      <c r="I415">
        <v>35</v>
      </c>
      <c r="J415">
        <v>70</v>
      </c>
      <c r="K415" t="s">
        <v>1272</v>
      </c>
      <c r="L415">
        <v>2021</v>
      </c>
      <c r="M415">
        <v>4</v>
      </c>
      <c r="N415">
        <v>15</v>
      </c>
      <c r="O415">
        <v>14</v>
      </c>
    </row>
    <row r="416" spans="1:15" x14ac:dyDescent="0.25">
      <c r="A416">
        <v>415</v>
      </c>
      <c r="B416">
        <v>419</v>
      </c>
      <c r="C416" t="s">
        <v>1400</v>
      </c>
      <c r="D416" t="s">
        <v>1401</v>
      </c>
      <c r="E416" s="1">
        <v>43736.822916666664</v>
      </c>
      <c r="F416" t="s">
        <v>1402</v>
      </c>
      <c r="G416" t="s">
        <v>17</v>
      </c>
      <c r="H416" t="s">
        <v>1403</v>
      </c>
      <c r="I416">
        <v>20</v>
      </c>
      <c r="J416">
        <v>40</v>
      </c>
      <c r="K416" t="s">
        <v>1404</v>
      </c>
      <c r="L416">
        <v>2019</v>
      </c>
      <c r="M416">
        <v>9</v>
      </c>
      <c r="N416">
        <v>28</v>
      </c>
      <c r="O416">
        <v>19</v>
      </c>
    </row>
    <row r="417" spans="1:15" x14ac:dyDescent="0.25">
      <c r="A417">
        <v>416</v>
      </c>
      <c r="B417">
        <v>420</v>
      </c>
      <c r="C417" t="s">
        <v>1405</v>
      </c>
      <c r="D417" t="s">
        <v>1406</v>
      </c>
      <c r="E417" s="1">
        <v>42709.875</v>
      </c>
      <c r="F417" t="s">
        <v>1407</v>
      </c>
      <c r="G417" t="s">
        <v>27</v>
      </c>
      <c r="H417" t="s">
        <v>1408</v>
      </c>
      <c r="I417">
        <v>25</v>
      </c>
      <c r="J417">
        <v>50</v>
      </c>
      <c r="K417" t="s">
        <v>1409</v>
      </c>
      <c r="L417">
        <v>2016</v>
      </c>
      <c r="M417">
        <v>12</v>
      </c>
      <c r="N417">
        <v>5</v>
      </c>
      <c r="O417">
        <v>21</v>
      </c>
    </row>
    <row r="418" spans="1:15" x14ac:dyDescent="0.25">
      <c r="A418">
        <v>417</v>
      </c>
      <c r="B418">
        <v>421</v>
      </c>
      <c r="C418" t="s">
        <v>1410</v>
      </c>
      <c r="D418" t="s">
        <v>1411</v>
      </c>
      <c r="E418" s="1">
        <v>43141.979166666664</v>
      </c>
      <c r="F418" t="s">
        <v>1412</v>
      </c>
      <c r="G418" t="s">
        <v>32</v>
      </c>
      <c r="H418" t="s">
        <v>1413</v>
      </c>
      <c r="I418">
        <v>30</v>
      </c>
      <c r="J418">
        <v>60</v>
      </c>
      <c r="K418" t="s">
        <v>1414</v>
      </c>
      <c r="L418">
        <v>2018</v>
      </c>
      <c r="M418">
        <v>2</v>
      </c>
      <c r="N418">
        <v>10</v>
      </c>
      <c r="O418">
        <v>23</v>
      </c>
    </row>
    <row r="419" spans="1:15" x14ac:dyDescent="0.25">
      <c r="A419">
        <v>418</v>
      </c>
      <c r="B419">
        <v>422</v>
      </c>
      <c r="C419" t="s">
        <v>1415</v>
      </c>
      <c r="D419" t="s">
        <v>1416</v>
      </c>
      <c r="E419" s="1">
        <v>44972.354166666664</v>
      </c>
      <c r="F419" t="s">
        <v>1417</v>
      </c>
      <c r="G419" t="s">
        <v>17</v>
      </c>
      <c r="H419" t="s">
        <v>1418</v>
      </c>
      <c r="I419">
        <v>18</v>
      </c>
      <c r="J419">
        <v>35</v>
      </c>
      <c r="K419" t="s">
        <v>1419</v>
      </c>
      <c r="L419">
        <v>2023</v>
      </c>
      <c r="M419">
        <v>2</v>
      </c>
      <c r="N419">
        <v>15</v>
      </c>
      <c r="O419">
        <v>8</v>
      </c>
    </row>
    <row r="420" spans="1:15" x14ac:dyDescent="0.25">
      <c r="A420">
        <v>419</v>
      </c>
      <c r="B420">
        <v>423</v>
      </c>
      <c r="C420" t="s">
        <v>1420</v>
      </c>
      <c r="D420" t="s">
        <v>1421</v>
      </c>
      <c r="E420" s="1">
        <v>42238.625</v>
      </c>
      <c r="F420" t="s">
        <v>1422</v>
      </c>
      <c r="G420" t="s">
        <v>27</v>
      </c>
      <c r="H420" t="s">
        <v>1423</v>
      </c>
      <c r="I420">
        <v>22</v>
      </c>
      <c r="J420">
        <v>45</v>
      </c>
      <c r="K420" t="s">
        <v>1424</v>
      </c>
      <c r="L420">
        <v>2015</v>
      </c>
      <c r="M420">
        <v>8</v>
      </c>
      <c r="N420">
        <v>22</v>
      </c>
      <c r="O420">
        <v>15</v>
      </c>
    </row>
    <row r="421" spans="1:15" x14ac:dyDescent="0.25">
      <c r="A421">
        <v>420</v>
      </c>
      <c r="B421">
        <v>424</v>
      </c>
      <c r="C421" t="s">
        <v>1425</v>
      </c>
      <c r="D421" t="s">
        <v>1426</v>
      </c>
      <c r="E421" s="1">
        <v>44155.78125</v>
      </c>
      <c r="F421" t="s">
        <v>1427</v>
      </c>
      <c r="G421" t="s">
        <v>32</v>
      </c>
      <c r="H421" t="s">
        <v>1428</v>
      </c>
      <c r="I421">
        <v>28</v>
      </c>
      <c r="J421">
        <v>55</v>
      </c>
      <c r="K421" t="s">
        <v>1429</v>
      </c>
      <c r="L421">
        <v>2020</v>
      </c>
      <c r="M421">
        <v>11</v>
      </c>
      <c r="N421">
        <v>20</v>
      </c>
      <c r="O421">
        <v>18</v>
      </c>
    </row>
    <row r="422" spans="1:15" x14ac:dyDescent="0.25">
      <c r="A422">
        <v>421</v>
      </c>
      <c r="B422">
        <v>425</v>
      </c>
      <c r="C422" t="s">
        <v>1430</v>
      </c>
      <c r="D422" t="s">
        <v>1431</v>
      </c>
      <c r="E422" s="1">
        <v>43682.875</v>
      </c>
      <c r="F422" t="s">
        <v>1432</v>
      </c>
      <c r="G422" t="s">
        <v>27</v>
      </c>
      <c r="H422" t="s">
        <v>1433</v>
      </c>
      <c r="I422">
        <v>15</v>
      </c>
      <c r="J422">
        <v>30</v>
      </c>
      <c r="K422" t="s">
        <v>1272</v>
      </c>
      <c r="L422">
        <v>2019</v>
      </c>
      <c r="M422">
        <v>8</v>
      </c>
      <c r="N422">
        <v>5</v>
      </c>
      <c r="O422">
        <v>21</v>
      </c>
    </row>
    <row r="423" spans="1:15" x14ac:dyDescent="0.25">
      <c r="A423">
        <v>422</v>
      </c>
      <c r="B423">
        <v>426</v>
      </c>
      <c r="C423" t="s">
        <v>1434</v>
      </c>
      <c r="D423" t="s">
        <v>1435</v>
      </c>
      <c r="E423" s="1">
        <v>44239.697916666664</v>
      </c>
      <c r="F423" t="s">
        <v>1436</v>
      </c>
      <c r="G423" t="s">
        <v>17</v>
      </c>
      <c r="H423" t="s">
        <v>1437</v>
      </c>
      <c r="I423">
        <v>18</v>
      </c>
      <c r="J423">
        <v>35</v>
      </c>
      <c r="K423" t="s">
        <v>594</v>
      </c>
      <c r="L423">
        <v>2021</v>
      </c>
      <c r="M423">
        <v>2</v>
      </c>
      <c r="N423">
        <v>12</v>
      </c>
      <c r="O423">
        <v>16</v>
      </c>
    </row>
    <row r="424" spans="1:15" x14ac:dyDescent="0.25">
      <c r="A424">
        <v>423</v>
      </c>
      <c r="B424">
        <v>427</v>
      </c>
      <c r="C424" t="s">
        <v>1438</v>
      </c>
      <c r="D424" t="s">
        <v>1439</v>
      </c>
      <c r="E424" s="1">
        <v>44163.597222222219</v>
      </c>
      <c r="F424" t="s">
        <v>1440</v>
      </c>
      <c r="G424" t="s">
        <v>32</v>
      </c>
      <c r="H424" t="s">
        <v>1441</v>
      </c>
      <c r="I424">
        <v>22</v>
      </c>
      <c r="J424">
        <v>45</v>
      </c>
      <c r="K424" t="s">
        <v>1404</v>
      </c>
      <c r="L424">
        <v>2020</v>
      </c>
      <c r="M424">
        <v>11</v>
      </c>
      <c r="N424">
        <v>28</v>
      </c>
      <c r="O424">
        <v>14</v>
      </c>
    </row>
    <row r="425" spans="1:15" x14ac:dyDescent="0.25">
      <c r="A425">
        <v>424</v>
      </c>
      <c r="B425">
        <v>428</v>
      </c>
      <c r="C425" t="s">
        <v>1442</v>
      </c>
      <c r="D425" t="s">
        <v>1443</v>
      </c>
      <c r="E425" s="1">
        <v>42505.9375</v>
      </c>
      <c r="F425" t="s">
        <v>1444</v>
      </c>
      <c r="G425" t="s">
        <v>27</v>
      </c>
      <c r="H425" t="s">
        <v>1445</v>
      </c>
      <c r="I425">
        <v>28</v>
      </c>
      <c r="J425">
        <v>55</v>
      </c>
      <c r="K425" t="s">
        <v>1446</v>
      </c>
      <c r="L425">
        <v>2016</v>
      </c>
      <c r="M425">
        <v>5</v>
      </c>
      <c r="N425">
        <v>15</v>
      </c>
      <c r="O425">
        <v>22</v>
      </c>
    </row>
    <row r="426" spans="1:15" x14ac:dyDescent="0.25">
      <c r="A426">
        <v>425</v>
      </c>
      <c r="B426">
        <v>429</v>
      </c>
      <c r="C426" t="s">
        <v>1447</v>
      </c>
      <c r="D426" t="s">
        <v>1448</v>
      </c>
      <c r="E426" s="1">
        <v>43353.552083333336</v>
      </c>
      <c r="F426" t="s">
        <v>1449</v>
      </c>
      <c r="G426" t="s">
        <v>17</v>
      </c>
      <c r="H426" t="s">
        <v>1450</v>
      </c>
      <c r="I426">
        <v>22</v>
      </c>
      <c r="J426">
        <v>45</v>
      </c>
      <c r="K426" t="s">
        <v>1282</v>
      </c>
      <c r="L426">
        <v>2018</v>
      </c>
      <c r="M426">
        <v>9</v>
      </c>
      <c r="N426">
        <v>10</v>
      </c>
      <c r="O426">
        <v>13</v>
      </c>
    </row>
    <row r="427" spans="1:15" x14ac:dyDescent="0.25">
      <c r="A427">
        <v>426</v>
      </c>
      <c r="B427">
        <v>430</v>
      </c>
      <c r="C427" t="s">
        <v>1451</v>
      </c>
      <c r="D427" t="s">
        <v>1452</v>
      </c>
      <c r="E427" s="1">
        <v>44640.8125</v>
      </c>
      <c r="F427" t="s">
        <v>1453</v>
      </c>
      <c r="G427" t="s">
        <v>32</v>
      </c>
      <c r="H427" t="s">
        <v>1454</v>
      </c>
      <c r="I427">
        <v>25</v>
      </c>
      <c r="J427">
        <v>50</v>
      </c>
      <c r="K427" t="s">
        <v>1424</v>
      </c>
      <c r="L427">
        <v>2022</v>
      </c>
      <c r="M427">
        <v>3</v>
      </c>
      <c r="N427">
        <v>20</v>
      </c>
      <c r="O427">
        <v>19</v>
      </c>
    </row>
    <row r="428" spans="1:15" x14ac:dyDescent="0.25">
      <c r="A428">
        <v>427</v>
      </c>
      <c r="B428">
        <v>431</v>
      </c>
      <c r="C428" t="s">
        <v>1455</v>
      </c>
      <c r="D428" t="s">
        <v>1456</v>
      </c>
      <c r="E428" s="1">
        <v>42934.739583333336</v>
      </c>
      <c r="F428" t="s">
        <v>1457</v>
      </c>
      <c r="G428" t="s">
        <v>27</v>
      </c>
      <c r="H428" t="s">
        <v>1458</v>
      </c>
      <c r="I428">
        <v>30</v>
      </c>
      <c r="J428">
        <v>60</v>
      </c>
      <c r="K428" t="s">
        <v>1409</v>
      </c>
      <c r="L428">
        <v>2017</v>
      </c>
      <c r="M428">
        <v>7</v>
      </c>
      <c r="N428">
        <v>18</v>
      </c>
      <c r="O428">
        <v>17</v>
      </c>
    </row>
    <row r="429" spans="1:15" x14ac:dyDescent="0.25">
      <c r="A429">
        <v>428</v>
      </c>
      <c r="B429">
        <v>432</v>
      </c>
      <c r="C429" t="s">
        <v>1459</v>
      </c>
      <c r="D429" t="s">
        <v>1460</v>
      </c>
      <c r="E429" s="1">
        <v>43449.416666666664</v>
      </c>
      <c r="F429" t="s">
        <v>1461</v>
      </c>
      <c r="G429" t="s">
        <v>17</v>
      </c>
      <c r="H429" t="s">
        <v>1462</v>
      </c>
      <c r="I429">
        <v>18</v>
      </c>
      <c r="J429">
        <v>35</v>
      </c>
      <c r="K429" t="s">
        <v>1463</v>
      </c>
      <c r="L429">
        <v>2018</v>
      </c>
      <c r="M429">
        <v>12</v>
      </c>
      <c r="N429">
        <v>15</v>
      </c>
      <c r="O429">
        <v>10</v>
      </c>
    </row>
    <row r="430" spans="1:15" x14ac:dyDescent="0.25">
      <c r="A430">
        <v>429</v>
      </c>
      <c r="B430">
        <v>433</v>
      </c>
      <c r="C430" t="s">
        <v>1464</v>
      </c>
      <c r="D430" t="s">
        <v>1439</v>
      </c>
      <c r="E430" s="1">
        <v>42183.885416666664</v>
      </c>
      <c r="F430" t="s">
        <v>1465</v>
      </c>
      <c r="G430" t="s">
        <v>32</v>
      </c>
      <c r="H430" t="s">
        <v>1466</v>
      </c>
      <c r="I430">
        <v>28</v>
      </c>
      <c r="J430">
        <v>55</v>
      </c>
      <c r="K430" t="s">
        <v>1467</v>
      </c>
      <c r="L430">
        <v>2015</v>
      </c>
      <c r="M430">
        <v>6</v>
      </c>
      <c r="N430">
        <v>28</v>
      </c>
      <c r="O430">
        <v>21</v>
      </c>
    </row>
    <row r="431" spans="1:15" x14ac:dyDescent="0.25">
      <c r="A431">
        <v>430</v>
      </c>
      <c r="B431">
        <v>434</v>
      </c>
      <c r="C431" t="s">
        <v>1468</v>
      </c>
      <c r="D431" t="s">
        <v>1469</v>
      </c>
      <c r="E431" s="1">
        <v>43923.597222222219</v>
      </c>
      <c r="F431" t="s">
        <v>1470</v>
      </c>
      <c r="G431" t="s">
        <v>27</v>
      </c>
      <c r="H431" t="s">
        <v>1471</v>
      </c>
      <c r="I431">
        <v>35</v>
      </c>
      <c r="J431">
        <v>70</v>
      </c>
      <c r="K431" t="s">
        <v>1472</v>
      </c>
      <c r="L431">
        <v>2020</v>
      </c>
      <c r="M431">
        <v>4</v>
      </c>
      <c r="N431">
        <v>2</v>
      </c>
      <c r="O431">
        <v>14</v>
      </c>
    </row>
    <row r="432" spans="1:15" x14ac:dyDescent="0.25">
      <c r="A432">
        <v>431</v>
      </c>
      <c r="B432">
        <v>435</v>
      </c>
      <c r="C432" t="s">
        <v>1473</v>
      </c>
      <c r="D432" t="s">
        <v>1474</v>
      </c>
      <c r="E432" s="1">
        <v>43746.770833333336</v>
      </c>
      <c r="F432" t="s">
        <v>1475</v>
      </c>
      <c r="G432" t="s">
        <v>17</v>
      </c>
      <c r="H432" t="s">
        <v>1476</v>
      </c>
      <c r="I432">
        <v>20</v>
      </c>
      <c r="J432">
        <v>40</v>
      </c>
      <c r="K432" t="s">
        <v>1477</v>
      </c>
      <c r="L432">
        <v>2019</v>
      </c>
      <c r="M432">
        <v>10</v>
      </c>
      <c r="N432">
        <v>8</v>
      </c>
      <c r="O432">
        <v>18</v>
      </c>
    </row>
    <row r="433" spans="1:15" x14ac:dyDescent="0.25">
      <c r="A433">
        <v>432</v>
      </c>
      <c r="B433">
        <v>436</v>
      </c>
      <c r="C433" t="s">
        <v>1478</v>
      </c>
      <c r="D433" t="s">
        <v>1479</v>
      </c>
      <c r="E433" s="1">
        <v>42696.40625</v>
      </c>
      <c r="F433" t="s">
        <v>1480</v>
      </c>
      <c r="G433" t="s">
        <v>32</v>
      </c>
      <c r="H433" t="s">
        <v>1481</v>
      </c>
      <c r="I433">
        <v>22</v>
      </c>
      <c r="J433">
        <v>45</v>
      </c>
      <c r="K433" t="s">
        <v>1482</v>
      </c>
      <c r="L433">
        <v>2016</v>
      </c>
      <c r="M433">
        <v>11</v>
      </c>
      <c r="N433">
        <v>22</v>
      </c>
      <c r="O433">
        <v>9</v>
      </c>
    </row>
    <row r="434" spans="1:15" x14ac:dyDescent="0.25">
      <c r="A434">
        <v>433</v>
      </c>
      <c r="B434">
        <v>437</v>
      </c>
      <c r="C434" t="s">
        <v>1483</v>
      </c>
      <c r="D434" t="s">
        <v>1443</v>
      </c>
      <c r="E434" s="1">
        <v>44791.916666666664</v>
      </c>
      <c r="F434" t="s">
        <v>1484</v>
      </c>
      <c r="G434" t="s">
        <v>27</v>
      </c>
      <c r="H434" t="s">
        <v>1485</v>
      </c>
      <c r="I434">
        <v>40</v>
      </c>
      <c r="J434">
        <v>80</v>
      </c>
      <c r="K434" t="s">
        <v>1486</v>
      </c>
      <c r="L434">
        <v>2022</v>
      </c>
      <c r="M434">
        <v>8</v>
      </c>
      <c r="N434">
        <v>18</v>
      </c>
      <c r="O434">
        <v>22</v>
      </c>
    </row>
    <row r="435" spans="1:15" x14ac:dyDescent="0.25">
      <c r="A435">
        <v>434</v>
      </c>
      <c r="B435">
        <v>438</v>
      </c>
      <c r="C435" t="s">
        <v>1487</v>
      </c>
      <c r="D435" t="s">
        <v>1488</v>
      </c>
      <c r="E435" s="1">
        <v>42806.979166666664</v>
      </c>
      <c r="F435" t="s">
        <v>1489</v>
      </c>
      <c r="G435" t="s">
        <v>875</v>
      </c>
      <c r="H435" t="s">
        <v>1490</v>
      </c>
      <c r="I435">
        <v>18</v>
      </c>
      <c r="J435">
        <v>35</v>
      </c>
      <c r="K435" t="s">
        <v>191</v>
      </c>
      <c r="L435">
        <v>2017</v>
      </c>
      <c r="M435">
        <v>3</v>
      </c>
      <c r="N435">
        <v>12</v>
      </c>
      <c r="O435">
        <v>23</v>
      </c>
    </row>
    <row r="436" spans="1:15" x14ac:dyDescent="0.25">
      <c r="A436">
        <v>435</v>
      </c>
      <c r="B436">
        <v>439</v>
      </c>
      <c r="C436" t="s">
        <v>1491</v>
      </c>
      <c r="D436" t="s">
        <v>985</v>
      </c>
      <c r="E436" s="1">
        <v>42353.677083333336</v>
      </c>
      <c r="F436" t="s">
        <v>1492</v>
      </c>
      <c r="G436" t="s">
        <v>32</v>
      </c>
      <c r="H436" t="s">
        <v>1493</v>
      </c>
      <c r="I436">
        <v>25</v>
      </c>
      <c r="J436">
        <v>50</v>
      </c>
      <c r="K436" t="s">
        <v>250</v>
      </c>
      <c r="L436">
        <v>2015</v>
      </c>
      <c r="M436">
        <v>12</v>
      </c>
      <c r="N436">
        <v>15</v>
      </c>
      <c r="O436">
        <v>16</v>
      </c>
    </row>
    <row r="437" spans="1:15" x14ac:dyDescent="0.25">
      <c r="A437">
        <v>436</v>
      </c>
      <c r="B437">
        <v>440</v>
      </c>
      <c r="C437" t="s">
        <v>1494</v>
      </c>
      <c r="D437" t="s">
        <v>1495</v>
      </c>
      <c r="E437" s="1">
        <v>44444.5625</v>
      </c>
      <c r="F437" t="s">
        <v>1496</v>
      </c>
      <c r="G437" t="s">
        <v>27</v>
      </c>
      <c r="H437" t="s">
        <v>1497</v>
      </c>
      <c r="I437">
        <v>35</v>
      </c>
      <c r="J437">
        <v>70</v>
      </c>
      <c r="K437" t="s">
        <v>200</v>
      </c>
      <c r="L437">
        <v>2021</v>
      </c>
      <c r="M437">
        <v>9</v>
      </c>
      <c r="N437">
        <v>5</v>
      </c>
      <c r="O437">
        <v>13</v>
      </c>
    </row>
    <row r="438" spans="1:15" x14ac:dyDescent="0.25">
      <c r="A438">
        <v>437</v>
      </c>
      <c r="B438">
        <v>441</v>
      </c>
      <c r="C438" t="s">
        <v>1498</v>
      </c>
      <c r="D438" t="s">
        <v>1499</v>
      </c>
      <c r="E438" s="1">
        <v>43242.864583333336</v>
      </c>
      <c r="F438" t="s">
        <v>1500</v>
      </c>
      <c r="G438" t="s">
        <v>17</v>
      </c>
      <c r="H438" t="s">
        <v>1501</v>
      </c>
      <c r="I438">
        <v>18</v>
      </c>
      <c r="J438">
        <v>35</v>
      </c>
      <c r="K438" t="s">
        <v>1502</v>
      </c>
      <c r="L438">
        <v>2018</v>
      </c>
      <c r="M438">
        <v>5</v>
      </c>
      <c r="N438">
        <v>22</v>
      </c>
      <c r="O438">
        <v>20</v>
      </c>
    </row>
    <row r="439" spans="1:15" x14ac:dyDescent="0.25">
      <c r="A439">
        <v>438</v>
      </c>
      <c r="B439">
        <v>442</v>
      </c>
      <c r="C439" t="s">
        <v>1503</v>
      </c>
      <c r="D439" t="s">
        <v>1504</v>
      </c>
      <c r="E439" s="1">
        <v>42561.763888888891</v>
      </c>
      <c r="F439" t="s">
        <v>1505</v>
      </c>
      <c r="G439" t="s">
        <v>32</v>
      </c>
      <c r="H439" t="s">
        <v>1506</v>
      </c>
      <c r="I439">
        <v>28</v>
      </c>
      <c r="J439">
        <v>55</v>
      </c>
      <c r="K439" t="s">
        <v>1507</v>
      </c>
      <c r="L439">
        <v>2016</v>
      </c>
      <c r="M439">
        <v>7</v>
      </c>
      <c r="N439">
        <v>10</v>
      </c>
      <c r="O439">
        <v>18</v>
      </c>
    </row>
    <row r="440" spans="1:15" x14ac:dyDescent="0.25">
      <c r="A440">
        <v>439</v>
      </c>
      <c r="B440">
        <v>443</v>
      </c>
      <c r="C440" t="s">
        <v>1508</v>
      </c>
      <c r="D440" t="s">
        <v>1509</v>
      </c>
      <c r="E440" s="1">
        <v>43585.583333333336</v>
      </c>
      <c r="F440" t="s">
        <v>1510</v>
      </c>
      <c r="G440" t="s">
        <v>27</v>
      </c>
      <c r="H440" t="s">
        <v>1511</v>
      </c>
      <c r="I440">
        <v>22</v>
      </c>
      <c r="J440">
        <v>45</v>
      </c>
      <c r="K440" t="s">
        <v>1512</v>
      </c>
      <c r="L440">
        <v>2019</v>
      </c>
      <c r="M440">
        <v>4</v>
      </c>
      <c r="N440">
        <v>30</v>
      </c>
      <c r="O440">
        <v>14</v>
      </c>
    </row>
    <row r="441" spans="1:15" x14ac:dyDescent="0.25">
      <c r="A441">
        <v>440</v>
      </c>
      <c r="B441">
        <v>444</v>
      </c>
      <c r="C441" t="s">
        <v>1513</v>
      </c>
      <c r="D441" t="s">
        <v>1514</v>
      </c>
      <c r="E441" s="1">
        <v>44569.479166666664</v>
      </c>
      <c r="F441" t="s">
        <v>1515</v>
      </c>
      <c r="G441" t="s">
        <v>17</v>
      </c>
      <c r="H441" t="s">
        <v>1516</v>
      </c>
      <c r="I441">
        <v>20</v>
      </c>
      <c r="J441">
        <v>40</v>
      </c>
      <c r="K441" t="s">
        <v>1517</v>
      </c>
      <c r="L441">
        <v>2022</v>
      </c>
      <c r="M441">
        <v>1</v>
      </c>
      <c r="N441">
        <v>8</v>
      </c>
      <c r="O441">
        <v>11</v>
      </c>
    </row>
    <row r="442" spans="1:15" x14ac:dyDescent="0.25">
      <c r="A442">
        <v>441</v>
      </c>
      <c r="B442">
        <v>445</v>
      </c>
      <c r="C442" t="s">
        <v>1518</v>
      </c>
      <c r="D442" t="s">
        <v>1519</v>
      </c>
      <c r="E442" s="1">
        <v>42988.802083333336</v>
      </c>
      <c r="F442" t="s">
        <v>1520</v>
      </c>
      <c r="G442" t="s">
        <v>875</v>
      </c>
      <c r="H442" t="s">
        <v>1521</v>
      </c>
      <c r="I442">
        <v>20</v>
      </c>
      <c r="J442">
        <v>40</v>
      </c>
      <c r="K442" t="s">
        <v>39</v>
      </c>
      <c r="L442">
        <v>2017</v>
      </c>
      <c r="M442">
        <v>9</v>
      </c>
      <c r="N442">
        <v>10</v>
      </c>
      <c r="O442">
        <v>19</v>
      </c>
    </row>
    <row r="443" spans="1:15" x14ac:dyDescent="0.25">
      <c r="A443">
        <v>442</v>
      </c>
      <c r="B443">
        <v>446</v>
      </c>
      <c r="C443" t="s">
        <v>1522</v>
      </c>
      <c r="D443" t="s">
        <v>1523</v>
      </c>
      <c r="E443" s="1">
        <v>44669.479166666664</v>
      </c>
      <c r="F443" t="s">
        <v>1524</v>
      </c>
      <c r="G443" t="s">
        <v>27</v>
      </c>
      <c r="H443" t="s">
        <v>1525</v>
      </c>
      <c r="I443">
        <v>25</v>
      </c>
      <c r="J443">
        <v>50</v>
      </c>
      <c r="K443" t="s">
        <v>124</v>
      </c>
      <c r="L443">
        <v>2022</v>
      </c>
      <c r="M443">
        <v>4</v>
      </c>
      <c r="N443">
        <v>18</v>
      </c>
      <c r="O443">
        <v>11</v>
      </c>
    </row>
    <row r="444" spans="1:15" x14ac:dyDescent="0.25">
      <c r="A444">
        <v>443</v>
      </c>
      <c r="B444">
        <v>447</v>
      </c>
      <c r="C444" t="s">
        <v>1526</v>
      </c>
      <c r="D444" t="s">
        <v>1527</v>
      </c>
      <c r="E444" s="1">
        <v>43439.90625</v>
      </c>
      <c r="F444" t="s">
        <v>1528</v>
      </c>
      <c r="G444" t="s">
        <v>32</v>
      </c>
      <c r="H444" t="s">
        <v>1529</v>
      </c>
      <c r="I444">
        <v>18</v>
      </c>
      <c r="J444">
        <v>35</v>
      </c>
      <c r="K444" t="s">
        <v>99</v>
      </c>
      <c r="L444">
        <v>2018</v>
      </c>
      <c r="M444">
        <v>12</v>
      </c>
      <c r="N444">
        <v>5</v>
      </c>
      <c r="O444">
        <v>21</v>
      </c>
    </row>
    <row r="445" spans="1:15" x14ac:dyDescent="0.25">
      <c r="A445">
        <v>444</v>
      </c>
      <c r="B445">
        <v>448</v>
      </c>
      <c r="C445" t="s">
        <v>1530</v>
      </c>
      <c r="D445" t="s">
        <v>650</v>
      </c>
      <c r="E445" s="1">
        <v>42549.597222222219</v>
      </c>
      <c r="F445" t="s">
        <v>1531</v>
      </c>
      <c r="G445" t="s">
        <v>875</v>
      </c>
      <c r="H445" t="s">
        <v>1532</v>
      </c>
      <c r="I445">
        <v>22</v>
      </c>
      <c r="J445">
        <v>45</v>
      </c>
      <c r="K445" t="s">
        <v>110</v>
      </c>
      <c r="L445">
        <v>2016</v>
      </c>
      <c r="M445">
        <v>6</v>
      </c>
      <c r="N445">
        <v>28</v>
      </c>
      <c r="O445">
        <v>14</v>
      </c>
    </row>
    <row r="446" spans="1:15" x14ac:dyDescent="0.25">
      <c r="A446">
        <v>445</v>
      </c>
      <c r="B446">
        <v>449</v>
      </c>
      <c r="C446" t="s">
        <v>1533</v>
      </c>
      <c r="D446" t="s">
        <v>985</v>
      </c>
      <c r="E446" s="1">
        <v>43760.708333333336</v>
      </c>
      <c r="F446" t="s">
        <v>1534</v>
      </c>
      <c r="G446" t="s">
        <v>27</v>
      </c>
      <c r="H446" t="s">
        <v>1535</v>
      </c>
      <c r="I446">
        <v>15</v>
      </c>
      <c r="J446">
        <v>30</v>
      </c>
      <c r="K446" t="s">
        <v>1536</v>
      </c>
      <c r="L446">
        <v>2019</v>
      </c>
      <c r="M446">
        <v>10</v>
      </c>
      <c r="N446">
        <v>22</v>
      </c>
      <c r="O446">
        <v>17</v>
      </c>
    </row>
    <row r="447" spans="1:15" x14ac:dyDescent="0.25">
      <c r="A447">
        <v>446</v>
      </c>
      <c r="B447">
        <v>450</v>
      </c>
      <c r="C447" t="s">
        <v>1537</v>
      </c>
      <c r="D447" t="s">
        <v>1519</v>
      </c>
      <c r="E447" s="1">
        <v>44270.947916666664</v>
      </c>
      <c r="F447" t="s">
        <v>1538</v>
      </c>
      <c r="G447" t="s">
        <v>32</v>
      </c>
      <c r="H447" t="s">
        <v>1539</v>
      </c>
      <c r="I447">
        <v>28</v>
      </c>
      <c r="J447">
        <v>55</v>
      </c>
      <c r="K447" t="s">
        <v>1540</v>
      </c>
      <c r="L447">
        <v>2021</v>
      </c>
      <c r="M447">
        <v>3</v>
      </c>
      <c r="N447">
        <v>15</v>
      </c>
      <c r="O447">
        <v>22</v>
      </c>
    </row>
    <row r="448" spans="1:15" x14ac:dyDescent="0.25">
      <c r="A448">
        <v>447</v>
      </c>
      <c r="B448">
        <v>451</v>
      </c>
      <c r="C448" t="s">
        <v>1541</v>
      </c>
      <c r="D448" t="s">
        <v>1542</v>
      </c>
      <c r="E448" s="1">
        <v>42957.8125</v>
      </c>
      <c r="F448" t="s">
        <v>1543</v>
      </c>
      <c r="G448" t="s">
        <v>875</v>
      </c>
      <c r="H448" t="s">
        <v>1544</v>
      </c>
      <c r="I448">
        <v>22</v>
      </c>
      <c r="J448">
        <v>45</v>
      </c>
      <c r="K448" t="s">
        <v>1545</v>
      </c>
      <c r="L448">
        <v>2017</v>
      </c>
      <c r="M448">
        <v>8</v>
      </c>
      <c r="N448">
        <v>10</v>
      </c>
      <c r="O448">
        <v>19</v>
      </c>
    </row>
    <row r="449" spans="1:15" x14ac:dyDescent="0.25">
      <c r="A449">
        <v>448</v>
      </c>
      <c r="B449">
        <v>452</v>
      </c>
      <c r="C449" t="s">
        <v>1546</v>
      </c>
      <c r="D449" t="s">
        <v>1527</v>
      </c>
      <c r="E449" s="1">
        <v>44954.604166666664</v>
      </c>
      <c r="F449" t="s">
        <v>1547</v>
      </c>
      <c r="G449" t="s">
        <v>27</v>
      </c>
      <c r="H449" t="s">
        <v>1548</v>
      </c>
      <c r="I449">
        <v>30</v>
      </c>
      <c r="J449">
        <v>60</v>
      </c>
      <c r="K449" t="s">
        <v>165</v>
      </c>
      <c r="L449">
        <v>2023</v>
      </c>
      <c r="M449">
        <v>1</v>
      </c>
      <c r="N449">
        <v>28</v>
      </c>
      <c r="O449">
        <v>14</v>
      </c>
    </row>
    <row r="450" spans="1:15" x14ac:dyDescent="0.25">
      <c r="A450">
        <v>449</v>
      </c>
      <c r="B450">
        <v>453</v>
      </c>
      <c r="C450" t="s">
        <v>1549</v>
      </c>
      <c r="D450" t="s">
        <v>1550</v>
      </c>
      <c r="E450" s="1">
        <v>42716.416666666664</v>
      </c>
      <c r="F450" t="s">
        <v>1551</v>
      </c>
      <c r="G450" t="s">
        <v>32</v>
      </c>
      <c r="H450" t="s">
        <v>1552</v>
      </c>
      <c r="I450">
        <v>25</v>
      </c>
      <c r="J450">
        <v>50</v>
      </c>
      <c r="K450" t="s">
        <v>1553</v>
      </c>
      <c r="L450">
        <v>2016</v>
      </c>
      <c r="M450">
        <v>12</v>
      </c>
      <c r="N450">
        <v>12</v>
      </c>
      <c r="O450">
        <v>10</v>
      </c>
    </row>
    <row r="451" spans="1:15" x14ac:dyDescent="0.25">
      <c r="A451">
        <v>450</v>
      </c>
      <c r="B451">
        <v>454</v>
      </c>
      <c r="C451" t="s">
        <v>1554</v>
      </c>
      <c r="D451" t="s">
        <v>1555</v>
      </c>
      <c r="E451" s="1">
        <v>44030.635416666664</v>
      </c>
      <c r="F451" t="s">
        <v>1556</v>
      </c>
      <c r="G451" t="s">
        <v>875</v>
      </c>
      <c r="H451" t="s">
        <v>1557</v>
      </c>
      <c r="I451">
        <v>35</v>
      </c>
      <c r="J451">
        <v>70</v>
      </c>
      <c r="K451" t="s">
        <v>1558</v>
      </c>
      <c r="L451">
        <v>2020</v>
      </c>
      <c r="M451">
        <v>7</v>
      </c>
      <c r="N451">
        <v>18</v>
      </c>
      <c r="O451">
        <v>15</v>
      </c>
    </row>
    <row r="452" spans="1:15" x14ac:dyDescent="0.25">
      <c r="A452">
        <v>451</v>
      </c>
      <c r="B452">
        <v>455</v>
      </c>
      <c r="C452" t="s">
        <v>1559</v>
      </c>
      <c r="D452" t="s">
        <v>1469</v>
      </c>
      <c r="E452" s="1">
        <v>44701.854166666664</v>
      </c>
      <c r="F452" t="s">
        <v>1560</v>
      </c>
      <c r="G452" t="s">
        <v>27</v>
      </c>
      <c r="H452" t="s">
        <v>1561</v>
      </c>
      <c r="I452">
        <v>30</v>
      </c>
      <c r="J452">
        <v>60</v>
      </c>
      <c r="K452" t="s">
        <v>1486</v>
      </c>
      <c r="L452">
        <v>2022</v>
      </c>
      <c r="M452">
        <v>5</v>
      </c>
      <c r="N452">
        <v>20</v>
      </c>
      <c r="O452">
        <v>20</v>
      </c>
    </row>
    <row r="453" spans="1:15" x14ac:dyDescent="0.25">
      <c r="A453">
        <v>452</v>
      </c>
      <c r="B453">
        <v>456</v>
      </c>
      <c r="C453" t="s">
        <v>1562</v>
      </c>
      <c r="D453" t="s">
        <v>1523</v>
      </c>
      <c r="E453" s="1">
        <v>43777.614583333336</v>
      </c>
      <c r="F453" t="s">
        <v>1563</v>
      </c>
      <c r="G453" t="s">
        <v>875</v>
      </c>
      <c r="H453" t="s">
        <v>1564</v>
      </c>
      <c r="I453">
        <v>18</v>
      </c>
      <c r="J453">
        <v>35</v>
      </c>
      <c r="K453" t="s">
        <v>1565</v>
      </c>
      <c r="L453">
        <v>2019</v>
      </c>
      <c r="M453">
        <v>11</v>
      </c>
      <c r="N453">
        <v>8</v>
      </c>
      <c r="O453">
        <v>14</v>
      </c>
    </row>
    <row r="454" spans="1:15" x14ac:dyDescent="0.25">
      <c r="A454">
        <v>453</v>
      </c>
      <c r="B454">
        <v>457</v>
      </c>
      <c r="C454" t="s">
        <v>1566</v>
      </c>
      <c r="D454" t="s">
        <v>981</v>
      </c>
      <c r="E454" s="1">
        <v>42822.916666666664</v>
      </c>
      <c r="F454" t="s">
        <v>1567</v>
      </c>
      <c r="G454" t="s">
        <v>32</v>
      </c>
      <c r="H454" t="s">
        <v>1568</v>
      </c>
      <c r="I454">
        <v>28</v>
      </c>
      <c r="J454">
        <v>55</v>
      </c>
      <c r="K454" t="s">
        <v>39</v>
      </c>
      <c r="L454">
        <v>2017</v>
      </c>
      <c r="M454">
        <v>3</v>
      </c>
      <c r="N454">
        <v>28</v>
      </c>
      <c r="O454">
        <v>22</v>
      </c>
    </row>
    <row r="455" spans="1:15" x14ac:dyDescent="0.25">
      <c r="A455">
        <v>454</v>
      </c>
      <c r="B455">
        <v>458</v>
      </c>
      <c r="C455" t="s">
        <v>1569</v>
      </c>
      <c r="D455" t="s">
        <v>1570</v>
      </c>
      <c r="E455" s="1">
        <v>44089.760416666664</v>
      </c>
      <c r="F455" t="s">
        <v>1571</v>
      </c>
      <c r="G455" t="s">
        <v>27</v>
      </c>
      <c r="H455" t="s">
        <v>1572</v>
      </c>
      <c r="I455">
        <v>22</v>
      </c>
      <c r="J455">
        <v>45</v>
      </c>
      <c r="K455" t="s">
        <v>124</v>
      </c>
      <c r="L455">
        <v>2020</v>
      </c>
      <c r="M455">
        <v>9</v>
      </c>
      <c r="N455">
        <v>15</v>
      </c>
      <c r="O455">
        <v>18</v>
      </c>
    </row>
    <row r="456" spans="1:15" x14ac:dyDescent="0.25">
      <c r="A456">
        <v>455</v>
      </c>
      <c r="B456">
        <v>459</v>
      </c>
      <c r="C456" t="s">
        <v>1573</v>
      </c>
      <c r="D456" t="s">
        <v>1519</v>
      </c>
      <c r="E456" s="1">
        <v>43261.5625</v>
      </c>
      <c r="F456" t="s">
        <v>1574</v>
      </c>
      <c r="G456" t="s">
        <v>875</v>
      </c>
      <c r="H456" t="s">
        <v>1575</v>
      </c>
      <c r="I456">
        <v>20</v>
      </c>
      <c r="J456">
        <v>40</v>
      </c>
      <c r="K456" t="s">
        <v>110</v>
      </c>
      <c r="L456">
        <v>2018</v>
      </c>
      <c r="M456">
        <v>6</v>
      </c>
      <c r="N456">
        <v>10</v>
      </c>
      <c r="O456">
        <v>13</v>
      </c>
    </row>
    <row r="457" spans="1:15" x14ac:dyDescent="0.25">
      <c r="A457">
        <v>456</v>
      </c>
      <c r="B457">
        <v>460</v>
      </c>
      <c r="C457" t="s">
        <v>1576</v>
      </c>
      <c r="D457" t="s">
        <v>1527</v>
      </c>
      <c r="E457" s="1">
        <v>42726.90625</v>
      </c>
      <c r="F457" t="s">
        <v>1577</v>
      </c>
      <c r="G457" t="s">
        <v>32</v>
      </c>
      <c r="H457" t="s">
        <v>1578</v>
      </c>
      <c r="I457">
        <v>25</v>
      </c>
      <c r="J457">
        <v>50</v>
      </c>
      <c r="K457" t="s">
        <v>99</v>
      </c>
      <c r="L457">
        <v>2016</v>
      </c>
      <c r="M457">
        <v>12</v>
      </c>
      <c r="N457">
        <v>22</v>
      </c>
      <c r="O457">
        <v>21</v>
      </c>
    </row>
    <row r="458" spans="1:15" x14ac:dyDescent="0.25">
      <c r="A458">
        <v>457</v>
      </c>
      <c r="B458">
        <v>461</v>
      </c>
      <c r="C458" t="s">
        <v>1579</v>
      </c>
      <c r="D458" t="s">
        <v>1550</v>
      </c>
      <c r="E458" s="1">
        <v>44201.680555555555</v>
      </c>
      <c r="F458" t="s">
        <v>1580</v>
      </c>
      <c r="G458" t="s">
        <v>27</v>
      </c>
      <c r="H458" t="s">
        <v>1581</v>
      </c>
      <c r="I458">
        <v>15</v>
      </c>
      <c r="J458">
        <v>30</v>
      </c>
      <c r="K458" t="s">
        <v>1536</v>
      </c>
      <c r="L458">
        <v>2021</v>
      </c>
      <c r="M458">
        <v>1</v>
      </c>
      <c r="N458">
        <v>5</v>
      </c>
      <c r="O458">
        <v>16</v>
      </c>
    </row>
    <row r="459" spans="1:15" x14ac:dyDescent="0.25">
      <c r="A459">
        <v>458</v>
      </c>
      <c r="B459">
        <v>462</v>
      </c>
      <c r="C459" t="s">
        <v>1582</v>
      </c>
      <c r="D459" t="s">
        <v>1542</v>
      </c>
      <c r="E459" s="1">
        <v>43573.458333333336</v>
      </c>
      <c r="F459" t="s">
        <v>1583</v>
      </c>
      <c r="G459" t="s">
        <v>875</v>
      </c>
      <c r="H459" t="s">
        <v>1584</v>
      </c>
      <c r="I459">
        <v>22</v>
      </c>
      <c r="J459">
        <v>45</v>
      </c>
      <c r="K459" t="s">
        <v>1540</v>
      </c>
      <c r="L459">
        <v>2019</v>
      </c>
      <c r="M459">
        <v>4</v>
      </c>
      <c r="N459">
        <v>18</v>
      </c>
      <c r="O459">
        <v>11</v>
      </c>
    </row>
    <row r="460" spans="1:15" x14ac:dyDescent="0.25">
      <c r="A460">
        <v>459</v>
      </c>
      <c r="B460">
        <v>463</v>
      </c>
      <c r="C460" t="s">
        <v>1585</v>
      </c>
      <c r="D460" t="s">
        <v>981</v>
      </c>
      <c r="E460" s="1">
        <v>42975.8125</v>
      </c>
      <c r="F460" t="s">
        <v>1586</v>
      </c>
      <c r="G460" t="s">
        <v>32</v>
      </c>
      <c r="H460" t="s">
        <v>1587</v>
      </c>
      <c r="I460">
        <v>18</v>
      </c>
      <c r="J460">
        <v>35</v>
      </c>
      <c r="K460" t="s">
        <v>165</v>
      </c>
      <c r="L460">
        <v>2017</v>
      </c>
      <c r="M460">
        <v>8</v>
      </c>
      <c r="N460">
        <v>28</v>
      </c>
      <c r="O460">
        <v>19</v>
      </c>
    </row>
    <row r="461" spans="1:15" x14ac:dyDescent="0.25">
      <c r="A461">
        <v>460</v>
      </c>
      <c r="B461">
        <v>464</v>
      </c>
      <c r="C461" t="s">
        <v>1588</v>
      </c>
      <c r="D461" t="s">
        <v>1589</v>
      </c>
      <c r="E461" s="1">
        <v>44967.604166666664</v>
      </c>
      <c r="F461" t="s">
        <v>1590</v>
      </c>
      <c r="G461" t="s">
        <v>27</v>
      </c>
      <c r="H461" t="s">
        <v>1591</v>
      </c>
      <c r="I461">
        <v>28</v>
      </c>
      <c r="J461">
        <v>55</v>
      </c>
      <c r="K461" t="s">
        <v>1545</v>
      </c>
      <c r="L461">
        <v>2023</v>
      </c>
      <c r="M461">
        <v>2</v>
      </c>
      <c r="N461">
        <v>10</v>
      </c>
      <c r="O461">
        <v>14</v>
      </c>
    </row>
    <row r="462" spans="1:15" x14ac:dyDescent="0.25">
      <c r="A462">
        <v>461</v>
      </c>
      <c r="B462">
        <v>465</v>
      </c>
      <c r="C462" t="s">
        <v>1592</v>
      </c>
      <c r="D462" t="s">
        <v>1593</v>
      </c>
      <c r="E462" s="1">
        <v>44752.927083333336</v>
      </c>
      <c r="F462" t="s">
        <v>1594</v>
      </c>
      <c r="G462" t="s">
        <v>27</v>
      </c>
      <c r="H462" t="s">
        <v>1595</v>
      </c>
      <c r="I462">
        <v>30</v>
      </c>
      <c r="J462">
        <v>60</v>
      </c>
      <c r="K462" t="s">
        <v>1558</v>
      </c>
      <c r="L462">
        <v>2022</v>
      </c>
      <c r="M462">
        <v>7</v>
      </c>
      <c r="N462">
        <v>10</v>
      </c>
      <c r="O462">
        <v>22</v>
      </c>
    </row>
    <row r="463" spans="1:15" x14ac:dyDescent="0.25">
      <c r="A463">
        <v>462</v>
      </c>
      <c r="B463">
        <v>466</v>
      </c>
      <c r="C463" t="s">
        <v>1596</v>
      </c>
      <c r="D463" t="s">
        <v>1406</v>
      </c>
      <c r="E463" s="1">
        <v>43600.895833333336</v>
      </c>
      <c r="F463" t="s">
        <v>1597</v>
      </c>
      <c r="G463" t="s">
        <v>875</v>
      </c>
      <c r="H463" t="s">
        <v>1598</v>
      </c>
      <c r="I463">
        <v>18</v>
      </c>
      <c r="J463">
        <v>35</v>
      </c>
      <c r="K463" t="s">
        <v>1553</v>
      </c>
      <c r="L463">
        <v>2019</v>
      </c>
      <c r="M463">
        <v>5</v>
      </c>
      <c r="N463">
        <v>15</v>
      </c>
      <c r="O463">
        <v>21</v>
      </c>
    </row>
    <row r="464" spans="1:15" x14ac:dyDescent="0.25">
      <c r="A464">
        <v>463</v>
      </c>
      <c r="B464">
        <v>467</v>
      </c>
      <c r="C464" t="s">
        <v>1599</v>
      </c>
      <c r="D464" t="s">
        <v>1527</v>
      </c>
      <c r="E464" s="1">
        <v>43432.583333333336</v>
      </c>
      <c r="F464" t="s">
        <v>1600</v>
      </c>
      <c r="G464" t="s">
        <v>32</v>
      </c>
      <c r="H464" t="s">
        <v>1601</v>
      </c>
      <c r="I464">
        <v>22</v>
      </c>
      <c r="J464">
        <v>45</v>
      </c>
      <c r="K464" t="s">
        <v>1536</v>
      </c>
      <c r="L464">
        <v>2018</v>
      </c>
      <c r="M464">
        <v>11</v>
      </c>
      <c r="N464">
        <v>28</v>
      </c>
      <c r="O464">
        <v>14</v>
      </c>
    </row>
    <row r="465" spans="1:15" x14ac:dyDescent="0.25">
      <c r="A465">
        <v>464</v>
      </c>
      <c r="B465">
        <v>468</v>
      </c>
      <c r="C465" t="s">
        <v>1602</v>
      </c>
      <c r="D465" t="s">
        <v>1550</v>
      </c>
      <c r="E465" s="1">
        <v>44257.739583333336</v>
      </c>
      <c r="F465" t="s">
        <v>1603</v>
      </c>
      <c r="G465" t="s">
        <v>27</v>
      </c>
      <c r="H465" t="s">
        <v>1604</v>
      </c>
      <c r="I465">
        <v>25</v>
      </c>
      <c r="J465">
        <v>50</v>
      </c>
      <c r="K465" t="s">
        <v>124</v>
      </c>
      <c r="L465">
        <v>2021</v>
      </c>
      <c r="M465">
        <v>3</v>
      </c>
      <c r="N465">
        <v>2</v>
      </c>
      <c r="O465">
        <v>17</v>
      </c>
    </row>
    <row r="466" spans="1:15" x14ac:dyDescent="0.25">
      <c r="A466">
        <v>465</v>
      </c>
      <c r="B466">
        <v>469</v>
      </c>
      <c r="C466" t="s">
        <v>1605</v>
      </c>
      <c r="D466" t="s">
        <v>981</v>
      </c>
      <c r="E466" s="1">
        <v>42661.8125</v>
      </c>
      <c r="F466" t="s">
        <v>1606</v>
      </c>
      <c r="G466" t="s">
        <v>875</v>
      </c>
      <c r="H466" t="s">
        <v>1607</v>
      </c>
      <c r="I466">
        <v>20</v>
      </c>
      <c r="J466">
        <v>40</v>
      </c>
      <c r="K466" t="s">
        <v>99</v>
      </c>
      <c r="L466">
        <v>2016</v>
      </c>
      <c r="M466">
        <v>10</v>
      </c>
      <c r="N466">
        <v>18</v>
      </c>
      <c r="O466">
        <v>19</v>
      </c>
    </row>
    <row r="467" spans="1:15" x14ac:dyDescent="0.25">
      <c r="A467">
        <v>466</v>
      </c>
      <c r="B467">
        <v>470</v>
      </c>
      <c r="C467" t="s">
        <v>1608</v>
      </c>
      <c r="D467" t="s">
        <v>1519</v>
      </c>
      <c r="E467" s="1">
        <v>44058.520833333336</v>
      </c>
      <c r="F467" t="s">
        <v>1609</v>
      </c>
      <c r="G467" t="s">
        <v>32</v>
      </c>
      <c r="H467" t="s">
        <v>1610</v>
      </c>
      <c r="I467">
        <v>28</v>
      </c>
      <c r="J467">
        <v>55</v>
      </c>
      <c r="K467" t="s">
        <v>1545</v>
      </c>
      <c r="L467">
        <v>2020</v>
      </c>
      <c r="M467">
        <v>8</v>
      </c>
      <c r="N467">
        <v>15</v>
      </c>
      <c r="O467">
        <v>12</v>
      </c>
    </row>
    <row r="468" spans="1:15" x14ac:dyDescent="0.25">
      <c r="A468">
        <v>467</v>
      </c>
      <c r="B468">
        <v>471</v>
      </c>
      <c r="C468" t="s">
        <v>1611</v>
      </c>
      <c r="D468" t="s">
        <v>1523</v>
      </c>
      <c r="E468" s="1">
        <v>42853.680555555555</v>
      </c>
      <c r="F468" t="s">
        <v>1612</v>
      </c>
      <c r="G468" t="s">
        <v>27</v>
      </c>
      <c r="H468" t="s">
        <v>1613</v>
      </c>
      <c r="I468">
        <v>18</v>
      </c>
      <c r="J468">
        <v>35</v>
      </c>
      <c r="K468" t="s">
        <v>110</v>
      </c>
      <c r="L468">
        <v>2017</v>
      </c>
      <c r="M468">
        <v>4</v>
      </c>
      <c r="N468">
        <v>28</v>
      </c>
      <c r="O468">
        <v>16</v>
      </c>
    </row>
    <row r="469" spans="1:15" x14ac:dyDescent="0.25">
      <c r="A469">
        <v>468</v>
      </c>
      <c r="B469">
        <v>472</v>
      </c>
      <c r="C469" t="s">
        <v>1614</v>
      </c>
      <c r="D469" t="s">
        <v>1589</v>
      </c>
      <c r="E469" s="1">
        <v>43718.875</v>
      </c>
      <c r="F469" t="s">
        <v>1615</v>
      </c>
      <c r="G469" t="s">
        <v>875</v>
      </c>
      <c r="H469" t="s">
        <v>1616</v>
      </c>
      <c r="I469">
        <v>22</v>
      </c>
      <c r="J469">
        <v>45</v>
      </c>
      <c r="K469" t="s">
        <v>39</v>
      </c>
      <c r="L469">
        <v>2019</v>
      </c>
      <c r="M469">
        <v>9</v>
      </c>
      <c r="N469">
        <v>10</v>
      </c>
      <c r="O469">
        <v>21</v>
      </c>
    </row>
    <row r="470" spans="1:15" x14ac:dyDescent="0.25">
      <c r="A470">
        <v>469</v>
      </c>
      <c r="B470">
        <v>473</v>
      </c>
      <c r="C470" t="s">
        <v>1617</v>
      </c>
      <c r="D470" t="s">
        <v>1550</v>
      </c>
      <c r="E470" s="1">
        <v>44589.572916666664</v>
      </c>
      <c r="F470" t="s">
        <v>1618</v>
      </c>
      <c r="G470" t="s">
        <v>32</v>
      </c>
      <c r="H470" t="s">
        <v>1619</v>
      </c>
      <c r="I470">
        <v>15</v>
      </c>
      <c r="J470">
        <v>30</v>
      </c>
      <c r="K470" t="s">
        <v>1540</v>
      </c>
      <c r="L470">
        <v>2022</v>
      </c>
      <c r="M470">
        <v>1</v>
      </c>
      <c r="N470">
        <v>28</v>
      </c>
      <c r="O470">
        <v>13</v>
      </c>
    </row>
    <row r="471" spans="1:15" x14ac:dyDescent="0.25">
      <c r="A471">
        <v>470</v>
      </c>
      <c r="B471">
        <v>474</v>
      </c>
      <c r="C471" t="s">
        <v>1620</v>
      </c>
      <c r="D471" t="s">
        <v>1621</v>
      </c>
      <c r="E471" s="1">
        <v>42536.9375</v>
      </c>
      <c r="F471" t="s">
        <v>1622</v>
      </c>
      <c r="G471" t="s">
        <v>27</v>
      </c>
      <c r="H471" t="s">
        <v>1623</v>
      </c>
      <c r="I471">
        <v>30</v>
      </c>
      <c r="J471">
        <v>60</v>
      </c>
      <c r="K471" t="s">
        <v>1565</v>
      </c>
      <c r="L471">
        <v>2016</v>
      </c>
      <c r="M471">
        <v>6</v>
      </c>
      <c r="N471">
        <v>15</v>
      </c>
      <c r="O471">
        <v>22</v>
      </c>
    </row>
    <row r="472" spans="1:15" x14ac:dyDescent="0.25">
      <c r="A472">
        <v>471</v>
      </c>
      <c r="B472">
        <v>475</v>
      </c>
      <c r="C472" t="s">
        <v>1624</v>
      </c>
      <c r="D472" t="s">
        <v>1625</v>
      </c>
      <c r="E472" s="1">
        <v>44428.65625</v>
      </c>
      <c r="F472" t="s">
        <v>1626</v>
      </c>
      <c r="G472" t="s">
        <v>27</v>
      </c>
      <c r="H472" t="s">
        <v>1627</v>
      </c>
      <c r="I472">
        <v>40</v>
      </c>
      <c r="J472">
        <v>80</v>
      </c>
      <c r="K472" t="s">
        <v>99</v>
      </c>
      <c r="L472">
        <v>2021</v>
      </c>
      <c r="M472">
        <v>8</v>
      </c>
      <c r="N472">
        <v>20</v>
      </c>
      <c r="O472">
        <v>15</v>
      </c>
    </row>
    <row r="473" spans="1:15" x14ac:dyDescent="0.25">
      <c r="A473">
        <v>472</v>
      </c>
      <c r="B473">
        <v>476</v>
      </c>
      <c r="C473" t="s">
        <v>1628</v>
      </c>
      <c r="D473" t="s">
        <v>1629</v>
      </c>
      <c r="E473" s="1">
        <v>43202.770833333336</v>
      </c>
      <c r="F473" t="s">
        <v>1560</v>
      </c>
      <c r="G473" t="s">
        <v>875</v>
      </c>
      <c r="H473" t="s">
        <v>1630</v>
      </c>
      <c r="I473">
        <v>35</v>
      </c>
      <c r="J473">
        <v>70</v>
      </c>
      <c r="K473" t="s">
        <v>124</v>
      </c>
      <c r="L473">
        <v>2018</v>
      </c>
      <c r="M473">
        <v>4</v>
      </c>
      <c r="N473">
        <v>12</v>
      </c>
      <c r="O473">
        <v>18</v>
      </c>
    </row>
    <row r="474" spans="1:15" x14ac:dyDescent="0.25">
      <c r="A474">
        <v>473</v>
      </c>
      <c r="B474">
        <v>477</v>
      </c>
      <c r="C474" t="s">
        <v>1631</v>
      </c>
      <c r="D474" t="s">
        <v>878</v>
      </c>
      <c r="E474" s="1">
        <v>44607.513888888891</v>
      </c>
      <c r="F474" t="s">
        <v>1632</v>
      </c>
      <c r="G474" t="s">
        <v>32</v>
      </c>
      <c r="H474" t="s">
        <v>1633</v>
      </c>
      <c r="I474">
        <v>25</v>
      </c>
      <c r="J474">
        <v>50</v>
      </c>
      <c r="K474" t="s">
        <v>110</v>
      </c>
      <c r="L474">
        <v>2022</v>
      </c>
      <c r="M474">
        <v>2</v>
      </c>
      <c r="N474">
        <v>15</v>
      </c>
      <c r="O474">
        <v>12</v>
      </c>
    </row>
    <row r="475" spans="1:15" x14ac:dyDescent="0.25">
      <c r="A475">
        <v>474</v>
      </c>
      <c r="B475">
        <v>478</v>
      </c>
      <c r="C475" t="s">
        <v>1634</v>
      </c>
      <c r="D475" t="s">
        <v>1635</v>
      </c>
      <c r="E475" s="1">
        <v>43766.59375</v>
      </c>
      <c r="F475" t="s">
        <v>1636</v>
      </c>
      <c r="G475" t="s">
        <v>27</v>
      </c>
      <c r="H475" t="s">
        <v>1637</v>
      </c>
      <c r="I475">
        <v>30</v>
      </c>
      <c r="J475">
        <v>60</v>
      </c>
      <c r="K475" t="s">
        <v>39</v>
      </c>
      <c r="L475">
        <v>2019</v>
      </c>
      <c r="M475">
        <v>10</v>
      </c>
      <c r="N475">
        <v>28</v>
      </c>
      <c r="O475">
        <v>14</v>
      </c>
    </row>
    <row r="476" spans="1:15" x14ac:dyDescent="0.25">
      <c r="A476">
        <v>475</v>
      </c>
      <c r="B476">
        <v>479</v>
      </c>
      <c r="C476" t="s">
        <v>1638</v>
      </c>
      <c r="D476" t="s">
        <v>1639</v>
      </c>
      <c r="E476" s="1">
        <v>43091.875</v>
      </c>
      <c r="F476" t="s">
        <v>1640</v>
      </c>
      <c r="G476" t="s">
        <v>875</v>
      </c>
      <c r="H476" t="s">
        <v>1641</v>
      </c>
      <c r="I476">
        <v>22</v>
      </c>
      <c r="J476">
        <v>45</v>
      </c>
      <c r="K476" t="s">
        <v>165</v>
      </c>
      <c r="L476">
        <v>2017</v>
      </c>
      <c r="M476">
        <v>12</v>
      </c>
      <c r="N476">
        <v>22</v>
      </c>
      <c r="O476">
        <v>21</v>
      </c>
    </row>
    <row r="477" spans="1:15" x14ac:dyDescent="0.25">
      <c r="A477">
        <v>476</v>
      </c>
      <c r="B477">
        <v>480</v>
      </c>
      <c r="C477" t="s">
        <v>1642</v>
      </c>
      <c r="D477" t="s">
        <v>1213</v>
      </c>
      <c r="E477" s="1">
        <v>43992.729166666664</v>
      </c>
      <c r="F477" t="s">
        <v>1643</v>
      </c>
      <c r="G477" t="s">
        <v>32</v>
      </c>
      <c r="H477" t="s">
        <v>1644</v>
      </c>
      <c r="I477">
        <v>28</v>
      </c>
      <c r="J477">
        <v>55</v>
      </c>
      <c r="K477" t="s">
        <v>1536</v>
      </c>
      <c r="L477">
        <v>2020</v>
      </c>
      <c r="M477">
        <v>6</v>
      </c>
      <c r="N477">
        <v>10</v>
      </c>
      <c r="O477">
        <v>17</v>
      </c>
    </row>
    <row r="478" spans="1:15" x14ac:dyDescent="0.25">
      <c r="A478">
        <v>477</v>
      </c>
      <c r="B478">
        <v>481</v>
      </c>
      <c r="C478" t="s">
        <v>1645</v>
      </c>
      <c r="D478" t="s">
        <v>1646</v>
      </c>
      <c r="E478" s="1">
        <v>42631.822916666664</v>
      </c>
      <c r="F478" t="s">
        <v>1647</v>
      </c>
      <c r="G478" t="s">
        <v>27</v>
      </c>
      <c r="H478" t="s">
        <v>1648</v>
      </c>
      <c r="I478">
        <v>18</v>
      </c>
      <c r="J478">
        <v>35</v>
      </c>
      <c r="K478" t="s">
        <v>1545</v>
      </c>
      <c r="L478">
        <v>2016</v>
      </c>
      <c r="M478">
        <v>9</v>
      </c>
      <c r="N478">
        <v>18</v>
      </c>
      <c r="O478">
        <v>19</v>
      </c>
    </row>
    <row r="479" spans="1:15" x14ac:dyDescent="0.25">
      <c r="A479">
        <v>478</v>
      </c>
      <c r="B479">
        <v>482</v>
      </c>
      <c r="C479" t="s">
        <v>1649</v>
      </c>
      <c r="D479" t="s">
        <v>1625</v>
      </c>
      <c r="E479" s="1">
        <v>44995.604166666664</v>
      </c>
      <c r="F479" t="s">
        <v>1650</v>
      </c>
      <c r="G479" t="s">
        <v>875</v>
      </c>
      <c r="H479" t="s">
        <v>1651</v>
      </c>
      <c r="I479">
        <v>20</v>
      </c>
      <c r="J479">
        <v>40</v>
      </c>
      <c r="K479" t="s">
        <v>1558</v>
      </c>
      <c r="L479">
        <v>2023</v>
      </c>
      <c r="M479">
        <v>3</v>
      </c>
      <c r="N479">
        <v>10</v>
      </c>
      <c r="O479">
        <v>14</v>
      </c>
    </row>
    <row r="480" spans="1:15" x14ac:dyDescent="0.25">
      <c r="A480">
        <v>479</v>
      </c>
      <c r="B480">
        <v>483</v>
      </c>
      <c r="C480" t="s">
        <v>1652</v>
      </c>
      <c r="D480" t="s">
        <v>1653</v>
      </c>
      <c r="E480" s="1">
        <v>43590.510416666664</v>
      </c>
      <c r="F480" t="s">
        <v>1654</v>
      </c>
      <c r="G480" t="s">
        <v>32</v>
      </c>
      <c r="H480" t="s">
        <v>1655</v>
      </c>
      <c r="I480">
        <v>25</v>
      </c>
      <c r="J480">
        <v>50</v>
      </c>
      <c r="K480" t="s">
        <v>1540</v>
      </c>
      <c r="L480">
        <v>2019</v>
      </c>
      <c r="M480">
        <v>5</v>
      </c>
      <c r="N480">
        <v>5</v>
      </c>
      <c r="O480">
        <v>12</v>
      </c>
    </row>
    <row r="481" spans="1:15" x14ac:dyDescent="0.25">
      <c r="A481">
        <v>480</v>
      </c>
      <c r="B481">
        <v>484</v>
      </c>
      <c r="C481" t="s">
        <v>1656</v>
      </c>
      <c r="D481" t="s">
        <v>1657</v>
      </c>
      <c r="E481" s="1">
        <v>43340.666666666664</v>
      </c>
      <c r="F481" t="s">
        <v>1658</v>
      </c>
      <c r="G481" t="s">
        <v>27</v>
      </c>
      <c r="H481" t="s">
        <v>1659</v>
      </c>
      <c r="I481">
        <v>30</v>
      </c>
      <c r="J481">
        <v>60</v>
      </c>
      <c r="K481" t="s">
        <v>1486</v>
      </c>
      <c r="L481">
        <v>2018</v>
      </c>
      <c r="M481">
        <v>8</v>
      </c>
      <c r="N481">
        <v>28</v>
      </c>
      <c r="O481">
        <v>16</v>
      </c>
    </row>
    <row r="482" spans="1:15" x14ac:dyDescent="0.25">
      <c r="A482">
        <v>481</v>
      </c>
      <c r="B482">
        <v>485</v>
      </c>
      <c r="C482" t="s">
        <v>1660</v>
      </c>
      <c r="D482" t="s">
        <v>1661</v>
      </c>
      <c r="E482" s="1">
        <v>44880.864583333336</v>
      </c>
      <c r="F482" t="s">
        <v>1662</v>
      </c>
      <c r="G482" t="s">
        <v>875</v>
      </c>
      <c r="H482" t="s">
        <v>1663</v>
      </c>
      <c r="I482">
        <v>35</v>
      </c>
      <c r="J482">
        <v>70</v>
      </c>
      <c r="K482" t="s">
        <v>99</v>
      </c>
      <c r="L482">
        <v>2022</v>
      </c>
      <c r="M482">
        <v>11</v>
      </c>
      <c r="N482">
        <v>15</v>
      </c>
      <c r="O482">
        <v>20</v>
      </c>
    </row>
    <row r="483" spans="1:15" x14ac:dyDescent="0.25">
      <c r="A483">
        <v>482</v>
      </c>
      <c r="B483">
        <v>486</v>
      </c>
      <c r="C483" t="s">
        <v>1664</v>
      </c>
      <c r="D483" t="s">
        <v>1625</v>
      </c>
      <c r="E483" s="1">
        <v>43648.708333333336</v>
      </c>
      <c r="F483" t="s">
        <v>1665</v>
      </c>
      <c r="G483" t="s">
        <v>27</v>
      </c>
      <c r="H483" t="s">
        <v>1666</v>
      </c>
      <c r="I483">
        <v>40</v>
      </c>
      <c r="J483">
        <v>80</v>
      </c>
      <c r="K483" t="s">
        <v>124</v>
      </c>
      <c r="L483">
        <v>2019</v>
      </c>
      <c r="M483">
        <v>7</v>
      </c>
      <c r="N483">
        <v>2</v>
      </c>
      <c r="O483">
        <v>17</v>
      </c>
    </row>
    <row r="484" spans="1:15" x14ac:dyDescent="0.25">
      <c r="A484">
        <v>483</v>
      </c>
      <c r="B484">
        <v>487</v>
      </c>
      <c r="C484" t="s">
        <v>1667</v>
      </c>
      <c r="D484" t="s">
        <v>389</v>
      </c>
      <c r="E484" s="1">
        <v>44304.597222222219</v>
      </c>
      <c r="F484" t="s">
        <v>1668</v>
      </c>
      <c r="G484" t="s">
        <v>32</v>
      </c>
      <c r="H484" t="s">
        <v>1669</v>
      </c>
      <c r="I484">
        <v>30</v>
      </c>
      <c r="J484">
        <v>60</v>
      </c>
      <c r="K484" t="s">
        <v>110</v>
      </c>
      <c r="L484">
        <v>2021</v>
      </c>
      <c r="M484">
        <v>4</v>
      </c>
      <c r="N484">
        <v>18</v>
      </c>
      <c r="O484">
        <v>14</v>
      </c>
    </row>
    <row r="485" spans="1:15" x14ac:dyDescent="0.25">
      <c r="A485">
        <v>484</v>
      </c>
      <c r="B485">
        <v>488</v>
      </c>
      <c r="C485" t="s">
        <v>1670</v>
      </c>
      <c r="D485" t="s">
        <v>1671</v>
      </c>
      <c r="E485" s="1">
        <v>44962.8125</v>
      </c>
      <c r="F485" t="s">
        <v>1672</v>
      </c>
      <c r="G485" t="s">
        <v>875</v>
      </c>
      <c r="H485" t="s">
        <v>1673</v>
      </c>
      <c r="I485">
        <v>25</v>
      </c>
      <c r="J485">
        <v>50</v>
      </c>
      <c r="K485" t="s">
        <v>39</v>
      </c>
      <c r="L485">
        <v>2023</v>
      </c>
      <c r="M485">
        <v>2</v>
      </c>
      <c r="N485">
        <v>5</v>
      </c>
      <c r="O485">
        <v>19</v>
      </c>
    </row>
    <row r="486" spans="1:15" x14ac:dyDescent="0.25">
      <c r="A486">
        <v>485</v>
      </c>
      <c r="B486">
        <v>489</v>
      </c>
      <c r="C486" t="s">
        <v>1674</v>
      </c>
      <c r="D486" t="s">
        <v>925</v>
      </c>
      <c r="E486" s="1">
        <v>43365.53125</v>
      </c>
      <c r="F486" t="s">
        <v>1675</v>
      </c>
      <c r="G486" t="s">
        <v>27</v>
      </c>
      <c r="H486" t="s">
        <v>1676</v>
      </c>
      <c r="I486">
        <v>22</v>
      </c>
      <c r="J486">
        <v>45</v>
      </c>
      <c r="K486" t="s">
        <v>165</v>
      </c>
      <c r="L486">
        <v>2018</v>
      </c>
      <c r="M486">
        <v>9</v>
      </c>
      <c r="N486">
        <v>22</v>
      </c>
      <c r="O486">
        <v>12</v>
      </c>
    </row>
    <row r="487" spans="1:15" x14ac:dyDescent="0.25">
      <c r="A487">
        <v>486</v>
      </c>
      <c r="B487">
        <v>490</v>
      </c>
      <c r="C487" t="s">
        <v>1677</v>
      </c>
      <c r="D487" t="s">
        <v>1639</v>
      </c>
      <c r="E487" s="1">
        <v>42714.885416666664</v>
      </c>
      <c r="F487" t="s">
        <v>1678</v>
      </c>
      <c r="G487" t="s">
        <v>32</v>
      </c>
      <c r="H487" t="s">
        <v>1679</v>
      </c>
      <c r="I487">
        <v>28</v>
      </c>
      <c r="J487">
        <v>55</v>
      </c>
      <c r="K487" t="s">
        <v>1536</v>
      </c>
      <c r="L487">
        <v>2016</v>
      </c>
      <c r="M487">
        <v>12</v>
      </c>
      <c r="N487">
        <v>10</v>
      </c>
      <c r="O487">
        <v>21</v>
      </c>
    </row>
    <row r="488" spans="1:15" x14ac:dyDescent="0.25">
      <c r="A488">
        <v>487</v>
      </c>
      <c r="B488">
        <v>491</v>
      </c>
      <c r="C488" t="s">
        <v>1680</v>
      </c>
      <c r="D488" t="s">
        <v>1309</v>
      </c>
      <c r="E488" s="1">
        <v>43979.666666666664</v>
      </c>
      <c r="F488" t="s">
        <v>1681</v>
      </c>
      <c r="G488" t="s">
        <v>875</v>
      </c>
      <c r="H488" t="s">
        <v>1682</v>
      </c>
      <c r="I488">
        <v>18</v>
      </c>
      <c r="J488">
        <v>35</v>
      </c>
      <c r="K488" t="s">
        <v>1545</v>
      </c>
      <c r="L488">
        <v>2020</v>
      </c>
      <c r="M488">
        <v>5</v>
      </c>
      <c r="N488">
        <v>28</v>
      </c>
      <c r="O488">
        <v>16</v>
      </c>
    </row>
    <row r="489" spans="1:15" x14ac:dyDescent="0.25">
      <c r="A489">
        <v>488</v>
      </c>
      <c r="B489">
        <v>492</v>
      </c>
      <c r="C489" t="s">
        <v>1683</v>
      </c>
      <c r="D489" t="s">
        <v>1684</v>
      </c>
      <c r="E489" s="1">
        <v>43054.9375</v>
      </c>
      <c r="F489" t="s">
        <v>1685</v>
      </c>
      <c r="G489" t="s">
        <v>27</v>
      </c>
      <c r="H489" t="s">
        <v>1686</v>
      </c>
      <c r="I489">
        <v>22</v>
      </c>
      <c r="J489">
        <v>45</v>
      </c>
      <c r="K489" t="s">
        <v>1558</v>
      </c>
      <c r="L489">
        <v>2017</v>
      </c>
      <c r="M489">
        <v>11</v>
      </c>
      <c r="N489">
        <v>15</v>
      </c>
      <c r="O489">
        <v>22</v>
      </c>
    </row>
    <row r="490" spans="1:15" x14ac:dyDescent="0.25">
      <c r="A490">
        <v>489</v>
      </c>
      <c r="B490">
        <v>493</v>
      </c>
      <c r="C490" t="s">
        <v>1687</v>
      </c>
      <c r="D490" t="s">
        <v>1629</v>
      </c>
      <c r="E490" s="1">
        <v>44410.791666666664</v>
      </c>
      <c r="F490" t="s">
        <v>1688</v>
      </c>
      <c r="G490" t="s">
        <v>32</v>
      </c>
      <c r="H490" t="s">
        <v>1689</v>
      </c>
      <c r="I490">
        <v>30</v>
      </c>
      <c r="J490">
        <v>60</v>
      </c>
      <c r="K490" t="s">
        <v>1540</v>
      </c>
      <c r="L490">
        <v>2021</v>
      </c>
      <c r="M490">
        <v>8</v>
      </c>
      <c r="N490">
        <v>2</v>
      </c>
      <c r="O490">
        <v>19</v>
      </c>
    </row>
    <row r="491" spans="1:15" x14ac:dyDescent="0.25">
      <c r="A491">
        <v>490</v>
      </c>
      <c r="B491">
        <v>494</v>
      </c>
      <c r="C491" t="s">
        <v>1690</v>
      </c>
      <c r="D491" t="s">
        <v>1691</v>
      </c>
      <c r="E491" s="1">
        <v>43552.645833333336</v>
      </c>
      <c r="F491" t="s">
        <v>1692</v>
      </c>
      <c r="G491" t="s">
        <v>27</v>
      </c>
      <c r="H491" t="s">
        <v>1693</v>
      </c>
      <c r="I491">
        <v>35</v>
      </c>
      <c r="J491">
        <v>70</v>
      </c>
      <c r="K491" t="s">
        <v>1486</v>
      </c>
      <c r="L491">
        <v>2019</v>
      </c>
      <c r="M491">
        <v>3</v>
      </c>
      <c r="N491">
        <v>28</v>
      </c>
      <c r="O491">
        <v>15</v>
      </c>
    </row>
    <row r="492" spans="1:15" x14ac:dyDescent="0.25">
      <c r="A492">
        <v>491</v>
      </c>
      <c r="B492">
        <v>495</v>
      </c>
      <c r="C492" t="s">
        <v>1694</v>
      </c>
      <c r="D492" t="s">
        <v>1695</v>
      </c>
      <c r="E492" s="1">
        <v>43232.729166666664</v>
      </c>
      <c r="F492" t="s">
        <v>1696</v>
      </c>
      <c r="G492" t="s">
        <v>875</v>
      </c>
      <c r="H492" t="s">
        <v>1697</v>
      </c>
      <c r="I492">
        <v>28</v>
      </c>
      <c r="J492">
        <v>55</v>
      </c>
      <c r="K492" t="s">
        <v>1545</v>
      </c>
      <c r="L492">
        <v>2018</v>
      </c>
      <c r="M492">
        <v>5</v>
      </c>
      <c r="N492">
        <v>12</v>
      </c>
      <c r="O492">
        <v>17</v>
      </c>
    </row>
    <row r="493" spans="1:15" x14ac:dyDescent="0.25">
      <c r="A493">
        <v>492</v>
      </c>
      <c r="B493">
        <v>496</v>
      </c>
      <c r="C493" t="s">
        <v>1698</v>
      </c>
      <c r="D493" t="s">
        <v>1699</v>
      </c>
      <c r="E493" s="1">
        <v>44832.65625</v>
      </c>
      <c r="F493" t="s">
        <v>1700</v>
      </c>
      <c r="G493" t="s">
        <v>27</v>
      </c>
      <c r="H493" t="s">
        <v>1701</v>
      </c>
      <c r="I493">
        <v>30</v>
      </c>
      <c r="J493">
        <v>60</v>
      </c>
      <c r="K493" t="s">
        <v>99</v>
      </c>
      <c r="L493">
        <v>2022</v>
      </c>
      <c r="M493">
        <v>9</v>
      </c>
      <c r="N493">
        <v>28</v>
      </c>
      <c r="O493">
        <v>15</v>
      </c>
    </row>
    <row r="494" spans="1:15" x14ac:dyDescent="0.25">
      <c r="A494">
        <v>493</v>
      </c>
      <c r="B494">
        <v>497</v>
      </c>
      <c r="C494" t="s">
        <v>1702</v>
      </c>
      <c r="D494" t="s">
        <v>389</v>
      </c>
      <c r="E494" s="1">
        <v>43779.583333333336</v>
      </c>
      <c r="F494" t="s">
        <v>1703</v>
      </c>
      <c r="G494" t="s">
        <v>32</v>
      </c>
      <c r="H494" t="s">
        <v>1704</v>
      </c>
      <c r="I494">
        <v>22</v>
      </c>
      <c r="J494">
        <v>45</v>
      </c>
      <c r="K494" t="s">
        <v>1553</v>
      </c>
      <c r="L494">
        <v>2019</v>
      </c>
      <c r="M494">
        <v>11</v>
      </c>
      <c r="N494">
        <v>10</v>
      </c>
      <c r="O494">
        <v>14</v>
      </c>
    </row>
    <row r="495" spans="1:15" x14ac:dyDescent="0.25">
      <c r="A495">
        <v>494</v>
      </c>
      <c r="B495">
        <v>498</v>
      </c>
      <c r="C495" t="s">
        <v>1705</v>
      </c>
      <c r="D495" t="s">
        <v>1625</v>
      </c>
      <c r="E495" s="1">
        <v>44288.763888888891</v>
      </c>
      <c r="F495" t="s">
        <v>1706</v>
      </c>
      <c r="G495" t="s">
        <v>27</v>
      </c>
      <c r="H495" t="s">
        <v>1707</v>
      </c>
      <c r="I495">
        <v>35</v>
      </c>
      <c r="J495">
        <v>70</v>
      </c>
      <c r="K495" t="s">
        <v>1708</v>
      </c>
      <c r="L495">
        <v>2021</v>
      </c>
      <c r="M495">
        <v>4</v>
      </c>
      <c r="N495">
        <v>2</v>
      </c>
      <c r="O495">
        <v>18</v>
      </c>
    </row>
    <row r="496" spans="1:15" x14ac:dyDescent="0.25">
      <c r="A496">
        <v>495</v>
      </c>
      <c r="B496">
        <v>499</v>
      </c>
      <c r="C496" t="s">
        <v>1709</v>
      </c>
      <c r="D496" t="s">
        <v>1710</v>
      </c>
      <c r="E496" s="1">
        <v>42969.895833333336</v>
      </c>
      <c r="F496" t="s">
        <v>1711</v>
      </c>
      <c r="G496" t="s">
        <v>875</v>
      </c>
      <c r="H496" t="s">
        <v>1712</v>
      </c>
      <c r="I496">
        <v>18</v>
      </c>
      <c r="J496">
        <v>35</v>
      </c>
      <c r="K496" t="s">
        <v>1558</v>
      </c>
      <c r="L496">
        <v>2017</v>
      </c>
      <c r="M496">
        <v>8</v>
      </c>
      <c r="N496">
        <v>22</v>
      </c>
      <c r="O496">
        <v>21</v>
      </c>
    </row>
    <row r="497" spans="1:15" x14ac:dyDescent="0.25">
      <c r="A497">
        <v>496</v>
      </c>
      <c r="B497">
        <v>500</v>
      </c>
      <c r="C497" t="s">
        <v>1713</v>
      </c>
      <c r="D497" t="s">
        <v>1714</v>
      </c>
      <c r="E497" s="1">
        <v>43997.697916666664</v>
      </c>
      <c r="F497" t="s">
        <v>1715</v>
      </c>
      <c r="G497" t="s">
        <v>27</v>
      </c>
      <c r="H497" t="s">
        <v>1716</v>
      </c>
      <c r="I497">
        <v>25</v>
      </c>
      <c r="J497">
        <v>50</v>
      </c>
      <c r="K497" t="s">
        <v>99</v>
      </c>
      <c r="L497">
        <v>2020</v>
      </c>
      <c r="M497">
        <v>6</v>
      </c>
      <c r="N497">
        <v>15</v>
      </c>
      <c r="O497">
        <v>16</v>
      </c>
    </row>
    <row r="498" spans="1:15" x14ac:dyDescent="0.25">
      <c r="A498">
        <v>497</v>
      </c>
      <c r="B498">
        <v>501</v>
      </c>
      <c r="C498" t="s">
        <v>1717</v>
      </c>
      <c r="D498" t="s">
        <v>921</v>
      </c>
      <c r="E498" s="1">
        <v>42623.802083333336</v>
      </c>
      <c r="F498" t="s">
        <v>1718</v>
      </c>
      <c r="G498" t="s">
        <v>32</v>
      </c>
      <c r="H498" t="s">
        <v>1719</v>
      </c>
      <c r="I498">
        <v>22</v>
      </c>
      <c r="J498">
        <v>45</v>
      </c>
      <c r="K498" t="s">
        <v>1720</v>
      </c>
      <c r="L498">
        <v>2016</v>
      </c>
      <c r="M498">
        <v>9</v>
      </c>
      <c r="N498">
        <v>10</v>
      </c>
      <c r="O498">
        <v>19</v>
      </c>
    </row>
    <row r="499" spans="1:15" x14ac:dyDescent="0.25">
      <c r="A499">
        <v>498</v>
      </c>
      <c r="B499">
        <v>502</v>
      </c>
      <c r="C499" t="s">
        <v>1721</v>
      </c>
      <c r="D499" t="s">
        <v>1722</v>
      </c>
      <c r="E499" s="1">
        <v>44954.541666666664</v>
      </c>
      <c r="F499" t="s">
        <v>1723</v>
      </c>
      <c r="G499" t="s">
        <v>875</v>
      </c>
      <c r="H499" t="s">
        <v>1724</v>
      </c>
      <c r="I499">
        <v>30</v>
      </c>
      <c r="J499">
        <v>60</v>
      </c>
      <c r="K499" t="s">
        <v>1725</v>
      </c>
      <c r="L499">
        <v>2023</v>
      </c>
      <c r="M499">
        <v>1</v>
      </c>
      <c r="N499">
        <v>28</v>
      </c>
      <c r="O499">
        <v>13</v>
      </c>
    </row>
    <row r="500" spans="1:15" x14ac:dyDescent="0.25">
      <c r="A500">
        <v>499</v>
      </c>
      <c r="B500">
        <v>503</v>
      </c>
      <c r="C500" t="s">
        <v>1726</v>
      </c>
      <c r="D500" t="s">
        <v>1727</v>
      </c>
      <c r="E500" s="1">
        <v>43573.6875</v>
      </c>
      <c r="F500" t="s">
        <v>1728</v>
      </c>
      <c r="G500" t="s">
        <v>27</v>
      </c>
      <c r="H500" t="s">
        <v>1729</v>
      </c>
      <c r="I500">
        <v>20</v>
      </c>
      <c r="J500">
        <v>40</v>
      </c>
      <c r="K500" t="s">
        <v>1553</v>
      </c>
      <c r="L500">
        <v>2019</v>
      </c>
      <c r="M500">
        <v>4</v>
      </c>
      <c r="N500">
        <v>18</v>
      </c>
      <c r="O500">
        <v>16</v>
      </c>
    </row>
    <row r="501" spans="1:15" x14ac:dyDescent="0.25">
      <c r="A501">
        <v>500</v>
      </c>
      <c r="B501">
        <v>504</v>
      </c>
      <c r="C501" t="s">
        <v>1730</v>
      </c>
      <c r="D501" t="s">
        <v>1714</v>
      </c>
      <c r="E501" s="1">
        <v>43044.916666666664</v>
      </c>
      <c r="F501" t="s">
        <v>1731</v>
      </c>
      <c r="G501" t="s">
        <v>32</v>
      </c>
      <c r="H501" t="s">
        <v>1732</v>
      </c>
      <c r="I501">
        <v>28</v>
      </c>
      <c r="J501">
        <v>55</v>
      </c>
      <c r="K501" t="s">
        <v>1733</v>
      </c>
      <c r="L501">
        <v>2017</v>
      </c>
      <c r="M501">
        <v>11</v>
      </c>
      <c r="N501">
        <v>5</v>
      </c>
      <c r="O501">
        <v>22</v>
      </c>
    </row>
    <row r="502" spans="1:15" x14ac:dyDescent="0.25">
      <c r="A502">
        <v>501</v>
      </c>
      <c r="B502">
        <v>505</v>
      </c>
      <c r="C502" t="s">
        <v>1734</v>
      </c>
      <c r="D502" t="s">
        <v>389</v>
      </c>
      <c r="E502" s="1">
        <v>44762.90625</v>
      </c>
      <c r="F502" t="s">
        <v>1735</v>
      </c>
      <c r="G502" t="s">
        <v>27</v>
      </c>
      <c r="H502" t="s">
        <v>1736</v>
      </c>
      <c r="I502">
        <v>35</v>
      </c>
      <c r="J502">
        <v>70</v>
      </c>
      <c r="K502" t="s">
        <v>99</v>
      </c>
      <c r="L502">
        <v>2022</v>
      </c>
      <c r="M502">
        <v>7</v>
      </c>
      <c r="N502">
        <v>20</v>
      </c>
      <c r="O502">
        <v>21</v>
      </c>
    </row>
    <row r="503" spans="1:15" x14ac:dyDescent="0.25">
      <c r="A503">
        <v>502</v>
      </c>
      <c r="B503">
        <v>506</v>
      </c>
      <c r="C503" t="s">
        <v>1737</v>
      </c>
      <c r="D503" t="s">
        <v>1738</v>
      </c>
      <c r="E503" s="1">
        <v>43174.729166666664</v>
      </c>
      <c r="F503" t="s">
        <v>1739</v>
      </c>
      <c r="G503" t="s">
        <v>875</v>
      </c>
      <c r="H503" t="s">
        <v>1740</v>
      </c>
      <c r="I503">
        <v>25</v>
      </c>
      <c r="J503">
        <v>50</v>
      </c>
      <c r="K503" t="s">
        <v>1553</v>
      </c>
      <c r="L503">
        <v>2018</v>
      </c>
      <c r="M503">
        <v>3</v>
      </c>
      <c r="N503">
        <v>15</v>
      </c>
      <c r="O503">
        <v>17</v>
      </c>
    </row>
    <row r="504" spans="1:15" x14ac:dyDescent="0.25">
      <c r="A504">
        <v>503</v>
      </c>
      <c r="B504">
        <v>507</v>
      </c>
      <c r="C504" t="s">
        <v>1741</v>
      </c>
      <c r="D504" t="s">
        <v>921</v>
      </c>
      <c r="E504" s="1">
        <v>43766.59375</v>
      </c>
      <c r="F504" t="s">
        <v>1742</v>
      </c>
      <c r="G504" t="s">
        <v>32</v>
      </c>
      <c r="H504" t="s">
        <v>1743</v>
      </c>
      <c r="I504">
        <v>22</v>
      </c>
      <c r="J504">
        <v>45</v>
      </c>
      <c r="K504" t="s">
        <v>1744</v>
      </c>
      <c r="L504">
        <v>2019</v>
      </c>
      <c r="M504">
        <v>10</v>
      </c>
      <c r="N504">
        <v>28</v>
      </c>
      <c r="O504">
        <v>14</v>
      </c>
    </row>
    <row r="505" spans="1:15" x14ac:dyDescent="0.25">
      <c r="A505">
        <v>504</v>
      </c>
      <c r="B505">
        <v>508</v>
      </c>
      <c r="C505" t="s">
        <v>1745</v>
      </c>
      <c r="D505" t="s">
        <v>1746</v>
      </c>
      <c r="E505" s="1">
        <v>44357.666666666664</v>
      </c>
      <c r="F505" t="s">
        <v>1747</v>
      </c>
      <c r="G505" t="s">
        <v>27</v>
      </c>
      <c r="H505" t="s">
        <v>1748</v>
      </c>
      <c r="I505">
        <v>30</v>
      </c>
      <c r="J505">
        <v>60</v>
      </c>
      <c r="K505" t="s">
        <v>1540</v>
      </c>
      <c r="L505">
        <v>2021</v>
      </c>
      <c r="M505">
        <v>6</v>
      </c>
      <c r="N505">
        <v>10</v>
      </c>
      <c r="O505">
        <v>16</v>
      </c>
    </row>
    <row r="506" spans="1:15" x14ac:dyDescent="0.25">
      <c r="A506">
        <v>505</v>
      </c>
      <c r="B506">
        <v>509</v>
      </c>
      <c r="C506" t="s">
        <v>1749</v>
      </c>
      <c r="D506" t="s">
        <v>1714</v>
      </c>
      <c r="E506" s="1">
        <v>42965.8125</v>
      </c>
      <c r="F506" t="s">
        <v>1750</v>
      </c>
      <c r="G506" t="s">
        <v>875</v>
      </c>
      <c r="H506" t="s">
        <v>1751</v>
      </c>
      <c r="I506">
        <v>18</v>
      </c>
      <c r="J506">
        <v>35</v>
      </c>
      <c r="K506" t="s">
        <v>1752</v>
      </c>
      <c r="L506">
        <v>2017</v>
      </c>
      <c r="M506">
        <v>8</v>
      </c>
      <c r="N506">
        <v>18</v>
      </c>
      <c r="O506">
        <v>19</v>
      </c>
    </row>
    <row r="507" spans="1:15" x14ac:dyDescent="0.25">
      <c r="A507">
        <v>506</v>
      </c>
      <c r="B507">
        <v>510</v>
      </c>
      <c r="C507" t="s">
        <v>1753</v>
      </c>
      <c r="D507" t="s">
        <v>1213</v>
      </c>
      <c r="E507" s="1">
        <v>43936.229166666664</v>
      </c>
      <c r="F507" t="s">
        <v>1754</v>
      </c>
      <c r="G507" t="s">
        <v>32</v>
      </c>
      <c r="H507" t="s">
        <v>1755</v>
      </c>
      <c r="I507">
        <v>28</v>
      </c>
      <c r="J507">
        <v>55</v>
      </c>
      <c r="K507" t="s">
        <v>1558</v>
      </c>
      <c r="L507">
        <v>2020</v>
      </c>
      <c r="M507">
        <v>4</v>
      </c>
      <c r="N507">
        <v>15</v>
      </c>
      <c r="O507">
        <v>5</v>
      </c>
    </row>
    <row r="508" spans="1:15" x14ac:dyDescent="0.25">
      <c r="A508">
        <v>507</v>
      </c>
      <c r="B508">
        <v>511</v>
      </c>
      <c r="C508" t="s">
        <v>1756</v>
      </c>
      <c r="D508" t="s">
        <v>1710</v>
      </c>
      <c r="E508" s="1">
        <v>42696.541666666664</v>
      </c>
      <c r="F508" t="s">
        <v>1757</v>
      </c>
      <c r="G508" t="s">
        <v>27</v>
      </c>
      <c r="H508" t="s">
        <v>1758</v>
      </c>
      <c r="I508">
        <v>20</v>
      </c>
      <c r="J508">
        <v>40</v>
      </c>
      <c r="K508" t="s">
        <v>1759</v>
      </c>
      <c r="L508">
        <v>2016</v>
      </c>
      <c r="M508">
        <v>11</v>
      </c>
      <c r="N508">
        <v>22</v>
      </c>
      <c r="O508">
        <v>13</v>
      </c>
    </row>
    <row r="509" spans="1:15" x14ac:dyDescent="0.25">
      <c r="A509">
        <v>508</v>
      </c>
      <c r="B509">
        <v>512</v>
      </c>
      <c r="C509" t="s">
        <v>1760</v>
      </c>
      <c r="D509" t="s">
        <v>1323</v>
      </c>
      <c r="E509" s="1">
        <v>43475.614583333336</v>
      </c>
      <c r="F509" t="s">
        <v>1761</v>
      </c>
      <c r="G509" t="s">
        <v>875</v>
      </c>
      <c r="H509" t="s">
        <v>1762</v>
      </c>
      <c r="I509">
        <v>22</v>
      </c>
      <c r="J509">
        <v>45</v>
      </c>
      <c r="K509" t="s">
        <v>1763</v>
      </c>
      <c r="L509">
        <v>2019</v>
      </c>
      <c r="M509">
        <v>1</v>
      </c>
      <c r="N509">
        <v>10</v>
      </c>
      <c r="O509">
        <v>14</v>
      </c>
    </row>
    <row r="510" spans="1:15" x14ac:dyDescent="0.25">
      <c r="A510">
        <v>509</v>
      </c>
      <c r="B510">
        <v>513</v>
      </c>
      <c r="C510" t="s">
        <v>1764</v>
      </c>
      <c r="D510" t="s">
        <v>1765</v>
      </c>
      <c r="E510" s="1">
        <v>44985.680555555555</v>
      </c>
      <c r="F510" t="s">
        <v>1766</v>
      </c>
      <c r="G510" t="s">
        <v>32</v>
      </c>
      <c r="H510" t="s">
        <v>1767</v>
      </c>
      <c r="I510">
        <v>25</v>
      </c>
      <c r="J510">
        <v>50</v>
      </c>
      <c r="K510" t="s">
        <v>1558</v>
      </c>
      <c r="L510">
        <v>2023</v>
      </c>
      <c r="M510">
        <v>2</v>
      </c>
      <c r="N510">
        <v>28</v>
      </c>
      <c r="O510">
        <v>16</v>
      </c>
    </row>
    <row r="511" spans="1:15" x14ac:dyDescent="0.25">
      <c r="A511">
        <v>510</v>
      </c>
      <c r="B511">
        <v>514</v>
      </c>
      <c r="C511" t="s">
        <v>1768</v>
      </c>
      <c r="D511" t="s">
        <v>1769</v>
      </c>
      <c r="E511" s="1">
        <v>43248.770833333336</v>
      </c>
      <c r="F511" t="s">
        <v>1770</v>
      </c>
      <c r="G511" t="s">
        <v>27</v>
      </c>
      <c r="H511" t="s">
        <v>1771</v>
      </c>
      <c r="I511">
        <v>22</v>
      </c>
      <c r="J511">
        <v>45</v>
      </c>
      <c r="K511" t="s">
        <v>1772</v>
      </c>
      <c r="L511">
        <v>2018</v>
      </c>
      <c r="M511">
        <v>5</v>
      </c>
      <c r="N511">
        <v>28</v>
      </c>
      <c r="O511">
        <v>18</v>
      </c>
    </row>
    <row r="512" spans="1:15" x14ac:dyDescent="0.25">
      <c r="A512">
        <v>511</v>
      </c>
      <c r="B512">
        <v>515</v>
      </c>
      <c r="C512" t="s">
        <v>1773</v>
      </c>
      <c r="D512" t="s">
        <v>1774</v>
      </c>
      <c r="E512" s="1">
        <v>44819.833333333336</v>
      </c>
      <c r="F512" t="s">
        <v>1775</v>
      </c>
      <c r="G512" t="s">
        <v>27</v>
      </c>
      <c r="H512" t="s">
        <v>1776</v>
      </c>
      <c r="I512">
        <v>40</v>
      </c>
      <c r="J512">
        <v>80</v>
      </c>
      <c r="K512" t="s">
        <v>99</v>
      </c>
      <c r="L512">
        <v>2022</v>
      </c>
      <c r="M512">
        <v>9</v>
      </c>
      <c r="N512">
        <v>15</v>
      </c>
      <c r="O512">
        <v>20</v>
      </c>
    </row>
    <row r="513" spans="1:15" x14ac:dyDescent="0.25">
      <c r="A513">
        <v>512</v>
      </c>
      <c r="B513">
        <v>516</v>
      </c>
      <c r="C513" t="s">
        <v>1777</v>
      </c>
      <c r="D513" t="s">
        <v>1778</v>
      </c>
      <c r="E513" s="1">
        <v>43674.895833333336</v>
      </c>
      <c r="F513" t="s">
        <v>1779</v>
      </c>
      <c r="G513" t="s">
        <v>875</v>
      </c>
      <c r="H513" t="s">
        <v>1780</v>
      </c>
      <c r="I513">
        <v>35</v>
      </c>
      <c r="J513">
        <v>70</v>
      </c>
      <c r="K513" t="s">
        <v>99</v>
      </c>
      <c r="L513">
        <v>2019</v>
      </c>
      <c r="M513">
        <v>7</v>
      </c>
      <c r="N513">
        <v>28</v>
      </c>
      <c r="O513">
        <v>21</v>
      </c>
    </row>
    <row r="514" spans="1:15" x14ac:dyDescent="0.25">
      <c r="A514">
        <v>513</v>
      </c>
      <c r="B514">
        <v>517</v>
      </c>
      <c r="C514" t="s">
        <v>1781</v>
      </c>
      <c r="D514" t="s">
        <v>1699</v>
      </c>
      <c r="E514" s="1">
        <v>44326.822916666664</v>
      </c>
      <c r="F514" t="s">
        <v>1782</v>
      </c>
      <c r="G514" t="s">
        <v>32</v>
      </c>
      <c r="H514" t="s">
        <v>1783</v>
      </c>
      <c r="I514">
        <v>30</v>
      </c>
      <c r="J514">
        <v>60</v>
      </c>
      <c r="K514" t="s">
        <v>99</v>
      </c>
      <c r="L514">
        <v>2021</v>
      </c>
      <c r="M514">
        <v>5</v>
      </c>
      <c r="N514">
        <v>10</v>
      </c>
      <c r="O514">
        <v>19</v>
      </c>
    </row>
    <row r="515" spans="1:15" x14ac:dyDescent="0.25">
      <c r="A515">
        <v>514</v>
      </c>
      <c r="B515">
        <v>518</v>
      </c>
      <c r="C515" t="s">
        <v>1784</v>
      </c>
      <c r="D515" t="s">
        <v>1406</v>
      </c>
      <c r="E515" s="1">
        <v>43436.927083333336</v>
      </c>
      <c r="F515" t="s">
        <v>1785</v>
      </c>
      <c r="G515" t="s">
        <v>27</v>
      </c>
      <c r="H515" t="s">
        <v>1786</v>
      </c>
      <c r="I515">
        <v>22</v>
      </c>
      <c r="J515">
        <v>45</v>
      </c>
      <c r="K515" t="s">
        <v>110</v>
      </c>
      <c r="L515">
        <v>2018</v>
      </c>
      <c r="M515">
        <v>12</v>
      </c>
      <c r="N515">
        <v>2</v>
      </c>
      <c r="O515">
        <v>22</v>
      </c>
    </row>
    <row r="516" spans="1:15" x14ac:dyDescent="0.25">
      <c r="A516">
        <v>515</v>
      </c>
      <c r="B516">
        <v>519</v>
      </c>
      <c r="C516" t="s">
        <v>1787</v>
      </c>
      <c r="D516" t="s">
        <v>921</v>
      </c>
      <c r="E516" s="1">
        <v>44061.791666666664</v>
      </c>
      <c r="F516" t="s">
        <v>1788</v>
      </c>
      <c r="G516" t="s">
        <v>875</v>
      </c>
      <c r="H516" t="s">
        <v>1789</v>
      </c>
      <c r="I516">
        <v>18</v>
      </c>
      <c r="J516">
        <v>35</v>
      </c>
      <c r="K516" t="s">
        <v>110</v>
      </c>
      <c r="L516">
        <v>2020</v>
      </c>
      <c r="M516">
        <v>8</v>
      </c>
      <c r="N516">
        <v>18</v>
      </c>
      <c r="O516">
        <v>19</v>
      </c>
    </row>
    <row r="517" spans="1:15" x14ac:dyDescent="0.25">
      <c r="A517">
        <v>516</v>
      </c>
      <c r="B517">
        <v>520</v>
      </c>
      <c r="C517" t="s">
        <v>1790</v>
      </c>
      <c r="D517" t="s">
        <v>1625</v>
      </c>
      <c r="E517" s="1">
        <v>42822.854166666664</v>
      </c>
      <c r="F517" t="s">
        <v>1791</v>
      </c>
      <c r="G517" t="s">
        <v>32</v>
      </c>
      <c r="H517" t="s">
        <v>1792</v>
      </c>
      <c r="I517">
        <v>28</v>
      </c>
      <c r="J517">
        <v>55</v>
      </c>
      <c r="K517" t="s">
        <v>99</v>
      </c>
      <c r="L517">
        <v>2017</v>
      </c>
      <c r="M517">
        <v>3</v>
      </c>
      <c r="N517">
        <v>28</v>
      </c>
      <c r="O517">
        <v>20</v>
      </c>
    </row>
    <row r="518" spans="1:15" x14ac:dyDescent="0.25">
      <c r="A518">
        <v>517</v>
      </c>
      <c r="B518">
        <v>521</v>
      </c>
      <c r="C518" t="s">
        <v>1793</v>
      </c>
      <c r="D518" t="s">
        <v>1794</v>
      </c>
      <c r="E518" s="1">
        <v>44576.885416666664</v>
      </c>
      <c r="F518" t="s">
        <v>1795</v>
      </c>
      <c r="G518" t="s">
        <v>27</v>
      </c>
      <c r="H518" t="s">
        <v>1796</v>
      </c>
      <c r="I518">
        <v>25</v>
      </c>
      <c r="J518">
        <v>50</v>
      </c>
      <c r="K518" t="s">
        <v>99</v>
      </c>
      <c r="L518">
        <v>2022</v>
      </c>
      <c r="M518">
        <v>1</v>
      </c>
      <c r="N518">
        <v>15</v>
      </c>
      <c r="O518">
        <v>21</v>
      </c>
    </row>
    <row r="519" spans="1:15" x14ac:dyDescent="0.25">
      <c r="A519">
        <v>518</v>
      </c>
      <c r="B519">
        <v>522</v>
      </c>
      <c r="C519" t="s">
        <v>1797</v>
      </c>
      <c r="D519" t="s">
        <v>1798</v>
      </c>
      <c r="E519" s="1">
        <v>43626.78125</v>
      </c>
      <c r="F519" t="s">
        <v>1799</v>
      </c>
      <c r="G519" t="s">
        <v>875</v>
      </c>
      <c r="H519" t="s">
        <v>1800</v>
      </c>
      <c r="I519">
        <v>22</v>
      </c>
      <c r="J519">
        <v>45</v>
      </c>
      <c r="K519" t="s">
        <v>99</v>
      </c>
      <c r="L519">
        <v>2019</v>
      </c>
      <c r="M519">
        <v>6</v>
      </c>
      <c r="N519">
        <v>10</v>
      </c>
      <c r="O519">
        <v>18</v>
      </c>
    </row>
    <row r="520" spans="1:15" x14ac:dyDescent="0.25">
      <c r="A520">
        <v>519</v>
      </c>
      <c r="B520">
        <v>523</v>
      </c>
      <c r="C520" t="s">
        <v>1801</v>
      </c>
      <c r="D520" t="s">
        <v>1802</v>
      </c>
      <c r="E520" s="1">
        <v>45005.9375</v>
      </c>
      <c r="F520" t="s">
        <v>1803</v>
      </c>
      <c r="G520" t="s">
        <v>32</v>
      </c>
      <c r="H520" t="s">
        <v>1804</v>
      </c>
      <c r="I520">
        <v>35</v>
      </c>
      <c r="J520">
        <v>70</v>
      </c>
      <c r="K520" t="s">
        <v>99</v>
      </c>
      <c r="L520">
        <v>2023</v>
      </c>
      <c r="M520">
        <v>3</v>
      </c>
      <c r="N520">
        <v>20</v>
      </c>
      <c r="O520">
        <v>22</v>
      </c>
    </row>
    <row r="521" spans="1:15" x14ac:dyDescent="0.25">
      <c r="A521">
        <v>520</v>
      </c>
      <c r="B521">
        <v>524</v>
      </c>
      <c r="C521" t="s">
        <v>1805</v>
      </c>
      <c r="D521" t="s">
        <v>1806</v>
      </c>
      <c r="E521" s="1">
        <v>42702.791666666664</v>
      </c>
      <c r="F521" t="s">
        <v>1807</v>
      </c>
      <c r="G521" t="s">
        <v>27</v>
      </c>
      <c r="H521" t="s">
        <v>1808</v>
      </c>
      <c r="I521">
        <v>30</v>
      </c>
      <c r="J521">
        <v>60</v>
      </c>
      <c r="K521" t="s">
        <v>110</v>
      </c>
      <c r="L521">
        <v>2016</v>
      </c>
      <c r="M521">
        <v>11</v>
      </c>
      <c r="N521">
        <v>28</v>
      </c>
      <c r="O521">
        <v>19</v>
      </c>
    </row>
    <row r="522" spans="1:15" x14ac:dyDescent="0.25">
      <c r="A522">
        <v>521</v>
      </c>
      <c r="B522">
        <v>525</v>
      </c>
      <c r="C522" t="s">
        <v>1809</v>
      </c>
      <c r="D522" t="s">
        <v>1635</v>
      </c>
      <c r="E522" s="1">
        <v>43317.833333333336</v>
      </c>
      <c r="F522" t="s">
        <v>1810</v>
      </c>
      <c r="G522" t="s">
        <v>27</v>
      </c>
      <c r="H522" t="s">
        <v>1811</v>
      </c>
      <c r="I522">
        <v>40</v>
      </c>
      <c r="J522">
        <v>80</v>
      </c>
      <c r="K522" t="s">
        <v>124</v>
      </c>
      <c r="L522">
        <v>2018</v>
      </c>
      <c r="M522">
        <v>8</v>
      </c>
      <c r="N522">
        <v>5</v>
      </c>
      <c r="O522">
        <v>20</v>
      </c>
    </row>
    <row r="523" spans="1:15" x14ac:dyDescent="0.25">
      <c r="A523">
        <v>522</v>
      </c>
      <c r="B523">
        <v>526</v>
      </c>
      <c r="C523" t="s">
        <v>1812</v>
      </c>
      <c r="D523" t="s">
        <v>1813</v>
      </c>
      <c r="E523" s="1">
        <v>44301.895833333336</v>
      </c>
      <c r="F523" t="s">
        <v>1814</v>
      </c>
      <c r="G523" t="s">
        <v>875</v>
      </c>
      <c r="H523" t="s">
        <v>1815</v>
      </c>
      <c r="I523">
        <v>35</v>
      </c>
      <c r="J523">
        <v>70</v>
      </c>
      <c r="K523" t="s">
        <v>99</v>
      </c>
      <c r="L523">
        <v>2021</v>
      </c>
      <c r="M523">
        <v>4</v>
      </c>
      <c r="N523">
        <v>15</v>
      </c>
      <c r="O523">
        <v>21</v>
      </c>
    </row>
    <row r="524" spans="1:15" x14ac:dyDescent="0.25">
      <c r="A524">
        <v>523</v>
      </c>
      <c r="B524">
        <v>527</v>
      </c>
      <c r="C524" t="s">
        <v>1816</v>
      </c>
      <c r="D524" t="s">
        <v>1774</v>
      </c>
      <c r="E524" s="1">
        <v>43797.822916666664</v>
      </c>
      <c r="F524" t="s">
        <v>1817</v>
      </c>
      <c r="G524" t="s">
        <v>32</v>
      </c>
      <c r="H524" t="s">
        <v>1818</v>
      </c>
      <c r="I524">
        <v>30</v>
      </c>
      <c r="J524">
        <v>60</v>
      </c>
      <c r="K524" t="s">
        <v>110</v>
      </c>
      <c r="L524">
        <v>2019</v>
      </c>
      <c r="M524">
        <v>11</v>
      </c>
      <c r="N524">
        <v>28</v>
      </c>
      <c r="O524">
        <v>19</v>
      </c>
    </row>
    <row r="525" spans="1:15" x14ac:dyDescent="0.25">
      <c r="A525">
        <v>524</v>
      </c>
      <c r="B525">
        <v>528</v>
      </c>
      <c r="C525" t="s">
        <v>1819</v>
      </c>
      <c r="D525" t="s">
        <v>1820</v>
      </c>
      <c r="E525" s="1">
        <v>44004.916666666664</v>
      </c>
      <c r="F525" t="s">
        <v>1821</v>
      </c>
      <c r="G525" t="s">
        <v>27</v>
      </c>
      <c r="H525" t="s">
        <v>1822</v>
      </c>
      <c r="I525">
        <v>22</v>
      </c>
      <c r="J525">
        <v>45</v>
      </c>
      <c r="K525" t="s">
        <v>99</v>
      </c>
      <c r="L525">
        <v>2020</v>
      </c>
      <c r="M525">
        <v>6</v>
      </c>
      <c r="N525">
        <v>22</v>
      </c>
      <c r="O525">
        <v>22</v>
      </c>
    </row>
    <row r="526" spans="1:15" x14ac:dyDescent="0.25">
      <c r="A526">
        <v>525</v>
      </c>
      <c r="B526">
        <v>529</v>
      </c>
      <c r="C526" t="s">
        <v>1823</v>
      </c>
      <c r="D526" t="s">
        <v>1824</v>
      </c>
      <c r="E526" s="1">
        <v>42988.84375</v>
      </c>
      <c r="F526" t="s">
        <v>1825</v>
      </c>
      <c r="G526" t="s">
        <v>875</v>
      </c>
      <c r="H526" t="s">
        <v>1826</v>
      </c>
      <c r="I526">
        <v>18</v>
      </c>
      <c r="J526">
        <v>35</v>
      </c>
      <c r="K526" t="s">
        <v>99</v>
      </c>
      <c r="L526">
        <v>2017</v>
      </c>
      <c r="M526">
        <v>9</v>
      </c>
      <c r="N526">
        <v>10</v>
      </c>
      <c r="O526">
        <v>20</v>
      </c>
    </row>
    <row r="527" spans="1:15" x14ac:dyDescent="0.25">
      <c r="A527">
        <v>526</v>
      </c>
      <c r="B527">
        <v>530</v>
      </c>
      <c r="C527" t="s">
        <v>1827</v>
      </c>
      <c r="D527" t="s">
        <v>1828</v>
      </c>
      <c r="E527" s="1">
        <v>44620.885416666664</v>
      </c>
      <c r="F527" t="s">
        <v>1829</v>
      </c>
      <c r="G527" t="s">
        <v>32</v>
      </c>
      <c r="H527" t="s">
        <v>1830</v>
      </c>
      <c r="I527">
        <v>28</v>
      </c>
      <c r="J527">
        <v>55</v>
      </c>
      <c r="K527" t="s">
        <v>1831</v>
      </c>
      <c r="L527">
        <v>2022</v>
      </c>
      <c r="M527">
        <v>2</v>
      </c>
      <c r="N527">
        <v>28</v>
      </c>
      <c r="O527">
        <v>21</v>
      </c>
    </row>
    <row r="528" spans="1:15" x14ac:dyDescent="0.25">
      <c r="A528">
        <v>527</v>
      </c>
      <c r="B528">
        <v>531</v>
      </c>
      <c r="C528" t="s">
        <v>1832</v>
      </c>
      <c r="D528" t="s">
        <v>1833</v>
      </c>
      <c r="E528" s="1">
        <v>42505.8125</v>
      </c>
      <c r="F528" t="s">
        <v>1834</v>
      </c>
      <c r="G528" t="s">
        <v>27</v>
      </c>
      <c r="H528" t="s">
        <v>1835</v>
      </c>
      <c r="I528">
        <v>25</v>
      </c>
      <c r="J528">
        <v>50</v>
      </c>
      <c r="K528" t="s">
        <v>1836</v>
      </c>
      <c r="L528">
        <v>2016</v>
      </c>
      <c r="M528">
        <v>5</v>
      </c>
      <c r="N528">
        <v>15</v>
      </c>
      <c r="O528">
        <v>19</v>
      </c>
    </row>
    <row r="529" spans="1:15" x14ac:dyDescent="0.25">
      <c r="A529">
        <v>528</v>
      </c>
      <c r="B529">
        <v>532</v>
      </c>
      <c r="C529" t="s">
        <v>1837</v>
      </c>
      <c r="D529" t="s">
        <v>1838</v>
      </c>
      <c r="E529" s="1">
        <v>43444.9375</v>
      </c>
      <c r="F529" t="s">
        <v>1839</v>
      </c>
      <c r="G529" t="s">
        <v>875</v>
      </c>
      <c r="H529" t="s">
        <v>1840</v>
      </c>
      <c r="I529">
        <v>22</v>
      </c>
      <c r="J529">
        <v>45</v>
      </c>
      <c r="K529" t="s">
        <v>99</v>
      </c>
      <c r="L529">
        <v>2018</v>
      </c>
      <c r="M529">
        <v>12</v>
      </c>
      <c r="N529">
        <v>10</v>
      </c>
      <c r="O529">
        <v>22</v>
      </c>
    </row>
    <row r="530" spans="1:15" x14ac:dyDescent="0.25">
      <c r="A530">
        <v>529</v>
      </c>
      <c r="B530">
        <v>533</v>
      </c>
      <c r="C530" t="s">
        <v>1841</v>
      </c>
      <c r="D530" t="s">
        <v>1842</v>
      </c>
      <c r="E530" s="1">
        <v>44948.833333333336</v>
      </c>
      <c r="F530" t="s">
        <v>1843</v>
      </c>
      <c r="G530" t="s">
        <v>32</v>
      </c>
      <c r="H530" t="s">
        <v>1844</v>
      </c>
      <c r="I530">
        <v>35</v>
      </c>
      <c r="J530">
        <v>70</v>
      </c>
      <c r="K530" t="s">
        <v>99</v>
      </c>
      <c r="L530">
        <v>2023</v>
      </c>
      <c r="M530">
        <v>1</v>
      </c>
      <c r="N530">
        <v>22</v>
      </c>
      <c r="O530">
        <v>20</v>
      </c>
    </row>
    <row r="531" spans="1:15" x14ac:dyDescent="0.25">
      <c r="A531">
        <v>530</v>
      </c>
      <c r="B531">
        <v>534</v>
      </c>
      <c r="C531" t="s">
        <v>1845</v>
      </c>
      <c r="D531" t="s">
        <v>1846</v>
      </c>
      <c r="E531" s="1">
        <v>43895.78125</v>
      </c>
      <c r="F531" t="s">
        <v>1847</v>
      </c>
      <c r="G531" t="s">
        <v>27</v>
      </c>
      <c r="H531" t="s">
        <v>1848</v>
      </c>
      <c r="I531">
        <v>30</v>
      </c>
      <c r="J531">
        <v>60</v>
      </c>
      <c r="K531" t="s">
        <v>1849</v>
      </c>
      <c r="L531">
        <v>2020</v>
      </c>
      <c r="M531">
        <v>3</v>
      </c>
      <c r="N531">
        <v>5</v>
      </c>
      <c r="O531">
        <v>18</v>
      </c>
    </row>
    <row r="532" spans="1:15" x14ac:dyDescent="0.25">
      <c r="A532">
        <v>531</v>
      </c>
      <c r="B532">
        <v>535</v>
      </c>
      <c r="C532" t="s">
        <v>1850</v>
      </c>
      <c r="D532" t="s">
        <v>389</v>
      </c>
      <c r="E532" s="1">
        <v>43385.833333333336</v>
      </c>
      <c r="F532" t="s">
        <v>1851</v>
      </c>
      <c r="G532" t="s">
        <v>875</v>
      </c>
      <c r="H532" t="s">
        <v>1852</v>
      </c>
      <c r="I532">
        <v>40</v>
      </c>
      <c r="J532">
        <v>80</v>
      </c>
      <c r="K532" t="s">
        <v>99</v>
      </c>
      <c r="L532">
        <v>2018</v>
      </c>
      <c r="M532">
        <v>10</v>
      </c>
      <c r="N532">
        <v>12</v>
      </c>
      <c r="O532">
        <v>20</v>
      </c>
    </row>
    <row r="533" spans="1:15" x14ac:dyDescent="0.25">
      <c r="A533">
        <v>532</v>
      </c>
      <c r="B533">
        <v>536</v>
      </c>
      <c r="C533" t="s">
        <v>1853</v>
      </c>
      <c r="D533" t="s">
        <v>1406</v>
      </c>
      <c r="E533" s="1">
        <v>43641.927083333336</v>
      </c>
      <c r="F533" t="s">
        <v>1854</v>
      </c>
      <c r="G533" t="s">
        <v>27</v>
      </c>
      <c r="H533" t="s">
        <v>1855</v>
      </c>
      <c r="I533">
        <v>35</v>
      </c>
      <c r="J533">
        <v>70</v>
      </c>
      <c r="K533" t="s">
        <v>110</v>
      </c>
      <c r="L533">
        <v>2019</v>
      </c>
      <c r="M533">
        <v>6</v>
      </c>
      <c r="N533">
        <v>25</v>
      </c>
      <c r="O533">
        <v>22</v>
      </c>
    </row>
    <row r="534" spans="1:15" x14ac:dyDescent="0.25">
      <c r="A534">
        <v>533</v>
      </c>
      <c r="B534">
        <v>537</v>
      </c>
      <c r="C534" t="s">
        <v>1856</v>
      </c>
      <c r="D534" t="s">
        <v>1857</v>
      </c>
      <c r="E534" s="1">
        <v>44020.8125</v>
      </c>
      <c r="F534" t="s">
        <v>1858</v>
      </c>
      <c r="G534" t="s">
        <v>32</v>
      </c>
      <c r="H534" t="s">
        <v>1859</v>
      </c>
      <c r="I534">
        <v>30</v>
      </c>
      <c r="J534">
        <v>60</v>
      </c>
      <c r="K534" t="s">
        <v>124</v>
      </c>
      <c r="L534">
        <v>2020</v>
      </c>
      <c r="M534">
        <v>7</v>
      </c>
      <c r="N534">
        <v>8</v>
      </c>
      <c r="O534">
        <v>19</v>
      </c>
    </row>
    <row r="535" spans="1:15" x14ac:dyDescent="0.25">
      <c r="A535">
        <v>534</v>
      </c>
      <c r="B535">
        <v>538</v>
      </c>
      <c r="C535" t="s">
        <v>1860</v>
      </c>
      <c r="D535" t="s">
        <v>1824</v>
      </c>
      <c r="E535" s="1">
        <v>42996.90625</v>
      </c>
      <c r="F535" t="s">
        <v>1861</v>
      </c>
      <c r="G535" t="s">
        <v>875</v>
      </c>
      <c r="H535" t="s">
        <v>1862</v>
      </c>
      <c r="I535">
        <v>22</v>
      </c>
      <c r="J535">
        <v>45</v>
      </c>
      <c r="K535" t="s">
        <v>39</v>
      </c>
      <c r="L535">
        <v>2017</v>
      </c>
      <c r="M535">
        <v>9</v>
      </c>
      <c r="N535">
        <v>18</v>
      </c>
      <c r="O535">
        <v>21</v>
      </c>
    </row>
    <row r="536" spans="1:15" x14ac:dyDescent="0.25">
      <c r="A536">
        <v>535</v>
      </c>
      <c r="B536">
        <v>539</v>
      </c>
      <c r="C536" t="s">
        <v>1863</v>
      </c>
      <c r="D536" t="s">
        <v>1864</v>
      </c>
      <c r="E536" s="1">
        <v>44211.75</v>
      </c>
      <c r="F536" t="s">
        <v>1865</v>
      </c>
      <c r="G536" t="s">
        <v>27</v>
      </c>
      <c r="H536" t="s">
        <v>1866</v>
      </c>
      <c r="I536">
        <v>28</v>
      </c>
      <c r="J536">
        <v>55</v>
      </c>
      <c r="K536" t="s">
        <v>165</v>
      </c>
      <c r="L536">
        <v>2021</v>
      </c>
      <c r="M536">
        <v>1</v>
      </c>
      <c r="N536">
        <v>15</v>
      </c>
      <c r="O536">
        <v>18</v>
      </c>
    </row>
    <row r="537" spans="1:15" x14ac:dyDescent="0.25">
      <c r="A537">
        <v>536</v>
      </c>
      <c r="B537">
        <v>540</v>
      </c>
      <c r="C537" t="s">
        <v>1867</v>
      </c>
      <c r="D537" t="s">
        <v>1639</v>
      </c>
      <c r="E537" s="1">
        <v>42428.854166666664</v>
      </c>
      <c r="F537" t="s">
        <v>1868</v>
      </c>
      <c r="G537" t="s">
        <v>32</v>
      </c>
      <c r="H537" t="s">
        <v>1869</v>
      </c>
      <c r="I537">
        <v>18</v>
      </c>
      <c r="J537">
        <v>35</v>
      </c>
      <c r="K537" t="s">
        <v>99</v>
      </c>
      <c r="L537">
        <v>2016</v>
      </c>
      <c r="M537">
        <v>2</v>
      </c>
      <c r="N537">
        <v>28</v>
      </c>
      <c r="O537">
        <v>20</v>
      </c>
    </row>
    <row r="538" spans="1:15" x14ac:dyDescent="0.25">
      <c r="A538">
        <v>537</v>
      </c>
      <c r="B538">
        <v>541</v>
      </c>
      <c r="C538" t="s">
        <v>1870</v>
      </c>
      <c r="D538" t="s">
        <v>1309</v>
      </c>
      <c r="E538" s="1">
        <v>44671.729166666664</v>
      </c>
      <c r="F538" t="s">
        <v>1871</v>
      </c>
      <c r="G538" t="s">
        <v>875</v>
      </c>
      <c r="H538" t="s">
        <v>1872</v>
      </c>
      <c r="I538">
        <v>22</v>
      </c>
      <c r="J538">
        <v>45</v>
      </c>
      <c r="K538" t="s">
        <v>1545</v>
      </c>
      <c r="L538">
        <v>2022</v>
      </c>
      <c r="M538">
        <v>4</v>
      </c>
      <c r="N538">
        <v>20</v>
      </c>
      <c r="O538">
        <v>17</v>
      </c>
    </row>
    <row r="539" spans="1:15" x14ac:dyDescent="0.25">
      <c r="A539">
        <v>538</v>
      </c>
      <c r="B539">
        <v>542</v>
      </c>
      <c r="C539" t="s">
        <v>1873</v>
      </c>
      <c r="D539" t="s">
        <v>1163</v>
      </c>
      <c r="E539" s="1">
        <v>43774.885416666664</v>
      </c>
      <c r="F539" t="s">
        <v>1874</v>
      </c>
      <c r="G539" t="s">
        <v>27</v>
      </c>
      <c r="H539" t="s">
        <v>1875</v>
      </c>
      <c r="I539">
        <v>28</v>
      </c>
      <c r="J539">
        <v>55</v>
      </c>
      <c r="K539" t="s">
        <v>1536</v>
      </c>
      <c r="L539">
        <v>2019</v>
      </c>
      <c r="M539">
        <v>11</v>
      </c>
      <c r="N539">
        <v>5</v>
      </c>
      <c r="O539">
        <v>21</v>
      </c>
    </row>
    <row r="540" spans="1:15" x14ac:dyDescent="0.25">
      <c r="A540">
        <v>539</v>
      </c>
      <c r="B540">
        <v>543</v>
      </c>
      <c r="C540" t="s">
        <v>1876</v>
      </c>
      <c r="D540" t="s">
        <v>1877</v>
      </c>
      <c r="E540" s="1">
        <v>42197.916666666664</v>
      </c>
      <c r="F540" t="s">
        <v>1878</v>
      </c>
      <c r="G540" t="s">
        <v>32</v>
      </c>
      <c r="H540" t="s">
        <v>1879</v>
      </c>
      <c r="I540">
        <v>35</v>
      </c>
      <c r="J540">
        <v>70</v>
      </c>
      <c r="K540" t="s">
        <v>1558</v>
      </c>
      <c r="L540">
        <v>2015</v>
      </c>
      <c r="M540">
        <v>7</v>
      </c>
      <c r="N540">
        <v>12</v>
      </c>
      <c r="O540">
        <v>22</v>
      </c>
    </row>
    <row r="541" spans="1:15" x14ac:dyDescent="0.25">
      <c r="A541">
        <v>540</v>
      </c>
      <c r="B541">
        <v>544</v>
      </c>
      <c r="C541" t="s">
        <v>1880</v>
      </c>
      <c r="D541" t="s">
        <v>1881</v>
      </c>
      <c r="E541" s="1">
        <v>44084.822916666664</v>
      </c>
      <c r="F541" t="s">
        <v>1882</v>
      </c>
      <c r="G541" t="s">
        <v>875</v>
      </c>
      <c r="H541" t="s">
        <v>1883</v>
      </c>
      <c r="I541">
        <v>22</v>
      </c>
      <c r="J541">
        <v>45</v>
      </c>
      <c r="K541" t="s">
        <v>1540</v>
      </c>
      <c r="L541">
        <v>2020</v>
      </c>
      <c r="M541">
        <v>9</v>
      </c>
      <c r="N541">
        <v>10</v>
      </c>
      <c r="O541">
        <v>19</v>
      </c>
    </row>
    <row r="542" spans="1:15" x14ac:dyDescent="0.25">
      <c r="A542">
        <v>541</v>
      </c>
      <c r="B542">
        <v>545</v>
      </c>
      <c r="C542" t="s">
        <v>1884</v>
      </c>
      <c r="D542" t="s">
        <v>1625</v>
      </c>
      <c r="E542" s="1">
        <v>43296.895833333336</v>
      </c>
      <c r="F542" t="s">
        <v>1885</v>
      </c>
      <c r="G542" t="s">
        <v>27</v>
      </c>
      <c r="H542" t="s">
        <v>1886</v>
      </c>
      <c r="I542">
        <v>40</v>
      </c>
      <c r="J542">
        <v>80</v>
      </c>
      <c r="K542" t="s">
        <v>1540</v>
      </c>
      <c r="L542">
        <v>2018</v>
      </c>
      <c r="M542">
        <v>7</v>
      </c>
      <c r="N542">
        <v>15</v>
      </c>
      <c r="O542">
        <v>21</v>
      </c>
    </row>
    <row r="543" spans="1:15" x14ac:dyDescent="0.25">
      <c r="A543">
        <v>542</v>
      </c>
      <c r="B543">
        <v>546</v>
      </c>
      <c r="C543" t="s">
        <v>1887</v>
      </c>
      <c r="D543" t="s">
        <v>1309</v>
      </c>
      <c r="E543" s="1">
        <v>44051.822916666664</v>
      </c>
      <c r="F543" t="s">
        <v>1888</v>
      </c>
      <c r="G543" t="s">
        <v>875</v>
      </c>
      <c r="H543" t="s">
        <v>1889</v>
      </c>
      <c r="I543">
        <v>35</v>
      </c>
      <c r="J543">
        <v>70</v>
      </c>
      <c r="K543" t="s">
        <v>99</v>
      </c>
      <c r="L543">
        <v>2020</v>
      </c>
      <c r="M543">
        <v>8</v>
      </c>
      <c r="N543">
        <v>8</v>
      </c>
      <c r="O543">
        <v>19</v>
      </c>
    </row>
    <row r="544" spans="1:15" x14ac:dyDescent="0.25">
      <c r="A544">
        <v>543</v>
      </c>
      <c r="B544">
        <v>547</v>
      </c>
      <c r="C544" t="s">
        <v>1890</v>
      </c>
      <c r="D544" t="s">
        <v>389</v>
      </c>
      <c r="E544" s="1">
        <v>43641.927083333336</v>
      </c>
      <c r="F544" t="s">
        <v>1891</v>
      </c>
      <c r="G544" t="s">
        <v>32</v>
      </c>
      <c r="H544" t="s">
        <v>1892</v>
      </c>
      <c r="I544">
        <v>30</v>
      </c>
      <c r="J544">
        <v>60</v>
      </c>
      <c r="K544" t="s">
        <v>165</v>
      </c>
      <c r="L544">
        <v>2019</v>
      </c>
      <c r="M544">
        <v>6</v>
      </c>
      <c r="N544">
        <v>25</v>
      </c>
      <c r="O544">
        <v>22</v>
      </c>
    </row>
    <row r="545" spans="1:15" x14ac:dyDescent="0.25">
      <c r="A545">
        <v>544</v>
      </c>
      <c r="B545">
        <v>548</v>
      </c>
      <c r="C545" t="s">
        <v>1893</v>
      </c>
      <c r="D545" t="s">
        <v>1894</v>
      </c>
      <c r="E545" s="1">
        <v>44507.729166666664</v>
      </c>
      <c r="F545" t="s">
        <v>1895</v>
      </c>
      <c r="G545" t="s">
        <v>27</v>
      </c>
      <c r="H545" t="s">
        <v>1896</v>
      </c>
      <c r="I545">
        <v>22</v>
      </c>
      <c r="J545">
        <v>45</v>
      </c>
      <c r="K545" t="s">
        <v>1897</v>
      </c>
      <c r="L545">
        <v>2021</v>
      </c>
      <c r="M545">
        <v>11</v>
      </c>
      <c r="N545">
        <v>7</v>
      </c>
      <c r="O545">
        <v>17</v>
      </c>
    </row>
    <row r="546" spans="1:15" x14ac:dyDescent="0.25">
      <c r="A546">
        <v>545</v>
      </c>
      <c r="B546">
        <v>549</v>
      </c>
      <c r="C546" t="s">
        <v>1898</v>
      </c>
      <c r="D546" t="s">
        <v>1738</v>
      </c>
      <c r="E546" s="1">
        <v>42988.84375</v>
      </c>
      <c r="F546" t="s">
        <v>1899</v>
      </c>
      <c r="G546" t="s">
        <v>875</v>
      </c>
      <c r="H546" t="s">
        <v>1900</v>
      </c>
      <c r="I546">
        <v>28</v>
      </c>
      <c r="J546">
        <v>55</v>
      </c>
      <c r="K546" t="s">
        <v>110</v>
      </c>
      <c r="L546">
        <v>2017</v>
      </c>
      <c r="M546">
        <v>9</v>
      </c>
      <c r="N546">
        <v>10</v>
      </c>
      <c r="O546">
        <v>20</v>
      </c>
    </row>
    <row r="547" spans="1:15" x14ac:dyDescent="0.25">
      <c r="A547">
        <v>546</v>
      </c>
      <c r="B547">
        <v>550</v>
      </c>
      <c r="C547" t="s">
        <v>1901</v>
      </c>
      <c r="D547" t="s">
        <v>1902</v>
      </c>
      <c r="E547" s="1">
        <v>44732.875</v>
      </c>
      <c r="F547" t="s">
        <v>1903</v>
      </c>
      <c r="G547" t="s">
        <v>32</v>
      </c>
      <c r="H547" t="s">
        <v>1904</v>
      </c>
      <c r="I547">
        <v>18</v>
      </c>
      <c r="J547">
        <v>35</v>
      </c>
      <c r="K547" t="s">
        <v>99</v>
      </c>
      <c r="L547">
        <v>2022</v>
      </c>
      <c r="M547">
        <v>6</v>
      </c>
      <c r="N547">
        <v>20</v>
      </c>
      <c r="O547">
        <v>21</v>
      </c>
    </row>
    <row r="548" spans="1:15" x14ac:dyDescent="0.25">
      <c r="A548">
        <v>547</v>
      </c>
      <c r="B548">
        <v>551</v>
      </c>
      <c r="C548" t="s">
        <v>1905</v>
      </c>
      <c r="D548" t="s">
        <v>1714</v>
      </c>
      <c r="E548" s="1">
        <v>42470.770833333336</v>
      </c>
      <c r="F548" t="s">
        <v>1906</v>
      </c>
      <c r="G548" t="s">
        <v>27</v>
      </c>
      <c r="H548" t="s">
        <v>1907</v>
      </c>
      <c r="I548">
        <v>22</v>
      </c>
      <c r="J548">
        <v>45</v>
      </c>
      <c r="K548" t="s">
        <v>1908</v>
      </c>
      <c r="L548">
        <v>2016</v>
      </c>
      <c r="M548">
        <v>4</v>
      </c>
      <c r="N548">
        <v>10</v>
      </c>
      <c r="O548">
        <v>18</v>
      </c>
    </row>
    <row r="549" spans="1:15" x14ac:dyDescent="0.25">
      <c r="A549">
        <v>548</v>
      </c>
      <c r="B549">
        <v>552</v>
      </c>
      <c r="C549" t="s">
        <v>1909</v>
      </c>
      <c r="D549" t="s">
        <v>1691</v>
      </c>
      <c r="E549" s="1">
        <v>43793.822916666664</v>
      </c>
      <c r="F549" t="s">
        <v>1910</v>
      </c>
      <c r="G549" t="s">
        <v>875</v>
      </c>
      <c r="H549" t="s">
        <v>1911</v>
      </c>
      <c r="I549">
        <v>28</v>
      </c>
      <c r="J549">
        <v>55</v>
      </c>
      <c r="K549" t="s">
        <v>1536</v>
      </c>
      <c r="L549">
        <v>2019</v>
      </c>
      <c r="M549">
        <v>11</v>
      </c>
      <c r="N549">
        <v>24</v>
      </c>
      <c r="O549">
        <v>19</v>
      </c>
    </row>
    <row r="550" spans="1:15" x14ac:dyDescent="0.25">
      <c r="A550">
        <v>549</v>
      </c>
      <c r="B550">
        <v>553</v>
      </c>
      <c r="C550" t="s">
        <v>1912</v>
      </c>
      <c r="D550" t="s">
        <v>1094</v>
      </c>
      <c r="E550" s="1">
        <v>42275.9375</v>
      </c>
      <c r="F550" t="s">
        <v>1913</v>
      </c>
      <c r="G550" t="s">
        <v>32</v>
      </c>
      <c r="H550" t="s">
        <v>1914</v>
      </c>
      <c r="I550">
        <v>35</v>
      </c>
      <c r="J550">
        <v>70</v>
      </c>
      <c r="K550" t="s">
        <v>1553</v>
      </c>
      <c r="L550">
        <v>2015</v>
      </c>
      <c r="M550">
        <v>9</v>
      </c>
      <c r="N550">
        <v>28</v>
      </c>
      <c r="O550">
        <v>22</v>
      </c>
    </row>
    <row r="551" spans="1:15" x14ac:dyDescent="0.25">
      <c r="A551">
        <v>550</v>
      </c>
      <c r="B551">
        <v>554</v>
      </c>
      <c r="C551" t="s">
        <v>1915</v>
      </c>
      <c r="D551" t="s">
        <v>1916</v>
      </c>
      <c r="E551" s="1">
        <v>44177.833333333336</v>
      </c>
      <c r="F551" t="s">
        <v>1917</v>
      </c>
      <c r="G551" t="s">
        <v>27</v>
      </c>
      <c r="H551" t="s">
        <v>1918</v>
      </c>
      <c r="I551">
        <v>22</v>
      </c>
      <c r="J551">
        <v>45</v>
      </c>
      <c r="K551" t="s">
        <v>124</v>
      </c>
      <c r="L551">
        <v>2020</v>
      </c>
      <c r="M551">
        <v>12</v>
      </c>
      <c r="N551">
        <v>12</v>
      </c>
      <c r="O551">
        <v>20</v>
      </c>
    </row>
    <row r="552" spans="1:15" x14ac:dyDescent="0.25">
      <c r="A552">
        <v>551</v>
      </c>
      <c r="B552">
        <v>555</v>
      </c>
      <c r="C552" t="s">
        <v>1919</v>
      </c>
      <c r="D552" t="s">
        <v>1474</v>
      </c>
      <c r="E552" s="1">
        <v>43771.78125</v>
      </c>
      <c r="F552" t="s">
        <v>1920</v>
      </c>
      <c r="G552" t="s">
        <v>875</v>
      </c>
      <c r="H552" t="s">
        <v>1921</v>
      </c>
      <c r="I552">
        <v>40</v>
      </c>
      <c r="J552">
        <v>80</v>
      </c>
      <c r="K552" t="s">
        <v>1540</v>
      </c>
      <c r="L552">
        <v>2019</v>
      </c>
      <c r="M552">
        <v>11</v>
      </c>
      <c r="N552">
        <v>2</v>
      </c>
      <c r="O552">
        <v>18</v>
      </c>
    </row>
    <row r="553" spans="1:15" x14ac:dyDescent="0.25">
      <c r="A553">
        <v>552</v>
      </c>
      <c r="B553">
        <v>556</v>
      </c>
      <c r="C553" t="s">
        <v>1922</v>
      </c>
      <c r="D553" t="s">
        <v>661</v>
      </c>
      <c r="E553" s="1">
        <v>43291.885416666664</v>
      </c>
      <c r="F553" t="s">
        <v>1923</v>
      </c>
      <c r="G553" t="s">
        <v>27</v>
      </c>
      <c r="H553" t="s">
        <v>1924</v>
      </c>
      <c r="I553">
        <v>35</v>
      </c>
      <c r="J553">
        <v>70</v>
      </c>
      <c r="K553" t="s">
        <v>99</v>
      </c>
      <c r="L553">
        <v>2018</v>
      </c>
      <c r="M553">
        <v>7</v>
      </c>
      <c r="N553">
        <v>10</v>
      </c>
      <c r="O553">
        <v>21</v>
      </c>
    </row>
    <row r="554" spans="1:15" x14ac:dyDescent="0.25">
      <c r="A554">
        <v>553</v>
      </c>
      <c r="B554">
        <v>557</v>
      </c>
      <c r="C554" t="s">
        <v>1925</v>
      </c>
      <c r="D554" t="s">
        <v>1695</v>
      </c>
      <c r="E554" s="1">
        <v>44092.8125</v>
      </c>
      <c r="F554" t="s">
        <v>1926</v>
      </c>
      <c r="G554" t="s">
        <v>32</v>
      </c>
      <c r="H554" t="s">
        <v>1927</v>
      </c>
      <c r="I554">
        <v>30</v>
      </c>
      <c r="J554">
        <v>60</v>
      </c>
      <c r="K554" t="s">
        <v>110</v>
      </c>
      <c r="L554">
        <v>2020</v>
      </c>
      <c r="M554">
        <v>9</v>
      </c>
      <c r="N554">
        <v>18</v>
      </c>
      <c r="O554">
        <v>19</v>
      </c>
    </row>
    <row r="555" spans="1:15" x14ac:dyDescent="0.25">
      <c r="A555">
        <v>554</v>
      </c>
      <c r="B555">
        <v>558</v>
      </c>
      <c r="C555" t="s">
        <v>1928</v>
      </c>
      <c r="D555" t="s">
        <v>1929</v>
      </c>
      <c r="E555" s="1">
        <v>42870.916666666664</v>
      </c>
      <c r="F555" t="s">
        <v>1930</v>
      </c>
      <c r="G555" t="s">
        <v>875</v>
      </c>
      <c r="H555" t="s">
        <v>1931</v>
      </c>
      <c r="I555">
        <v>22</v>
      </c>
      <c r="J555">
        <v>45</v>
      </c>
      <c r="K555" t="s">
        <v>1545</v>
      </c>
      <c r="L555">
        <v>2017</v>
      </c>
      <c r="M555">
        <v>5</v>
      </c>
      <c r="N555">
        <v>15</v>
      </c>
      <c r="O555">
        <v>22</v>
      </c>
    </row>
    <row r="556" spans="1:15" x14ac:dyDescent="0.25">
      <c r="A556">
        <v>555</v>
      </c>
      <c r="B556">
        <v>559</v>
      </c>
      <c r="C556" t="s">
        <v>1932</v>
      </c>
      <c r="D556" t="s">
        <v>1933</v>
      </c>
      <c r="E556" s="1">
        <v>44291.84375</v>
      </c>
      <c r="F556" t="s">
        <v>1934</v>
      </c>
      <c r="G556" t="s">
        <v>27</v>
      </c>
      <c r="H556" t="s">
        <v>1935</v>
      </c>
      <c r="I556">
        <v>28</v>
      </c>
      <c r="J556">
        <v>55</v>
      </c>
      <c r="K556" t="s">
        <v>1558</v>
      </c>
      <c r="L556">
        <v>2021</v>
      </c>
      <c r="M556">
        <v>4</v>
      </c>
      <c r="N556">
        <v>5</v>
      </c>
      <c r="O556">
        <v>20</v>
      </c>
    </row>
    <row r="557" spans="1:15" x14ac:dyDescent="0.25">
      <c r="A557">
        <v>556</v>
      </c>
      <c r="B557">
        <v>560</v>
      </c>
      <c r="C557" t="s">
        <v>1936</v>
      </c>
      <c r="D557" t="s">
        <v>1937</v>
      </c>
      <c r="E557" s="1">
        <v>42602.770833333336</v>
      </c>
      <c r="F557" t="s">
        <v>1938</v>
      </c>
      <c r="G557" t="s">
        <v>32</v>
      </c>
      <c r="H557" t="s">
        <v>1939</v>
      </c>
      <c r="I557">
        <v>18</v>
      </c>
      <c r="J557">
        <v>35</v>
      </c>
      <c r="K557" t="s">
        <v>99</v>
      </c>
      <c r="L557">
        <v>2016</v>
      </c>
      <c r="M557">
        <v>8</v>
      </c>
      <c r="N557">
        <v>20</v>
      </c>
      <c r="O557">
        <v>18</v>
      </c>
    </row>
    <row r="558" spans="1:15" x14ac:dyDescent="0.25">
      <c r="A558">
        <v>557</v>
      </c>
      <c r="B558">
        <v>561</v>
      </c>
      <c r="C558" t="s">
        <v>1940</v>
      </c>
      <c r="D558" t="s">
        <v>1941</v>
      </c>
      <c r="E558" s="1">
        <v>43508.822916666664</v>
      </c>
      <c r="F558" t="s">
        <v>1942</v>
      </c>
      <c r="G558" t="s">
        <v>875</v>
      </c>
      <c r="H558" t="s">
        <v>1943</v>
      </c>
      <c r="I558">
        <v>22</v>
      </c>
      <c r="J558">
        <v>45</v>
      </c>
      <c r="K558" t="s">
        <v>124</v>
      </c>
      <c r="L558">
        <v>2019</v>
      </c>
      <c r="M558">
        <v>2</v>
      </c>
      <c r="N558">
        <v>12</v>
      </c>
      <c r="O558">
        <v>19</v>
      </c>
    </row>
    <row r="559" spans="1:15" x14ac:dyDescent="0.25">
      <c r="A559">
        <v>558</v>
      </c>
      <c r="B559">
        <v>562</v>
      </c>
      <c r="C559" t="s">
        <v>1944</v>
      </c>
      <c r="D559" t="s">
        <v>1945</v>
      </c>
      <c r="E559" s="1">
        <v>42183.833333333336</v>
      </c>
      <c r="F559" t="s">
        <v>1946</v>
      </c>
      <c r="G559" t="s">
        <v>27</v>
      </c>
      <c r="H559" t="s">
        <v>1947</v>
      </c>
      <c r="I559">
        <v>28</v>
      </c>
      <c r="J559">
        <v>55</v>
      </c>
      <c r="K559" t="s">
        <v>39</v>
      </c>
      <c r="L559">
        <v>2015</v>
      </c>
      <c r="M559">
        <v>6</v>
      </c>
      <c r="N559">
        <v>28</v>
      </c>
      <c r="O559">
        <v>20</v>
      </c>
    </row>
    <row r="560" spans="1:15" x14ac:dyDescent="0.25">
      <c r="A560">
        <v>559</v>
      </c>
      <c r="B560">
        <v>563</v>
      </c>
      <c r="C560" t="s">
        <v>1948</v>
      </c>
      <c r="D560" t="s">
        <v>1949</v>
      </c>
      <c r="E560" s="1">
        <v>44569.895833333336</v>
      </c>
      <c r="F560" t="s">
        <v>1950</v>
      </c>
      <c r="G560" t="s">
        <v>32</v>
      </c>
      <c r="H560" t="s">
        <v>1951</v>
      </c>
      <c r="I560">
        <v>35</v>
      </c>
      <c r="J560">
        <v>70</v>
      </c>
      <c r="K560" t="s">
        <v>1536</v>
      </c>
      <c r="L560">
        <v>2022</v>
      </c>
      <c r="M560">
        <v>1</v>
      </c>
      <c r="N560">
        <v>8</v>
      </c>
      <c r="O560">
        <v>21</v>
      </c>
    </row>
    <row r="561" spans="1:15" x14ac:dyDescent="0.25">
      <c r="A561">
        <v>560</v>
      </c>
      <c r="B561">
        <v>564</v>
      </c>
      <c r="C561" t="s">
        <v>1952</v>
      </c>
      <c r="D561" t="s">
        <v>981</v>
      </c>
      <c r="E561" s="1">
        <v>43449.84375</v>
      </c>
      <c r="F561" t="s">
        <v>1953</v>
      </c>
      <c r="G561" t="s">
        <v>875</v>
      </c>
      <c r="H561" t="s">
        <v>1954</v>
      </c>
      <c r="I561">
        <v>22</v>
      </c>
      <c r="J561">
        <v>45</v>
      </c>
      <c r="K561" t="s">
        <v>1565</v>
      </c>
      <c r="L561">
        <v>2018</v>
      </c>
      <c r="M561">
        <v>12</v>
      </c>
      <c r="N561">
        <v>15</v>
      </c>
      <c r="O561">
        <v>20</v>
      </c>
    </row>
    <row r="562" spans="1:15" x14ac:dyDescent="0.25">
      <c r="A562">
        <v>561</v>
      </c>
      <c r="B562">
        <v>565</v>
      </c>
      <c r="C562" t="s">
        <v>1955</v>
      </c>
      <c r="D562" t="s">
        <v>1765</v>
      </c>
      <c r="E562" s="1">
        <v>44387.791666666664</v>
      </c>
      <c r="F562" t="s">
        <v>1956</v>
      </c>
      <c r="G562" t="s">
        <v>27</v>
      </c>
      <c r="H562" t="s">
        <v>1957</v>
      </c>
      <c r="I562">
        <v>40</v>
      </c>
      <c r="J562">
        <v>80</v>
      </c>
      <c r="K562" t="s">
        <v>124</v>
      </c>
      <c r="L562">
        <v>2021</v>
      </c>
      <c r="M562">
        <v>7</v>
      </c>
      <c r="N562">
        <v>10</v>
      </c>
      <c r="O562">
        <v>19</v>
      </c>
    </row>
    <row r="563" spans="1:15" x14ac:dyDescent="0.25">
      <c r="A563">
        <v>562</v>
      </c>
      <c r="B563">
        <v>566</v>
      </c>
      <c r="C563" t="s">
        <v>1958</v>
      </c>
      <c r="D563" t="s">
        <v>1323</v>
      </c>
      <c r="E563" s="1">
        <v>43736.854166666664</v>
      </c>
      <c r="F563" t="s">
        <v>1959</v>
      </c>
      <c r="G563" t="s">
        <v>875</v>
      </c>
      <c r="H563" t="s">
        <v>1960</v>
      </c>
      <c r="I563">
        <v>35</v>
      </c>
      <c r="J563">
        <v>70</v>
      </c>
      <c r="K563" t="s">
        <v>99</v>
      </c>
      <c r="L563">
        <v>2019</v>
      </c>
      <c r="M563">
        <v>9</v>
      </c>
      <c r="N563">
        <v>28</v>
      </c>
      <c r="O563">
        <v>20</v>
      </c>
    </row>
    <row r="564" spans="1:15" x14ac:dyDescent="0.25">
      <c r="A564">
        <v>563</v>
      </c>
      <c r="B564">
        <v>567</v>
      </c>
      <c r="C564" t="s">
        <v>1961</v>
      </c>
      <c r="D564" t="s">
        <v>1962</v>
      </c>
      <c r="E564" s="1">
        <v>44635.78125</v>
      </c>
      <c r="F564" t="s">
        <v>1963</v>
      </c>
      <c r="G564" t="s">
        <v>32</v>
      </c>
      <c r="H564" t="s">
        <v>1964</v>
      </c>
      <c r="I564">
        <v>30</v>
      </c>
      <c r="J564">
        <v>60</v>
      </c>
      <c r="K564" t="s">
        <v>1545</v>
      </c>
      <c r="L564">
        <v>2022</v>
      </c>
      <c r="M564">
        <v>3</v>
      </c>
      <c r="N564">
        <v>15</v>
      </c>
      <c r="O564">
        <v>18</v>
      </c>
    </row>
    <row r="565" spans="1:15" x14ac:dyDescent="0.25">
      <c r="A565">
        <v>564</v>
      </c>
      <c r="B565">
        <v>568</v>
      </c>
      <c r="C565" t="s">
        <v>1965</v>
      </c>
      <c r="D565" t="s">
        <v>1813</v>
      </c>
      <c r="E565" s="1">
        <v>43044.885416666664</v>
      </c>
      <c r="F565" t="s">
        <v>1966</v>
      </c>
      <c r="G565" t="s">
        <v>27</v>
      </c>
      <c r="H565" t="s">
        <v>1967</v>
      </c>
      <c r="I565">
        <v>22</v>
      </c>
      <c r="J565">
        <v>45</v>
      </c>
      <c r="K565" t="s">
        <v>1540</v>
      </c>
      <c r="L565">
        <v>2017</v>
      </c>
      <c r="M565">
        <v>11</v>
      </c>
      <c r="N565">
        <v>5</v>
      </c>
      <c r="O565">
        <v>21</v>
      </c>
    </row>
    <row r="566" spans="1:15" x14ac:dyDescent="0.25">
      <c r="A566">
        <v>565</v>
      </c>
      <c r="B566">
        <v>569</v>
      </c>
      <c r="C566" t="s">
        <v>1968</v>
      </c>
      <c r="D566" t="s">
        <v>1969</v>
      </c>
      <c r="E566" s="1">
        <v>43971.6875</v>
      </c>
      <c r="F566" t="s">
        <v>1970</v>
      </c>
      <c r="G566" t="s">
        <v>875</v>
      </c>
      <c r="H566" t="s">
        <v>1971</v>
      </c>
      <c r="I566">
        <v>28</v>
      </c>
      <c r="J566">
        <v>55</v>
      </c>
      <c r="K566" t="s">
        <v>1536</v>
      </c>
      <c r="L566">
        <v>2020</v>
      </c>
      <c r="M566">
        <v>5</v>
      </c>
      <c r="N566">
        <v>20</v>
      </c>
      <c r="O566">
        <v>16</v>
      </c>
    </row>
    <row r="567" spans="1:15" x14ac:dyDescent="0.25">
      <c r="A567">
        <v>566</v>
      </c>
      <c r="B567">
        <v>570</v>
      </c>
      <c r="C567" t="s">
        <v>1972</v>
      </c>
      <c r="D567" t="s">
        <v>1973</v>
      </c>
      <c r="E567" s="1">
        <v>42604.822916666664</v>
      </c>
      <c r="F567" t="s">
        <v>1974</v>
      </c>
      <c r="G567" t="s">
        <v>32</v>
      </c>
      <c r="H567" t="s">
        <v>1975</v>
      </c>
      <c r="I567">
        <v>18</v>
      </c>
      <c r="J567">
        <v>35</v>
      </c>
      <c r="K567" t="s">
        <v>110</v>
      </c>
      <c r="L567">
        <v>2016</v>
      </c>
      <c r="M567">
        <v>8</v>
      </c>
      <c r="N567">
        <v>22</v>
      </c>
      <c r="O567">
        <v>19</v>
      </c>
    </row>
    <row r="568" spans="1:15" x14ac:dyDescent="0.25">
      <c r="A568">
        <v>567</v>
      </c>
      <c r="B568">
        <v>571</v>
      </c>
      <c r="C568" t="s">
        <v>1976</v>
      </c>
      <c r="D568" t="s">
        <v>1977</v>
      </c>
      <c r="E568" s="1">
        <v>45026.71875</v>
      </c>
      <c r="F568" t="s">
        <v>1978</v>
      </c>
      <c r="G568" t="s">
        <v>27</v>
      </c>
      <c r="H568" t="s">
        <v>1979</v>
      </c>
      <c r="I568">
        <v>22</v>
      </c>
      <c r="J568">
        <v>45</v>
      </c>
      <c r="K568" t="s">
        <v>165</v>
      </c>
      <c r="L568">
        <v>2023</v>
      </c>
      <c r="M568">
        <v>4</v>
      </c>
      <c r="N568">
        <v>10</v>
      </c>
      <c r="O568">
        <v>17</v>
      </c>
    </row>
    <row r="569" spans="1:15" x14ac:dyDescent="0.25">
      <c r="A569">
        <v>568</v>
      </c>
      <c r="B569">
        <v>572</v>
      </c>
      <c r="C569" t="s">
        <v>1980</v>
      </c>
      <c r="D569" t="s">
        <v>1981</v>
      </c>
      <c r="E569" s="1">
        <v>42356.75</v>
      </c>
      <c r="F569" t="s">
        <v>1982</v>
      </c>
      <c r="G569" t="s">
        <v>875</v>
      </c>
      <c r="H569" t="s">
        <v>1983</v>
      </c>
      <c r="I569">
        <v>28</v>
      </c>
      <c r="J569">
        <v>55</v>
      </c>
      <c r="K569" t="s">
        <v>1553</v>
      </c>
      <c r="L569">
        <v>2015</v>
      </c>
      <c r="M569">
        <v>12</v>
      </c>
      <c r="N569">
        <v>18</v>
      </c>
      <c r="O569">
        <v>18</v>
      </c>
    </row>
    <row r="570" spans="1:15" x14ac:dyDescent="0.25">
      <c r="A570">
        <v>569</v>
      </c>
      <c r="B570">
        <v>573</v>
      </c>
      <c r="C570" t="s">
        <v>1984</v>
      </c>
      <c r="D570" t="s">
        <v>1985</v>
      </c>
      <c r="E570" s="1">
        <v>44477.854166666664</v>
      </c>
      <c r="F570" t="s">
        <v>1986</v>
      </c>
      <c r="G570" t="s">
        <v>32</v>
      </c>
      <c r="H570" t="s">
        <v>1987</v>
      </c>
      <c r="I570">
        <v>35</v>
      </c>
      <c r="J570">
        <v>70</v>
      </c>
      <c r="K570" t="s">
        <v>1558</v>
      </c>
      <c r="L570">
        <v>2021</v>
      </c>
      <c r="M570">
        <v>10</v>
      </c>
      <c r="N570">
        <v>8</v>
      </c>
      <c r="O570">
        <v>20</v>
      </c>
    </row>
    <row r="571" spans="1:15" x14ac:dyDescent="0.25">
      <c r="A571">
        <v>570</v>
      </c>
      <c r="B571">
        <v>574</v>
      </c>
      <c r="C571" t="s">
        <v>1988</v>
      </c>
      <c r="D571" t="s">
        <v>1989</v>
      </c>
      <c r="E571" s="1">
        <v>43546.90625</v>
      </c>
      <c r="F571" t="s">
        <v>1990</v>
      </c>
      <c r="G571" t="s">
        <v>27</v>
      </c>
      <c r="H571" t="s">
        <v>1991</v>
      </c>
      <c r="I571">
        <v>22</v>
      </c>
      <c r="J571">
        <v>45</v>
      </c>
      <c r="K571" t="s">
        <v>39</v>
      </c>
      <c r="L571">
        <v>2019</v>
      </c>
      <c r="M571">
        <v>3</v>
      </c>
      <c r="N571">
        <v>22</v>
      </c>
      <c r="O571">
        <v>21</v>
      </c>
    </row>
    <row r="572" spans="1:15" x14ac:dyDescent="0.25">
      <c r="A572">
        <v>571</v>
      </c>
      <c r="B572">
        <v>575</v>
      </c>
      <c r="C572" t="s">
        <v>1992</v>
      </c>
      <c r="D572" t="s">
        <v>1993</v>
      </c>
      <c r="E572" s="1">
        <v>43266.916666666664</v>
      </c>
      <c r="F572" t="s">
        <v>1994</v>
      </c>
      <c r="G572" t="s">
        <v>875</v>
      </c>
      <c r="H572" t="s">
        <v>1995</v>
      </c>
      <c r="I572">
        <v>40</v>
      </c>
      <c r="J572">
        <v>80</v>
      </c>
      <c r="K572" t="s">
        <v>99</v>
      </c>
      <c r="L572">
        <v>2018</v>
      </c>
      <c r="M572">
        <v>6</v>
      </c>
      <c r="N572">
        <v>15</v>
      </c>
      <c r="O572">
        <v>22</v>
      </c>
    </row>
    <row r="573" spans="1:15" x14ac:dyDescent="0.25">
      <c r="A573">
        <v>572</v>
      </c>
      <c r="B573">
        <v>576</v>
      </c>
      <c r="C573" t="s">
        <v>1996</v>
      </c>
      <c r="D573" t="s">
        <v>1997</v>
      </c>
      <c r="E573" s="1">
        <v>43705.8125</v>
      </c>
      <c r="F573" t="s">
        <v>1998</v>
      </c>
      <c r="G573" t="s">
        <v>27</v>
      </c>
      <c r="H573" t="s">
        <v>1999</v>
      </c>
      <c r="I573">
        <v>35</v>
      </c>
      <c r="J573">
        <v>70</v>
      </c>
      <c r="K573" t="s">
        <v>2000</v>
      </c>
      <c r="L573">
        <v>2019</v>
      </c>
      <c r="M573">
        <v>8</v>
      </c>
      <c r="N573">
        <v>28</v>
      </c>
      <c r="O573">
        <v>19</v>
      </c>
    </row>
    <row r="574" spans="1:15" x14ac:dyDescent="0.25">
      <c r="A574">
        <v>573</v>
      </c>
      <c r="B574">
        <v>577</v>
      </c>
      <c r="C574" t="s">
        <v>2001</v>
      </c>
      <c r="D574" t="s">
        <v>2002</v>
      </c>
      <c r="E574" s="1">
        <v>44896.739583333336</v>
      </c>
      <c r="F574" t="s">
        <v>2003</v>
      </c>
      <c r="G574" t="s">
        <v>32</v>
      </c>
      <c r="H574" t="s">
        <v>2004</v>
      </c>
      <c r="I574">
        <v>30</v>
      </c>
      <c r="J574">
        <v>60</v>
      </c>
      <c r="K574" t="s">
        <v>124</v>
      </c>
      <c r="L574">
        <v>2022</v>
      </c>
      <c r="M574">
        <v>12</v>
      </c>
      <c r="N574">
        <v>1</v>
      </c>
      <c r="O574">
        <v>17</v>
      </c>
    </row>
    <row r="575" spans="1:15" x14ac:dyDescent="0.25">
      <c r="A575">
        <v>574</v>
      </c>
      <c r="B575">
        <v>578</v>
      </c>
      <c r="C575" t="s">
        <v>2005</v>
      </c>
      <c r="D575" t="s">
        <v>2006</v>
      </c>
      <c r="E575" s="1">
        <v>42835.885416666664</v>
      </c>
      <c r="F575" t="s">
        <v>2007</v>
      </c>
      <c r="G575" t="s">
        <v>875</v>
      </c>
      <c r="H575" t="s">
        <v>2008</v>
      </c>
      <c r="I575">
        <v>22</v>
      </c>
      <c r="J575">
        <v>45</v>
      </c>
      <c r="K575" t="s">
        <v>110</v>
      </c>
      <c r="L575">
        <v>2017</v>
      </c>
      <c r="M575">
        <v>4</v>
      </c>
      <c r="N575">
        <v>10</v>
      </c>
      <c r="O575">
        <v>21</v>
      </c>
    </row>
    <row r="576" spans="1:15" x14ac:dyDescent="0.25">
      <c r="A576">
        <v>575</v>
      </c>
      <c r="B576">
        <v>579</v>
      </c>
      <c r="C576" t="s">
        <v>2009</v>
      </c>
      <c r="D576" t="s">
        <v>2010</v>
      </c>
      <c r="E576" s="1">
        <v>43966.770833333336</v>
      </c>
      <c r="F576" t="s">
        <v>2011</v>
      </c>
      <c r="G576" t="s">
        <v>27</v>
      </c>
      <c r="H576" t="s">
        <v>2012</v>
      </c>
      <c r="I576">
        <v>28</v>
      </c>
      <c r="J576">
        <v>55</v>
      </c>
      <c r="K576" t="s">
        <v>39</v>
      </c>
      <c r="L576">
        <v>2020</v>
      </c>
      <c r="M576">
        <v>5</v>
      </c>
      <c r="N576">
        <v>15</v>
      </c>
      <c r="O576">
        <v>18</v>
      </c>
    </row>
    <row r="577" spans="1:15" x14ac:dyDescent="0.25">
      <c r="A577">
        <v>576</v>
      </c>
      <c r="B577">
        <v>580</v>
      </c>
      <c r="C577" t="s">
        <v>2013</v>
      </c>
      <c r="D577" t="s">
        <v>2014</v>
      </c>
      <c r="E577" s="1">
        <v>42635.833333333336</v>
      </c>
      <c r="F577" t="s">
        <v>2015</v>
      </c>
      <c r="G577" t="s">
        <v>32</v>
      </c>
      <c r="H577" t="s">
        <v>2016</v>
      </c>
      <c r="I577">
        <v>18</v>
      </c>
      <c r="J577">
        <v>35</v>
      </c>
      <c r="K577" t="s">
        <v>99</v>
      </c>
      <c r="L577">
        <v>2016</v>
      </c>
      <c r="M577">
        <v>9</v>
      </c>
      <c r="N577">
        <v>22</v>
      </c>
      <c r="O577">
        <v>20</v>
      </c>
    </row>
    <row r="578" spans="1:15" x14ac:dyDescent="0.25">
      <c r="A578">
        <v>577</v>
      </c>
      <c r="B578">
        <v>581</v>
      </c>
      <c r="C578" t="s">
        <v>2017</v>
      </c>
      <c r="D578" t="s">
        <v>2018</v>
      </c>
      <c r="E578" s="1">
        <v>44969.822916666664</v>
      </c>
      <c r="F578" t="s">
        <v>2019</v>
      </c>
      <c r="G578" t="s">
        <v>875</v>
      </c>
      <c r="H578" t="s">
        <v>2020</v>
      </c>
      <c r="I578">
        <v>22</v>
      </c>
      <c r="J578">
        <v>45</v>
      </c>
      <c r="K578" t="s">
        <v>1545</v>
      </c>
      <c r="L578">
        <v>2023</v>
      </c>
      <c r="M578">
        <v>2</v>
      </c>
      <c r="N578">
        <v>12</v>
      </c>
      <c r="O578">
        <v>19</v>
      </c>
    </row>
    <row r="579" spans="1:15" x14ac:dyDescent="0.25">
      <c r="A579">
        <v>578</v>
      </c>
      <c r="B579">
        <v>582</v>
      </c>
      <c r="C579" t="s">
        <v>2021</v>
      </c>
      <c r="D579" t="s">
        <v>2022</v>
      </c>
      <c r="E579" s="1">
        <v>42318.875</v>
      </c>
      <c r="F579" t="s">
        <v>2023</v>
      </c>
      <c r="G579" t="s">
        <v>27</v>
      </c>
      <c r="H579" t="s">
        <v>2024</v>
      </c>
      <c r="I579">
        <v>28</v>
      </c>
      <c r="J579">
        <v>55</v>
      </c>
      <c r="K579" t="s">
        <v>1553</v>
      </c>
      <c r="L579">
        <v>2015</v>
      </c>
      <c r="M579">
        <v>11</v>
      </c>
      <c r="N579">
        <v>10</v>
      </c>
      <c r="O579">
        <v>21</v>
      </c>
    </row>
    <row r="580" spans="1:15" x14ac:dyDescent="0.25">
      <c r="A580">
        <v>579</v>
      </c>
      <c r="B580">
        <v>583</v>
      </c>
      <c r="C580" t="s">
        <v>2025</v>
      </c>
      <c r="D580" t="s">
        <v>2026</v>
      </c>
      <c r="E580" s="1">
        <v>44397.760416666664</v>
      </c>
      <c r="F580" t="s">
        <v>2027</v>
      </c>
      <c r="G580" t="s">
        <v>32</v>
      </c>
      <c r="H580" t="s">
        <v>2028</v>
      </c>
      <c r="I580">
        <v>22</v>
      </c>
      <c r="J580">
        <v>45</v>
      </c>
      <c r="K580" t="s">
        <v>1540</v>
      </c>
      <c r="L580">
        <v>2021</v>
      </c>
      <c r="M580">
        <v>7</v>
      </c>
      <c r="N580">
        <v>20</v>
      </c>
      <c r="O580">
        <v>18</v>
      </c>
    </row>
    <row r="581" spans="1:15" x14ac:dyDescent="0.25">
      <c r="A581">
        <v>580</v>
      </c>
      <c r="B581">
        <v>584</v>
      </c>
      <c r="C581" t="s">
        <v>2029</v>
      </c>
      <c r="D581" t="s">
        <v>2030</v>
      </c>
      <c r="E581" s="1">
        <v>43573.854166666664</v>
      </c>
      <c r="F581" t="s">
        <v>2031</v>
      </c>
      <c r="G581" t="s">
        <v>875</v>
      </c>
      <c r="H581" t="s">
        <v>2032</v>
      </c>
      <c r="I581">
        <v>35</v>
      </c>
      <c r="J581">
        <v>70</v>
      </c>
      <c r="K581" t="s">
        <v>1720</v>
      </c>
      <c r="L581">
        <v>2019</v>
      </c>
      <c r="M581">
        <v>4</v>
      </c>
      <c r="N581">
        <v>18</v>
      </c>
      <c r="O581">
        <v>20</v>
      </c>
    </row>
    <row r="582" spans="1:15" x14ac:dyDescent="0.25">
      <c r="A582">
        <v>581</v>
      </c>
      <c r="B582">
        <v>585</v>
      </c>
      <c r="C582" t="s">
        <v>2033</v>
      </c>
      <c r="D582" t="s">
        <v>389</v>
      </c>
      <c r="E582" s="1">
        <v>45066.822916666664</v>
      </c>
      <c r="F582" t="s">
        <v>2034</v>
      </c>
      <c r="G582" t="s">
        <v>875</v>
      </c>
      <c r="H582" t="s">
        <v>2035</v>
      </c>
      <c r="I582">
        <v>15</v>
      </c>
      <c r="J582">
        <v>30</v>
      </c>
      <c r="K582" t="s">
        <v>2036</v>
      </c>
      <c r="L582">
        <v>2023</v>
      </c>
      <c r="M582">
        <v>5</v>
      </c>
      <c r="N582">
        <v>20</v>
      </c>
      <c r="O582">
        <v>19</v>
      </c>
    </row>
    <row r="583" spans="1:15" x14ac:dyDescent="0.25">
      <c r="A583">
        <v>582</v>
      </c>
      <c r="B583">
        <v>586</v>
      </c>
      <c r="C583" t="s">
        <v>2037</v>
      </c>
      <c r="D583" t="s">
        <v>2038</v>
      </c>
      <c r="E583" s="1">
        <v>45067.875</v>
      </c>
      <c r="F583" t="s">
        <v>2039</v>
      </c>
      <c r="G583" t="s">
        <v>27</v>
      </c>
      <c r="H583" t="s">
        <v>2040</v>
      </c>
      <c r="I583">
        <v>18</v>
      </c>
      <c r="J583">
        <v>35</v>
      </c>
      <c r="K583" t="s">
        <v>2041</v>
      </c>
      <c r="L583">
        <v>2023</v>
      </c>
      <c r="M583">
        <v>5</v>
      </c>
      <c r="N583">
        <v>21</v>
      </c>
      <c r="O583">
        <v>21</v>
      </c>
    </row>
    <row r="584" spans="1:15" x14ac:dyDescent="0.25">
      <c r="A584">
        <v>583</v>
      </c>
      <c r="B584">
        <v>587</v>
      </c>
      <c r="C584" t="s">
        <v>2042</v>
      </c>
      <c r="D584" t="s">
        <v>1625</v>
      </c>
      <c r="E584" s="1">
        <v>45068.604166666664</v>
      </c>
      <c r="F584" t="s">
        <v>2043</v>
      </c>
      <c r="G584" t="s">
        <v>32</v>
      </c>
      <c r="H584" t="s">
        <v>2044</v>
      </c>
      <c r="I584">
        <v>22</v>
      </c>
      <c r="J584">
        <v>45</v>
      </c>
      <c r="K584" t="s">
        <v>2045</v>
      </c>
      <c r="L584">
        <v>2023</v>
      </c>
      <c r="M584">
        <v>5</v>
      </c>
      <c r="N584">
        <v>22</v>
      </c>
      <c r="O584">
        <v>14</v>
      </c>
    </row>
    <row r="585" spans="1:15" x14ac:dyDescent="0.25">
      <c r="A585">
        <v>584</v>
      </c>
      <c r="B585">
        <v>588</v>
      </c>
      <c r="C585" t="s">
        <v>2046</v>
      </c>
      <c r="D585" t="s">
        <v>661</v>
      </c>
      <c r="E585" s="1">
        <v>45069.697916666664</v>
      </c>
      <c r="F585" t="s">
        <v>2047</v>
      </c>
      <c r="G585" t="s">
        <v>875</v>
      </c>
      <c r="H585" t="s">
        <v>2048</v>
      </c>
      <c r="I585">
        <v>20</v>
      </c>
      <c r="J585">
        <v>40</v>
      </c>
      <c r="K585" t="s">
        <v>2036</v>
      </c>
      <c r="L585">
        <v>2023</v>
      </c>
      <c r="M585">
        <v>5</v>
      </c>
      <c r="N585">
        <v>23</v>
      </c>
      <c r="O585">
        <v>16</v>
      </c>
    </row>
    <row r="586" spans="1:15" x14ac:dyDescent="0.25">
      <c r="A586">
        <v>585</v>
      </c>
      <c r="B586">
        <v>589</v>
      </c>
      <c r="C586" t="s">
        <v>2049</v>
      </c>
      <c r="D586" t="s">
        <v>1671</v>
      </c>
      <c r="E586" s="1">
        <v>45070.552083333336</v>
      </c>
      <c r="F586" t="s">
        <v>2050</v>
      </c>
      <c r="G586" t="s">
        <v>27</v>
      </c>
      <c r="H586" t="s">
        <v>2051</v>
      </c>
      <c r="I586">
        <v>25</v>
      </c>
      <c r="J586">
        <v>50</v>
      </c>
      <c r="K586" t="s">
        <v>2041</v>
      </c>
      <c r="L586">
        <v>2023</v>
      </c>
      <c r="M586">
        <v>5</v>
      </c>
      <c r="N586">
        <v>24</v>
      </c>
      <c r="O586">
        <v>13</v>
      </c>
    </row>
    <row r="587" spans="1:15" x14ac:dyDescent="0.25">
      <c r="A587">
        <v>586</v>
      </c>
      <c r="B587">
        <v>590</v>
      </c>
      <c r="C587" t="s">
        <v>2052</v>
      </c>
      <c r="D587" t="s">
        <v>2053</v>
      </c>
      <c r="E587" s="1">
        <v>45071.791666666664</v>
      </c>
      <c r="F587" t="s">
        <v>2054</v>
      </c>
      <c r="G587" t="s">
        <v>32</v>
      </c>
      <c r="H587" t="s">
        <v>2055</v>
      </c>
      <c r="I587">
        <v>20</v>
      </c>
      <c r="J587">
        <v>40</v>
      </c>
      <c r="K587" t="s">
        <v>2036</v>
      </c>
      <c r="L587">
        <v>2023</v>
      </c>
      <c r="M587">
        <v>5</v>
      </c>
      <c r="N587">
        <v>25</v>
      </c>
      <c r="O587">
        <v>19</v>
      </c>
    </row>
    <row r="588" spans="1:15" x14ac:dyDescent="0.25">
      <c r="A588">
        <v>587</v>
      </c>
      <c r="B588">
        <v>591</v>
      </c>
      <c r="C588" t="s">
        <v>2056</v>
      </c>
      <c r="D588" t="s">
        <v>1881</v>
      </c>
      <c r="E588" s="1">
        <v>45072.597222222219</v>
      </c>
      <c r="F588" t="s">
        <v>2057</v>
      </c>
      <c r="G588" t="s">
        <v>875</v>
      </c>
      <c r="H588" t="s">
        <v>2058</v>
      </c>
      <c r="I588">
        <v>28</v>
      </c>
      <c r="J588">
        <v>55</v>
      </c>
      <c r="K588" t="s">
        <v>2045</v>
      </c>
      <c r="L588">
        <v>2023</v>
      </c>
      <c r="M588">
        <v>5</v>
      </c>
      <c r="N588">
        <v>26</v>
      </c>
      <c r="O588">
        <v>14</v>
      </c>
    </row>
    <row r="589" spans="1:15" x14ac:dyDescent="0.25">
      <c r="A589">
        <v>588</v>
      </c>
      <c r="B589">
        <v>592</v>
      </c>
      <c r="C589" t="s">
        <v>2059</v>
      </c>
      <c r="D589" t="s">
        <v>2060</v>
      </c>
      <c r="E589" s="1">
        <v>45073.885416666664</v>
      </c>
      <c r="F589" t="s">
        <v>2061</v>
      </c>
      <c r="G589" t="s">
        <v>27</v>
      </c>
      <c r="H589" t="s">
        <v>2062</v>
      </c>
      <c r="I589">
        <v>22</v>
      </c>
      <c r="J589">
        <v>45</v>
      </c>
      <c r="K589" t="s">
        <v>2041</v>
      </c>
      <c r="L589">
        <v>2023</v>
      </c>
      <c r="M589">
        <v>5</v>
      </c>
      <c r="N589">
        <v>27</v>
      </c>
      <c r="O589">
        <v>21</v>
      </c>
    </row>
    <row r="590" spans="1:15" x14ac:dyDescent="0.25">
      <c r="A590">
        <v>589</v>
      </c>
      <c r="B590">
        <v>593</v>
      </c>
      <c r="C590" t="s">
        <v>2063</v>
      </c>
      <c r="D590" t="s">
        <v>1671</v>
      </c>
      <c r="E590" s="1">
        <v>45074.5</v>
      </c>
      <c r="F590" t="s">
        <v>2064</v>
      </c>
      <c r="G590" t="s">
        <v>32</v>
      </c>
      <c r="H590" t="s">
        <v>2065</v>
      </c>
      <c r="I590">
        <v>18</v>
      </c>
      <c r="J590">
        <v>35</v>
      </c>
      <c r="K590" t="s">
        <v>2036</v>
      </c>
      <c r="L590">
        <v>2023</v>
      </c>
      <c r="M590">
        <v>5</v>
      </c>
      <c r="N590">
        <v>28</v>
      </c>
      <c r="O590">
        <v>12</v>
      </c>
    </row>
    <row r="591" spans="1:15" x14ac:dyDescent="0.25">
      <c r="A591">
        <v>590</v>
      </c>
      <c r="B591">
        <v>594</v>
      </c>
      <c r="C591" t="s">
        <v>2066</v>
      </c>
      <c r="D591" t="s">
        <v>1625</v>
      </c>
      <c r="E591" s="1">
        <v>45075.979166666664</v>
      </c>
      <c r="F591" t="s">
        <v>2067</v>
      </c>
      <c r="G591" t="s">
        <v>875</v>
      </c>
      <c r="H591" t="s">
        <v>2068</v>
      </c>
      <c r="I591">
        <v>30</v>
      </c>
      <c r="J591">
        <v>60</v>
      </c>
      <c r="K591" t="s">
        <v>2045</v>
      </c>
      <c r="L591">
        <v>2023</v>
      </c>
      <c r="M591">
        <v>5</v>
      </c>
      <c r="N591">
        <v>29</v>
      </c>
      <c r="O591">
        <v>23</v>
      </c>
    </row>
    <row r="592" spans="1:15" x14ac:dyDescent="0.25">
      <c r="A592">
        <v>591</v>
      </c>
      <c r="B592">
        <v>595</v>
      </c>
      <c r="C592" t="s">
        <v>2069</v>
      </c>
      <c r="D592" t="s">
        <v>389</v>
      </c>
      <c r="E592" s="1">
        <v>45076.864583333336</v>
      </c>
      <c r="F592" t="s">
        <v>2070</v>
      </c>
      <c r="G592" t="s">
        <v>27</v>
      </c>
      <c r="H592" t="s">
        <v>2071</v>
      </c>
      <c r="I592">
        <v>22</v>
      </c>
      <c r="J592">
        <v>45</v>
      </c>
      <c r="K592" t="s">
        <v>2036</v>
      </c>
      <c r="L592">
        <v>2023</v>
      </c>
      <c r="M592">
        <v>5</v>
      </c>
      <c r="N592">
        <v>30</v>
      </c>
      <c r="O592">
        <v>20</v>
      </c>
    </row>
    <row r="593" spans="1:15" x14ac:dyDescent="0.25">
      <c r="A593">
        <v>592</v>
      </c>
      <c r="B593">
        <v>596</v>
      </c>
      <c r="C593" t="s">
        <v>2072</v>
      </c>
      <c r="D593" t="s">
        <v>1625</v>
      </c>
      <c r="E593" s="1">
        <v>45077.645833333336</v>
      </c>
      <c r="F593" t="s">
        <v>2073</v>
      </c>
      <c r="G593" t="s">
        <v>32</v>
      </c>
      <c r="H593" t="s">
        <v>2074</v>
      </c>
      <c r="I593">
        <v>35</v>
      </c>
      <c r="J593">
        <v>70</v>
      </c>
      <c r="K593" t="s">
        <v>2041</v>
      </c>
      <c r="L593">
        <v>2023</v>
      </c>
      <c r="M593">
        <v>5</v>
      </c>
      <c r="N593">
        <v>31</v>
      </c>
      <c r="O593">
        <v>15</v>
      </c>
    </row>
    <row r="594" spans="1:15" x14ac:dyDescent="0.25">
      <c r="A594">
        <v>593</v>
      </c>
      <c r="B594">
        <v>597</v>
      </c>
      <c r="C594" t="s">
        <v>2075</v>
      </c>
      <c r="D594" t="s">
        <v>389</v>
      </c>
      <c r="E594" s="1">
        <v>45078.75</v>
      </c>
      <c r="F594" t="s">
        <v>2076</v>
      </c>
      <c r="G594" t="s">
        <v>875</v>
      </c>
      <c r="H594" t="s">
        <v>2077</v>
      </c>
      <c r="I594">
        <v>20</v>
      </c>
      <c r="J594">
        <v>40</v>
      </c>
      <c r="K594" t="s">
        <v>2036</v>
      </c>
      <c r="L594">
        <v>2023</v>
      </c>
      <c r="M594">
        <v>6</v>
      </c>
      <c r="N594">
        <v>1</v>
      </c>
      <c r="O594">
        <v>18</v>
      </c>
    </row>
    <row r="595" spans="1:15" x14ac:dyDescent="0.25">
      <c r="A595">
        <v>594</v>
      </c>
      <c r="B595">
        <v>598</v>
      </c>
      <c r="C595" t="s">
        <v>2078</v>
      </c>
      <c r="D595" t="s">
        <v>661</v>
      </c>
      <c r="E595" s="1">
        <v>45079.604166666664</v>
      </c>
      <c r="F595" t="s">
        <v>2079</v>
      </c>
      <c r="G595" t="s">
        <v>27</v>
      </c>
      <c r="H595" t="s">
        <v>2080</v>
      </c>
      <c r="I595">
        <v>28</v>
      </c>
      <c r="J595">
        <v>55</v>
      </c>
      <c r="K595" t="s">
        <v>2045</v>
      </c>
      <c r="L595">
        <v>2023</v>
      </c>
      <c r="M595">
        <v>6</v>
      </c>
      <c r="N595">
        <v>2</v>
      </c>
      <c r="O595">
        <v>14</v>
      </c>
    </row>
    <row r="596" spans="1:15" x14ac:dyDescent="0.25">
      <c r="A596">
        <v>595</v>
      </c>
      <c r="B596">
        <v>599</v>
      </c>
      <c r="C596" t="s">
        <v>2081</v>
      </c>
      <c r="D596" t="s">
        <v>1625</v>
      </c>
      <c r="E596" s="1">
        <v>45080.885416666664</v>
      </c>
      <c r="F596" t="s">
        <v>2082</v>
      </c>
      <c r="G596" t="s">
        <v>32</v>
      </c>
      <c r="H596" t="s">
        <v>2083</v>
      </c>
      <c r="I596">
        <v>22</v>
      </c>
      <c r="J596">
        <v>45</v>
      </c>
      <c r="K596" t="s">
        <v>2041</v>
      </c>
      <c r="L596">
        <v>2023</v>
      </c>
      <c r="M596">
        <v>6</v>
      </c>
      <c r="N596">
        <v>3</v>
      </c>
      <c r="O596">
        <v>21</v>
      </c>
    </row>
    <row r="597" spans="1:15" x14ac:dyDescent="0.25">
      <c r="A597">
        <v>596</v>
      </c>
      <c r="B597">
        <v>600</v>
      </c>
      <c r="C597" t="s">
        <v>2084</v>
      </c>
      <c r="D597" t="s">
        <v>1824</v>
      </c>
      <c r="E597" s="1">
        <v>45081.8125</v>
      </c>
      <c r="F597" t="s">
        <v>2085</v>
      </c>
      <c r="G597" t="s">
        <v>875</v>
      </c>
      <c r="H597" t="s">
        <v>2086</v>
      </c>
      <c r="I597">
        <v>25</v>
      </c>
      <c r="J597">
        <v>50</v>
      </c>
      <c r="K597" t="s">
        <v>2036</v>
      </c>
      <c r="L597">
        <v>2023</v>
      </c>
      <c r="M597">
        <v>6</v>
      </c>
      <c r="N597">
        <v>4</v>
      </c>
      <c r="O597">
        <v>19</v>
      </c>
    </row>
    <row r="598" spans="1:15" x14ac:dyDescent="0.25">
      <c r="A598">
        <v>597</v>
      </c>
      <c r="B598">
        <v>601</v>
      </c>
      <c r="C598" t="s">
        <v>2087</v>
      </c>
      <c r="D598" t="s">
        <v>389</v>
      </c>
      <c r="E598" s="1">
        <v>45082.416666666664</v>
      </c>
      <c r="F598" t="s">
        <v>2088</v>
      </c>
      <c r="G598" t="s">
        <v>27</v>
      </c>
      <c r="H598" t="s">
        <v>2089</v>
      </c>
      <c r="I598">
        <v>18</v>
      </c>
      <c r="J598">
        <v>35</v>
      </c>
      <c r="K598" t="s">
        <v>2045</v>
      </c>
      <c r="L598">
        <v>2023</v>
      </c>
      <c r="M598">
        <v>6</v>
      </c>
      <c r="N598">
        <v>5</v>
      </c>
      <c r="O598">
        <v>10</v>
      </c>
    </row>
    <row r="599" spans="1:15" x14ac:dyDescent="0.25">
      <c r="A599">
        <v>598</v>
      </c>
      <c r="B599">
        <v>602</v>
      </c>
      <c r="C599" t="s">
        <v>2090</v>
      </c>
      <c r="D599" t="s">
        <v>1625</v>
      </c>
      <c r="E599" s="1">
        <v>45083.9375</v>
      </c>
      <c r="F599" t="s">
        <v>1265</v>
      </c>
      <c r="G599" t="s">
        <v>32</v>
      </c>
      <c r="H599" t="s">
        <v>2091</v>
      </c>
      <c r="I599">
        <v>28</v>
      </c>
      <c r="J599">
        <v>55</v>
      </c>
      <c r="K599" t="s">
        <v>2041</v>
      </c>
      <c r="L599">
        <v>2023</v>
      </c>
      <c r="M599">
        <v>6</v>
      </c>
      <c r="N599">
        <v>6</v>
      </c>
      <c r="O599">
        <v>22</v>
      </c>
    </row>
    <row r="600" spans="1:15" x14ac:dyDescent="0.25">
      <c r="A600">
        <v>599</v>
      </c>
      <c r="B600">
        <v>603</v>
      </c>
      <c r="C600" t="s">
        <v>2092</v>
      </c>
      <c r="D600" t="s">
        <v>1625</v>
      </c>
      <c r="E600" s="1">
        <v>45084.53125</v>
      </c>
      <c r="F600" t="s">
        <v>2093</v>
      </c>
      <c r="G600" t="s">
        <v>875</v>
      </c>
      <c r="H600" t="s">
        <v>2094</v>
      </c>
      <c r="I600">
        <v>22</v>
      </c>
      <c r="J600">
        <v>45</v>
      </c>
      <c r="K600" t="s">
        <v>2036</v>
      </c>
      <c r="L600">
        <v>2023</v>
      </c>
      <c r="M600">
        <v>6</v>
      </c>
      <c r="N600">
        <v>7</v>
      </c>
      <c r="O600">
        <v>12</v>
      </c>
    </row>
    <row r="601" spans="1:15" x14ac:dyDescent="0.25">
      <c r="A601">
        <v>600</v>
      </c>
      <c r="B601">
        <v>604</v>
      </c>
      <c r="C601" t="s">
        <v>2095</v>
      </c>
      <c r="D601" t="s">
        <v>389</v>
      </c>
      <c r="E601" s="1">
        <v>45085.666666666664</v>
      </c>
      <c r="F601" t="s">
        <v>2096</v>
      </c>
      <c r="G601" t="s">
        <v>27</v>
      </c>
      <c r="H601" t="s">
        <v>2097</v>
      </c>
      <c r="I601">
        <v>35</v>
      </c>
      <c r="J601">
        <v>70</v>
      </c>
      <c r="K601" t="s">
        <v>2045</v>
      </c>
      <c r="L601">
        <v>2023</v>
      </c>
      <c r="M601">
        <v>6</v>
      </c>
      <c r="N601">
        <v>8</v>
      </c>
      <c r="O601">
        <v>16</v>
      </c>
    </row>
    <row r="602" spans="1:15" x14ac:dyDescent="0.25">
      <c r="A602">
        <v>601</v>
      </c>
      <c r="B602">
        <v>605</v>
      </c>
      <c r="C602" t="s">
        <v>2098</v>
      </c>
      <c r="D602" t="s">
        <v>925</v>
      </c>
      <c r="E602" s="1">
        <v>45086.583333333336</v>
      </c>
      <c r="F602" t="s">
        <v>2099</v>
      </c>
      <c r="G602" t="s">
        <v>32</v>
      </c>
      <c r="H602" t="s">
        <v>2100</v>
      </c>
      <c r="I602">
        <v>20</v>
      </c>
      <c r="J602">
        <v>40</v>
      </c>
      <c r="K602" t="s">
        <v>2036</v>
      </c>
      <c r="L602">
        <v>2023</v>
      </c>
      <c r="M602">
        <v>6</v>
      </c>
      <c r="N602">
        <v>9</v>
      </c>
      <c r="O602">
        <v>14</v>
      </c>
    </row>
    <row r="603" spans="1:15" x14ac:dyDescent="0.25">
      <c r="A603">
        <v>602</v>
      </c>
      <c r="B603">
        <v>606</v>
      </c>
      <c r="C603" t="s">
        <v>2101</v>
      </c>
      <c r="D603" t="s">
        <v>925</v>
      </c>
      <c r="E603" s="1">
        <v>45087.729166666664</v>
      </c>
      <c r="F603" t="s">
        <v>2102</v>
      </c>
      <c r="G603" t="s">
        <v>875</v>
      </c>
      <c r="H603" t="s">
        <v>2103</v>
      </c>
      <c r="I603">
        <v>30</v>
      </c>
      <c r="J603">
        <v>60</v>
      </c>
      <c r="K603" t="s">
        <v>2041</v>
      </c>
      <c r="L603">
        <v>2023</v>
      </c>
      <c r="M603">
        <v>6</v>
      </c>
      <c r="N603">
        <v>10</v>
      </c>
      <c r="O603">
        <v>17</v>
      </c>
    </row>
    <row r="604" spans="1:15" x14ac:dyDescent="0.25">
      <c r="A604">
        <v>603</v>
      </c>
      <c r="B604">
        <v>607</v>
      </c>
      <c r="C604" t="s">
        <v>2104</v>
      </c>
      <c r="D604" t="s">
        <v>878</v>
      </c>
      <c r="E604" s="1">
        <v>45088.645833333336</v>
      </c>
      <c r="F604" t="s">
        <v>2105</v>
      </c>
      <c r="G604" t="s">
        <v>27</v>
      </c>
      <c r="H604" t="s">
        <v>2106</v>
      </c>
      <c r="I604">
        <v>35</v>
      </c>
      <c r="J604">
        <v>70</v>
      </c>
      <c r="K604" t="s">
        <v>2036</v>
      </c>
      <c r="L604">
        <v>2023</v>
      </c>
      <c r="M604">
        <v>6</v>
      </c>
      <c r="N604">
        <v>11</v>
      </c>
      <c r="O604">
        <v>15</v>
      </c>
    </row>
    <row r="605" spans="1:15" x14ac:dyDescent="0.25">
      <c r="A605">
        <v>604</v>
      </c>
      <c r="B605">
        <v>608</v>
      </c>
      <c r="C605" t="s">
        <v>2107</v>
      </c>
      <c r="D605" t="s">
        <v>1639</v>
      </c>
      <c r="E605" s="1">
        <v>45089.75</v>
      </c>
      <c r="F605" t="s">
        <v>2108</v>
      </c>
      <c r="G605" t="s">
        <v>875</v>
      </c>
      <c r="H605" t="s">
        <v>2109</v>
      </c>
      <c r="I605">
        <v>28</v>
      </c>
      <c r="J605">
        <v>55</v>
      </c>
      <c r="K605" t="s">
        <v>2045</v>
      </c>
      <c r="L605">
        <v>2023</v>
      </c>
      <c r="M605">
        <v>6</v>
      </c>
      <c r="N605">
        <v>12</v>
      </c>
      <c r="O605">
        <v>18</v>
      </c>
    </row>
    <row r="606" spans="1:15" x14ac:dyDescent="0.25">
      <c r="A606">
        <v>605</v>
      </c>
      <c r="B606">
        <v>609</v>
      </c>
      <c r="C606" t="s">
        <v>2110</v>
      </c>
      <c r="D606" t="s">
        <v>925</v>
      </c>
      <c r="E606" s="1">
        <v>45090.614583333336</v>
      </c>
      <c r="F606" t="s">
        <v>2111</v>
      </c>
      <c r="G606" t="s">
        <v>32</v>
      </c>
      <c r="H606" t="s">
        <v>2112</v>
      </c>
      <c r="I606">
        <v>22</v>
      </c>
      <c r="J606">
        <v>45</v>
      </c>
      <c r="K606" t="s">
        <v>2041</v>
      </c>
      <c r="L606">
        <v>2023</v>
      </c>
      <c r="M606">
        <v>6</v>
      </c>
      <c r="N606">
        <v>13</v>
      </c>
      <c r="O606">
        <v>14</v>
      </c>
    </row>
    <row r="607" spans="1:15" x14ac:dyDescent="0.25">
      <c r="A607">
        <v>606</v>
      </c>
      <c r="B607">
        <v>610</v>
      </c>
      <c r="C607" t="s">
        <v>2113</v>
      </c>
      <c r="D607" t="s">
        <v>878</v>
      </c>
      <c r="E607" s="1">
        <v>45091.8125</v>
      </c>
      <c r="F607" t="s">
        <v>2114</v>
      </c>
      <c r="G607" t="s">
        <v>27</v>
      </c>
      <c r="H607" t="s">
        <v>2115</v>
      </c>
      <c r="I607">
        <v>25</v>
      </c>
      <c r="J607">
        <v>50</v>
      </c>
      <c r="K607" t="s">
        <v>2036</v>
      </c>
      <c r="L607">
        <v>2023</v>
      </c>
      <c r="M607">
        <v>6</v>
      </c>
      <c r="N607">
        <v>14</v>
      </c>
      <c r="O607">
        <v>19</v>
      </c>
    </row>
    <row r="608" spans="1:15" x14ac:dyDescent="0.25">
      <c r="A608">
        <v>607</v>
      </c>
      <c r="B608">
        <v>611</v>
      </c>
      <c r="C608" t="s">
        <v>2116</v>
      </c>
      <c r="D608" t="s">
        <v>925</v>
      </c>
      <c r="E608" s="1">
        <v>45092.510416666664</v>
      </c>
      <c r="F608" t="s">
        <v>2117</v>
      </c>
      <c r="G608" t="s">
        <v>875</v>
      </c>
      <c r="H608" t="s">
        <v>2118</v>
      </c>
      <c r="I608">
        <v>30</v>
      </c>
      <c r="J608">
        <v>60</v>
      </c>
      <c r="K608" t="s">
        <v>2045</v>
      </c>
      <c r="L608">
        <v>2023</v>
      </c>
      <c r="M608">
        <v>6</v>
      </c>
      <c r="N608">
        <v>15</v>
      </c>
      <c r="O608">
        <v>12</v>
      </c>
    </row>
    <row r="609" spans="1:15" x14ac:dyDescent="0.25">
      <c r="A609">
        <v>608</v>
      </c>
      <c r="B609">
        <v>612</v>
      </c>
      <c r="C609" t="s">
        <v>2119</v>
      </c>
      <c r="D609" t="s">
        <v>1625</v>
      </c>
      <c r="E609" s="1">
        <v>45093.90625</v>
      </c>
      <c r="F609" t="s">
        <v>2120</v>
      </c>
      <c r="G609" t="s">
        <v>32</v>
      </c>
      <c r="H609" t="s">
        <v>2121</v>
      </c>
      <c r="I609">
        <v>18</v>
      </c>
      <c r="J609">
        <v>35</v>
      </c>
      <c r="K609" t="s">
        <v>2041</v>
      </c>
      <c r="L609">
        <v>2023</v>
      </c>
      <c r="M609">
        <v>6</v>
      </c>
      <c r="N609">
        <v>16</v>
      </c>
      <c r="O609">
        <v>21</v>
      </c>
    </row>
    <row r="610" spans="1:15" x14ac:dyDescent="0.25">
      <c r="A610">
        <v>609</v>
      </c>
      <c r="B610">
        <v>613</v>
      </c>
      <c r="C610" t="s">
        <v>2122</v>
      </c>
      <c r="D610" t="s">
        <v>1625</v>
      </c>
      <c r="E610" s="1">
        <v>45094.625</v>
      </c>
      <c r="F610" t="s">
        <v>2123</v>
      </c>
      <c r="G610" t="s">
        <v>27</v>
      </c>
      <c r="H610" t="s">
        <v>2124</v>
      </c>
      <c r="I610">
        <v>35</v>
      </c>
      <c r="J610">
        <v>70</v>
      </c>
      <c r="K610" t="s">
        <v>2036</v>
      </c>
      <c r="L610">
        <v>2023</v>
      </c>
      <c r="M610">
        <v>6</v>
      </c>
      <c r="N610">
        <v>17</v>
      </c>
      <c r="O610">
        <v>15</v>
      </c>
    </row>
    <row r="611" spans="1:15" x14ac:dyDescent="0.25">
      <c r="A611">
        <v>610</v>
      </c>
      <c r="B611">
        <v>614</v>
      </c>
      <c r="C611" t="s">
        <v>2125</v>
      </c>
      <c r="D611" t="s">
        <v>878</v>
      </c>
      <c r="E611" s="1">
        <v>45095.479166666664</v>
      </c>
      <c r="F611" t="s">
        <v>2126</v>
      </c>
      <c r="G611" t="s">
        <v>875</v>
      </c>
      <c r="H611" t="s">
        <v>2127</v>
      </c>
      <c r="I611">
        <v>28</v>
      </c>
      <c r="J611">
        <v>55</v>
      </c>
      <c r="K611" t="s">
        <v>2045</v>
      </c>
      <c r="L611">
        <v>2023</v>
      </c>
      <c r="M611">
        <v>6</v>
      </c>
      <c r="N611">
        <v>18</v>
      </c>
      <c r="O611">
        <v>11</v>
      </c>
    </row>
    <row r="612" spans="1:15" x14ac:dyDescent="0.25">
      <c r="A612">
        <v>611</v>
      </c>
      <c r="B612">
        <v>615</v>
      </c>
      <c r="C612" t="s">
        <v>2128</v>
      </c>
      <c r="D612" t="s">
        <v>1625</v>
      </c>
      <c r="E612" s="1">
        <v>45096.6875</v>
      </c>
      <c r="F612" t="s">
        <v>2129</v>
      </c>
      <c r="G612" t="s">
        <v>32</v>
      </c>
      <c r="H612" t="s">
        <v>2130</v>
      </c>
      <c r="I612">
        <v>22</v>
      </c>
      <c r="J612">
        <v>45</v>
      </c>
      <c r="K612" t="s">
        <v>2041</v>
      </c>
      <c r="L612">
        <v>2023</v>
      </c>
      <c r="M612">
        <v>6</v>
      </c>
      <c r="N612">
        <v>19</v>
      </c>
      <c r="O612">
        <v>16</v>
      </c>
    </row>
    <row r="613" spans="1:15" x14ac:dyDescent="0.25">
      <c r="A613">
        <v>612</v>
      </c>
      <c r="B613">
        <v>616</v>
      </c>
      <c r="C613" t="s">
        <v>2131</v>
      </c>
      <c r="D613" t="s">
        <v>1625</v>
      </c>
      <c r="E613" s="1">
        <v>45097.597222222219</v>
      </c>
      <c r="F613" t="s">
        <v>2132</v>
      </c>
      <c r="G613" t="s">
        <v>27</v>
      </c>
      <c r="H613" t="s">
        <v>2133</v>
      </c>
      <c r="I613">
        <v>20</v>
      </c>
      <c r="J613">
        <v>40</v>
      </c>
      <c r="K613" t="s">
        <v>2036</v>
      </c>
      <c r="L613">
        <v>2023</v>
      </c>
      <c r="M613">
        <v>6</v>
      </c>
      <c r="N613">
        <v>20</v>
      </c>
      <c r="O613">
        <v>14</v>
      </c>
    </row>
    <row r="614" spans="1:15" x14ac:dyDescent="0.25">
      <c r="A614">
        <v>613</v>
      </c>
      <c r="B614">
        <v>617</v>
      </c>
      <c r="C614" t="s">
        <v>2134</v>
      </c>
      <c r="D614" t="s">
        <v>878</v>
      </c>
      <c r="E614" s="1">
        <v>45098.791666666664</v>
      </c>
      <c r="F614" t="s">
        <v>2135</v>
      </c>
      <c r="G614" t="s">
        <v>875</v>
      </c>
      <c r="H614" t="s">
        <v>2136</v>
      </c>
      <c r="I614">
        <v>18</v>
      </c>
      <c r="J614">
        <v>35</v>
      </c>
      <c r="K614" t="s">
        <v>2045</v>
      </c>
      <c r="L614">
        <v>2023</v>
      </c>
      <c r="M614">
        <v>6</v>
      </c>
      <c r="N614">
        <v>21</v>
      </c>
      <c r="O614">
        <v>19</v>
      </c>
    </row>
    <row r="615" spans="1:15" x14ac:dyDescent="0.25">
      <c r="A615">
        <v>614</v>
      </c>
      <c r="B615">
        <v>618</v>
      </c>
      <c r="C615" t="s">
        <v>2137</v>
      </c>
      <c r="D615" t="s">
        <v>878</v>
      </c>
      <c r="E615" s="1">
        <v>45099.572916666664</v>
      </c>
      <c r="F615" t="s">
        <v>1181</v>
      </c>
      <c r="G615" t="s">
        <v>32</v>
      </c>
      <c r="H615" t="s">
        <v>2138</v>
      </c>
      <c r="I615">
        <v>25</v>
      </c>
      <c r="J615">
        <v>50</v>
      </c>
      <c r="K615" t="s">
        <v>2036</v>
      </c>
      <c r="L615">
        <v>2023</v>
      </c>
      <c r="M615">
        <v>6</v>
      </c>
      <c r="N615">
        <v>22</v>
      </c>
      <c r="O615">
        <v>13</v>
      </c>
    </row>
    <row r="616" spans="1:15" x14ac:dyDescent="0.25">
      <c r="A616">
        <v>615</v>
      </c>
      <c r="B616">
        <v>619</v>
      </c>
      <c r="C616" t="s">
        <v>2139</v>
      </c>
      <c r="D616" t="s">
        <v>878</v>
      </c>
      <c r="E616" s="1">
        <v>45100.78125</v>
      </c>
      <c r="F616" t="s">
        <v>2140</v>
      </c>
      <c r="G616" t="s">
        <v>27</v>
      </c>
      <c r="H616" t="s">
        <v>2141</v>
      </c>
      <c r="I616">
        <v>28</v>
      </c>
      <c r="J616">
        <v>55</v>
      </c>
      <c r="K616" t="s">
        <v>2045</v>
      </c>
      <c r="L616">
        <v>2023</v>
      </c>
      <c r="M616">
        <v>6</v>
      </c>
      <c r="N616">
        <v>23</v>
      </c>
      <c r="O616">
        <v>18</v>
      </c>
    </row>
    <row r="617" spans="1:15" x14ac:dyDescent="0.25">
      <c r="A617">
        <v>616</v>
      </c>
      <c r="B617">
        <v>620</v>
      </c>
      <c r="C617" t="s">
        <v>2142</v>
      </c>
      <c r="D617" t="s">
        <v>1625</v>
      </c>
      <c r="E617" s="1">
        <v>45101.677083333336</v>
      </c>
      <c r="F617" t="s">
        <v>2143</v>
      </c>
      <c r="G617" t="s">
        <v>875</v>
      </c>
      <c r="H617" t="s">
        <v>2144</v>
      </c>
      <c r="I617">
        <v>22</v>
      </c>
      <c r="J617">
        <v>45</v>
      </c>
      <c r="K617" t="s">
        <v>2041</v>
      </c>
      <c r="L617">
        <v>2023</v>
      </c>
      <c r="M617">
        <v>6</v>
      </c>
      <c r="N617">
        <v>24</v>
      </c>
      <c r="O617">
        <v>16</v>
      </c>
    </row>
    <row r="618" spans="1:15" x14ac:dyDescent="0.25">
      <c r="A618">
        <v>617</v>
      </c>
      <c r="B618">
        <v>621</v>
      </c>
      <c r="C618" t="s">
        <v>2145</v>
      </c>
      <c r="D618" t="s">
        <v>1639</v>
      </c>
      <c r="E618" s="1">
        <v>45102.854166666664</v>
      </c>
      <c r="F618" t="s">
        <v>2146</v>
      </c>
      <c r="G618" t="s">
        <v>32</v>
      </c>
      <c r="H618" t="s">
        <v>2147</v>
      </c>
      <c r="I618">
        <v>35</v>
      </c>
      <c r="J618">
        <v>70</v>
      </c>
      <c r="K618" t="s">
        <v>2036</v>
      </c>
      <c r="L618">
        <v>2023</v>
      </c>
      <c r="M618">
        <v>6</v>
      </c>
      <c r="N618">
        <v>25</v>
      </c>
      <c r="O618">
        <v>20</v>
      </c>
    </row>
    <row r="619" spans="1:15" x14ac:dyDescent="0.25">
      <c r="A619">
        <v>618</v>
      </c>
      <c r="B619">
        <v>622</v>
      </c>
      <c r="C619" t="s">
        <v>2148</v>
      </c>
      <c r="D619" t="s">
        <v>925</v>
      </c>
      <c r="E619" s="1">
        <v>45103.583333333336</v>
      </c>
      <c r="F619" t="s">
        <v>2149</v>
      </c>
      <c r="G619" t="s">
        <v>27</v>
      </c>
      <c r="H619" t="s">
        <v>2150</v>
      </c>
      <c r="I619">
        <v>30</v>
      </c>
      <c r="J619">
        <v>60</v>
      </c>
      <c r="K619" t="s">
        <v>2045</v>
      </c>
      <c r="L619">
        <v>2023</v>
      </c>
      <c r="M619">
        <v>6</v>
      </c>
      <c r="N619">
        <v>26</v>
      </c>
      <c r="O619">
        <v>14</v>
      </c>
    </row>
    <row r="620" spans="1:15" x14ac:dyDescent="0.25">
      <c r="A620">
        <v>619</v>
      </c>
      <c r="B620">
        <v>623</v>
      </c>
      <c r="C620" t="s">
        <v>2151</v>
      </c>
      <c r="D620" t="s">
        <v>878</v>
      </c>
      <c r="E620" s="1">
        <v>45104.739583333336</v>
      </c>
      <c r="F620" t="s">
        <v>2152</v>
      </c>
      <c r="G620" t="s">
        <v>875</v>
      </c>
      <c r="H620" t="s">
        <v>2153</v>
      </c>
      <c r="I620">
        <v>20</v>
      </c>
      <c r="J620">
        <v>40</v>
      </c>
      <c r="K620" t="s">
        <v>2036</v>
      </c>
      <c r="L620">
        <v>2023</v>
      </c>
      <c r="M620">
        <v>6</v>
      </c>
      <c r="N620">
        <v>27</v>
      </c>
      <c r="O620">
        <v>17</v>
      </c>
    </row>
    <row r="621" spans="1:15" x14ac:dyDescent="0.25">
      <c r="A621">
        <v>620</v>
      </c>
      <c r="B621">
        <v>624</v>
      </c>
      <c r="C621" t="s">
        <v>2154</v>
      </c>
      <c r="D621" t="s">
        <v>1625</v>
      </c>
      <c r="E621" s="1">
        <v>45105.927083333336</v>
      </c>
      <c r="F621" t="s">
        <v>2155</v>
      </c>
      <c r="G621" t="s">
        <v>32</v>
      </c>
      <c r="H621" t="s">
        <v>2156</v>
      </c>
      <c r="I621">
        <v>18</v>
      </c>
      <c r="J621">
        <v>35</v>
      </c>
      <c r="K621" t="s">
        <v>2045</v>
      </c>
      <c r="L621">
        <v>2023</v>
      </c>
      <c r="M621">
        <v>6</v>
      </c>
      <c r="N621">
        <v>28</v>
      </c>
      <c r="O621">
        <v>22</v>
      </c>
    </row>
    <row r="622" spans="1:15" x14ac:dyDescent="0.25">
      <c r="A622">
        <v>621</v>
      </c>
      <c r="B622">
        <v>625</v>
      </c>
      <c r="C622" t="s">
        <v>2157</v>
      </c>
      <c r="D622" t="s">
        <v>1625</v>
      </c>
      <c r="E622" s="1">
        <v>45106.6875</v>
      </c>
      <c r="F622" t="s">
        <v>2158</v>
      </c>
      <c r="G622" t="s">
        <v>27</v>
      </c>
      <c r="H622" t="s">
        <v>2159</v>
      </c>
      <c r="I622">
        <v>25</v>
      </c>
      <c r="J622">
        <v>50</v>
      </c>
      <c r="K622" t="s">
        <v>2036</v>
      </c>
      <c r="L622">
        <v>2023</v>
      </c>
      <c r="M622">
        <v>6</v>
      </c>
      <c r="N622">
        <v>29</v>
      </c>
      <c r="O622">
        <v>16</v>
      </c>
    </row>
    <row r="623" spans="1:15" x14ac:dyDescent="0.25">
      <c r="A623">
        <v>622</v>
      </c>
      <c r="B623">
        <v>626</v>
      </c>
      <c r="C623" t="s">
        <v>2160</v>
      </c>
      <c r="D623" t="s">
        <v>1639</v>
      </c>
      <c r="E623" s="1">
        <v>45107.8125</v>
      </c>
      <c r="F623" t="s">
        <v>2161</v>
      </c>
      <c r="G623" t="s">
        <v>875</v>
      </c>
      <c r="H623" t="s">
        <v>2162</v>
      </c>
      <c r="I623">
        <v>28</v>
      </c>
      <c r="J623">
        <v>55</v>
      </c>
      <c r="K623" t="s">
        <v>2045</v>
      </c>
      <c r="L623">
        <v>2023</v>
      </c>
      <c r="M623">
        <v>6</v>
      </c>
      <c r="N623">
        <v>30</v>
      </c>
      <c r="O623">
        <v>19</v>
      </c>
    </row>
    <row r="624" spans="1:15" x14ac:dyDescent="0.25">
      <c r="A624">
        <v>623</v>
      </c>
      <c r="B624">
        <v>627</v>
      </c>
      <c r="C624" t="s">
        <v>2163</v>
      </c>
      <c r="D624" t="s">
        <v>389</v>
      </c>
      <c r="E624" s="1">
        <v>45108.583333333336</v>
      </c>
      <c r="F624" t="s">
        <v>2164</v>
      </c>
      <c r="G624" t="s">
        <v>27</v>
      </c>
      <c r="H624" t="s">
        <v>2165</v>
      </c>
      <c r="I624">
        <v>30</v>
      </c>
      <c r="J624">
        <v>60</v>
      </c>
      <c r="K624" t="s">
        <v>2036</v>
      </c>
      <c r="L624">
        <v>2023</v>
      </c>
      <c r="M624">
        <v>7</v>
      </c>
      <c r="N624">
        <v>1</v>
      </c>
      <c r="O624">
        <v>14</v>
      </c>
    </row>
    <row r="625" spans="1:15" x14ac:dyDescent="0.25">
      <c r="A625">
        <v>624</v>
      </c>
      <c r="B625">
        <v>628</v>
      </c>
      <c r="C625" t="s">
        <v>2166</v>
      </c>
      <c r="D625" t="s">
        <v>1625</v>
      </c>
      <c r="E625" s="1">
        <v>45109.770833333336</v>
      </c>
      <c r="F625" t="s">
        <v>2167</v>
      </c>
      <c r="G625" t="s">
        <v>32</v>
      </c>
      <c r="H625" t="s">
        <v>2168</v>
      </c>
      <c r="I625">
        <v>22</v>
      </c>
      <c r="J625">
        <v>45</v>
      </c>
      <c r="K625" t="s">
        <v>2045</v>
      </c>
      <c r="L625">
        <v>2023</v>
      </c>
      <c r="M625">
        <v>7</v>
      </c>
      <c r="N625">
        <v>2</v>
      </c>
      <c r="O625">
        <v>18</v>
      </c>
    </row>
    <row r="626" spans="1:15" x14ac:dyDescent="0.25">
      <c r="A626">
        <v>625</v>
      </c>
      <c r="B626">
        <v>629</v>
      </c>
      <c r="C626" t="s">
        <v>2169</v>
      </c>
      <c r="D626" t="s">
        <v>1625</v>
      </c>
      <c r="E626" s="1">
        <v>45110.53125</v>
      </c>
      <c r="F626" t="s">
        <v>2170</v>
      </c>
      <c r="G626" t="s">
        <v>875</v>
      </c>
      <c r="H626" t="s">
        <v>2171</v>
      </c>
      <c r="I626">
        <v>28</v>
      </c>
      <c r="J626">
        <v>55</v>
      </c>
      <c r="K626" t="s">
        <v>2041</v>
      </c>
      <c r="L626">
        <v>2023</v>
      </c>
      <c r="M626">
        <v>7</v>
      </c>
      <c r="N626">
        <v>3</v>
      </c>
      <c r="O626">
        <v>12</v>
      </c>
    </row>
    <row r="627" spans="1:15" x14ac:dyDescent="0.25">
      <c r="A627">
        <v>626</v>
      </c>
      <c r="B627">
        <v>630</v>
      </c>
      <c r="C627" t="s">
        <v>2172</v>
      </c>
      <c r="D627" t="s">
        <v>878</v>
      </c>
      <c r="E627" s="1">
        <v>45111.708333333336</v>
      </c>
      <c r="F627" t="s">
        <v>2173</v>
      </c>
      <c r="G627" t="s">
        <v>27</v>
      </c>
      <c r="H627" t="s">
        <v>2174</v>
      </c>
      <c r="I627">
        <v>35</v>
      </c>
      <c r="J627">
        <v>70</v>
      </c>
      <c r="K627" t="s">
        <v>2036</v>
      </c>
      <c r="L627">
        <v>2023</v>
      </c>
      <c r="M627">
        <v>7</v>
      </c>
      <c r="N627">
        <v>4</v>
      </c>
      <c r="O627">
        <v>17</v>
      </c>
    </row>
    <row r="628" spans="1:15" x14ac:dyDescent="0.25">
      <c r="A628">
        <v>627</v>
      </c>
      <c r="B628">
        <v>631</v>
      </c>
      <c r="C628" t="s">
        <v>2175</v>
      </c>
      <c r="D628" t="s">
        <v>1625</v>
      </c>
      <c r="E628" s="1">
        <v>45112.84375</v>
      </c>
      <c r="F628" t="s">
        <v>2176</v>
      </c>
      <c r="G628" t="s">
        <v>875</v>
      </c>
      <c r="H628" t="s">
        <v>2177</v>
      </c>
      <c r="I628">
        <v>18</v>
      </c>
      <c r="J628">
        <v>35</v>
      </c>
      <c r="K628" t="s">
        <v>2045</v>
      </c>
      <c r="L628">
        <v>2023</v>
      </c>
      <c r="M628">
        <v>7</v>
      </c>
      <c r="N628">
        <v>5</v>
      </c>
      <c r="O628">
        <v>20</v>
      </c>
    </row>
    <row r="629" spans="1:15" x14ac:dyDescent="0.25">
      <c r="A629">
        <v>628</v>
      </c>
      <c r="B629">
        <v>632</v>
      </c>
      <c r="C629" t="s">
        <v>2178</v>
      </c>
      <c r="D629" t="s">
        <v>1625</v>
      </c>
      <c r="E629" s="1">
        <v>45113.604166666664</v>
      </c>
      <c r="F629" t="s">
        <v>2179</v>
      </c>
      <c r="G629" t="s">
        <v>32</v>
      </c>
      <c r="H629" t="s">
        <v>2180</v>
      </c>
      <c r="I629">
        <v>25</v>
      </c>
      <c r="J629">
        <v>50</v>
      </c>
      <c r="K629" t="s">
        <v>2036</v>
      </c>
      <c r="L629">
        <v>2023</v>
      </c>
      <c r="M629">
        <v>7</v>
      </c>
      <c r="N629">
        <v>6</v>
      </c>
      <c r="O629">
        <v>14</v>
      </c>
    </row>
    <row r="630" spans="1:15" x14ac:dyDescent="0.25">
      <c r="A630">
        <v>629</v>
      </c>
      <c r="B630">
        <v>633</v>
      </c>
      <c r="C630" t="s">
        <v>2181</v>
      </c>
      <c r="D630" t="s">
        <v>1625</v>
      </c>
      <c r="E630" s="1">
        <v>45114.822916666664</v>
      </c>
      <c r="F630" t="s">
        <v>2182</v>
      </c>
      <c r="G630" t="s">
        <v>27</v>
      </c>
      <c r="H630" t="s">
        <v>2183</v>
      </c>
      <c r="I630">
        <v>22</v>
      </c>
      <c r="J630">
        <v>45</v>
      </c>
      <c r="K630" t="s">
        <v>2045</v>
      </c>
      <c r="L630">
        <v>2023</v>
      </c>
      <c r="M630">
        <v>7</v>
      </c>
      <c r="N630">
        <v>7</v>
      </c>
      <c r="O630">
        <v>19</v>
      </c>
    </row>
    <row r="631" spans="1:15" x14ac:dyDescent="0.25">
      <c r="A631">
        <v>630</v>
      </c>
      <c r="B631">
        <v>634</v>
      </c>
      <c r="C631" t="s">
        <v>2184</v>
      </c>
      <c r="D631" t="s">
        <v>878</v>
      </c>
      <c r="E631" s="1">
        <v>45115.666666666664</v>
      </c>
      <c r="F631" t="s">
        <v>2185</v>
      </c>
      <c r="G631" t="s">
        <v>875</v>
      </c>
      <c r="H631" t="s">
        <v>2186</v>
      </c>
      <c r="I631">
        <v>30</v>
      </c>
      <c r="J631">
        <v>60</v>
      </c>
      <c r="K631" t="s">
        <v>2041</v>
      </c>
      <c r="L631">
        <v>2023</v>
      </c>
      <c r="M631">
        <v>7</v>
      </c>
      <c r="N631">
        <v>8</v>
      </c>
      <c r="O631">
        <v>16</v>
      </c>
    </row>
    <row r="632" spans="1:15" x14ac:dyDescent="0.25">
      <c r="A632">
        <v>631</v>
      </c>
      <c r="B632">
        <v>635</v>
      </c>
      <c r="C632" t="s">
        <v>2187</v>
      </c>
      <c r="D632" t="s">
        <v>1625</v>
      </c>
      <c r="E632" s="1">
        <v>45116.9375</v>
      </c>
      <c r="F632" t="s">
        <v>2188</v>
      </c>
      <c r="G632" t="s">
        <v>32</v>
      </c>
      <c r="H632" t="s">
        <v>2189</v>
      </c>
      <c r="I632">
        <v>20</v>
      </c>
      <c r="J632">
        <v>40</v>
      </c>
      <c r="K632" t="s">
        <v>2036</v>
      </c>
      <c r="L632">
        <v>2023</v>
      </c>
      <c r="M632">
        <v>7</v>
      </c>
      <c r="N632">
        <v>9</v>
      </c>
      <c r="O632">
        <v>22</v>
      </c>
    </row>
    <row r="633" spans="1:15" x14ac:dyDescent="0.25">
      <c r="A633">
        <v>632</v>
      </c>
      <c r="B633">
        <v>636</v>
      </c>
      <c r="C633" t="s">
        <v>2190</v>
      </c>
      <c r="D633" t="s">
        <v>389</v>
      </c>
      <c r="E633" s="1">
        <v>45117.597222222219</v>
      </c>
      <c r="F633" t="s">
        <v>2191</v>
      </c>
      <c r="G633" t="s">
        <v>27</v>
      </c>
      <c r="H633" t="s">
        <v>2192</v>
      </c>
      <c r="I633">
        <v>28</v>
      </c>
      <c r="J633">
        <v>55</v>
      </c>
      <c r="K633" t="s">
        <v>2045</v>
      </c>
      <c r="L633">
        <v>2023</v>
      </c>
      <c r="M633">
        <v>7</v>
      </c>
      <c r="N633">
        <v>10</v>
      </c>
      <c r="O633">
        <v>14</v>
      </c>
    </row>
    <row r="634" spans="1:15" x14ac:dyDescent="0.25">
      <c r="A634">
        <v>633</v>
      </c>
      <c r="B634">
        <v>637</v>
      </c>
      <c r="C634" t="s">
        <v>2193</v>
      </c>
      <c r="D634" t="s">
        <v>1639</v>
      </c>
      <c r="E634" s="1">
        <v>45118.78125</v>
      </c>
      <c r="F634" t="s">
        <v>2194</v>
      </c>
      <c r="G634" t="s">
        <v>875</v>
      </c>
      <c r="H634" t="s">
        <v>2195</v>
      </c>
      <c r="I634">
        <v>22</v>
      </c>
      <c r="J634">
        <v>45</v>
      </c>
      <c r="K634" t="s">
        <v>2041</v>
      </c>
      <c r="L634">
        <v>2023</v>
      </c>
      <c r="M634">
        <v>7</v>
      </c>
      <c r="N634">
        <v>11</v>
      </c>
      <c r="O634">
        <v>18</v>
      </c>
    </row>
    <row r="635" spans="1:15" x14ac:dyDescent="0.25">
      <c r="A635">
        <v>634</v>
      </c>
      <c r="B635">
        <v>638</v>
      </c>
      <c r="C635" t="s">
        <v>2196</v>
      </c>
      <c r="D635" t="s">
        <v>389</v>
      </c>
      <c r="E635" s="1">
        <v>45119.572916666664</v>
      </c>
      <c r="F635" t="s">
        <v>2197</v>
      </c>
      <c r="G635" t="s">
        <v>32</v>
      </c>
      <c r="H635" t="s">
        <v>2198</v>
      </c>
      <c r="I635">
        <v>25</v>
      </c>
      <c r="J635">
        <v>50</v>
      </c>
      <c r="K635" t="s">
        <v>2036</v>
      </c>
      <c r="L635">
        <v>2023</v>
      </c>
      <c r="M635">
        <v>7</v>
      </c>
      <c r="N635">
        <v>12</v>
      </c>
      <c r="O635">
        <v>13</v>
      </c>
    </row>
    <row r="636" spans="1:15" x14ac:dyDescent="0.25">
      <c r="A636">
        <v>635</v>
      </c>
      <c r="B636">
        <v>639</v>
      </c>
      <c r="C636" t="s">
        <v>2199</v>
      </c>
      <c r="D636" t="s">
        <v>1625</v>
      </c>
      <c r="E636" s="1">
        <v>45120.833333333336</v>
      </c>
      <c r="F636" t="s">
        <v>2200</v>
      </c>
      <c r="G636" t="s">
        <v>27</v>
      </c>
      <c r="H636" t="s">
        <v>2201</v>
      </c>
      <c r="I636">
        <v>35</v>
      </c>
      <c r="J636">
        <v>70</v>
      </c>
      <c r="K636" t="s">
        <v>2045</v>
      </c>
      <c r="L636">
        <v>2023</v>
      </c>
      <c r="M636">
        <v>7</v>
      </c>
      <c r="N636">
        <v>13</v>
      </c>
      <c r="O636">
        <v>20</v>
      </c>
    </row>
    <row r="637" spans="1:15" x14ac:dyDescent="0.25">
      <c r="A637">
        <v>636</v>
      </c>
      <c r="B637">
        <v>640</v>
      </c>
      <c r="C637" t="s">
        <v>2202</v>
      </c>
      <c r="D637" t="s">
        <v>1625</v>
      </c>
      <c r="E637" s="1">
        <v>45121.677083333336</v>
      </c>
      <c r="F637" t="s">
        <v>2203</v>
      </c>
      <c r="G637" t="s">
        <v>875</v>
      </c>
      <c r="H637" t="s">
        <v>2204</v>
      </c>
      <c r="I637">
        <v>20</v>
      </c>
      <c r="J637">
        <v>40</v>
      </c>
      <c r="K637" t="s">
        <v>2036</v>
      </c>
      <c r="L637">
        <v>2023</v>
      </c>
      <c r="M637">
        <v>7</v>
      </c>
      <c r="N637">
        <v>14</v>
      </c>
      <c r="O637">
        <v>16</v>
      </c>
    </row>
    <row r="638" spans="1:15" x14ac:dyDescent="0.25">
      <c r="A638">
        <v>637</v>
      </c>
      <c r="B638">
        <v>641</v>
      </c>
      <c r="C638" t="s">
        <v>2205</v>
      </c>
      <c r="D638" t="s">
        <v>1625</v>
      </c>
      <c r="E638" s="1">
        <v>45122.8125</v>
      </c>
      <c r="F638" t="s">
        <v>2206</v>
      </c>
      <c r="G638" t="s">
        <v>32</v>
      </c>
      <c r="H638" t="s">
        <v>2207</v>
      </c>
      <c r="I638">
        <v>28</v>
      </c>
      <c r="J638">
        <v>55</v>
      </c>
      <c r="K638" t="s">
        <v>2041</v>
      </c>
      <c r="L638">
        <v>2023</v>
      </c>
      <c r="M638">
        <v>7</v>
      </c>
      <c r="N638">
        <v>15</v>
      </c>
      <c r="O638">
        <v>19</v>
      </c>
    </row>
    <row r="639" spans="1:15" x14ac:dyDescent="0.25">
      <c r="A639">
        <v>638</v>
      </c>
      <c r="B639">
        <v>642</v>
      </c>
      <c r="C639" t="s">
        <v>2208</v>
      </c>
      <c r="D639" t="s">
        <v>1639</v>
      </c>
      <c r="E639" s="1">
        <v>45123.583333333336</v>
      </c>
      <c r="F639" t="s">
        <v>2209</v>
      </c>
      <c r="G639" t="s">
        <v>27</v>
      </c>
      <c r="H639" t="s">
        <v>2210</v>
      </c>
      <c r="I639">
        <v>30</v>
      </c>
      <c r="J639">
        <v>60</v>
      </c>
      <c r="K639" t="s">
        <v>2036</v>
      </c>
      <c r="L639">
        <v>2023</v>
      </c>
      <c r="M639">
        <v>7</v>
      </c>
      <c r="N639">
        <v>16</v>
      </c>
      <c r="O639">
        <v>14</v>
      </c>
    </row>
    <row r="640" spans="1:15" x14ac:dyDescent="0.25">
      <c r="A640">
        <v>639</v>
      </c>
      <c r="B640">
        <v>643</v>
      </c>
      <c r="C640" t="s">
        <v>2211</v>
      </c>
      <c r="D640" t="s">
        <v>925</v>
      </c>
      <c r="E640" s="1">
        <v>45124.927083333336</v>
      </c>
      <c r="F640" t="s">
        <v>2212</v>
      </c>
      <c r="G640" t="s">
        <v>875</v>
      </c>
      <c r="H640" t="s">
        <v>2213</v>
      </c>
      <c r="I640">
        <v>18</v>
      </c>
      <c r="J640">
        <v>35</v>
      </c>
      <c r="K640" t="s">
        <v>2045</v>
      </c>
      <c r="L640">
        <v>2023</v>
      </c>
      <c r="M640">
        <v>7</v>
      </c>
      <c r="N640">
        <v>17</v>
      </c>
      <c r="O640">
        <v>22</v>
      </c>
    </row>
    <row r="641" spans="1:15" x14ac:dyDescent="0.25">
      <c r="A641">
        <v>640</v>
      </c>
      <c r="B641">
        <v>644</v>
      </c>
      <c r="C641" t="s">
        <v>2214</v>
      </c>
      <c r="D641" t="s">
        <v>1625</v>
      </c>
      <c r="E641" s="1">
        <v>45125.6875</v>
      </c>
      <c r="F641" t="s">
        <v>2215</v>
      </c>
      <c r="G641" t="s">
        <v>32</v>
      </c>
      <c r="H641" t="s">
        <v>2159</v>
      </c>
      <c r="I641">
        <v>25</v>
      </c>
      <c r="J641">
        <v>50</v>
      </c>
      <c r="K641" t="s">
        <v>2036</v>
      </c>
      <c r="L641">
        <v>2023</v>
      </c>
      <c r="M641">
        <v>7</v>
      </c>
      <c r="N641">
        <v>18</v>
      </c>
      <c r="O641">
        <v>16</v>
      </c>
    </row>
    <row r="642" spans="1:15" x14ac:dyDescent="0.25">
      <c r="A642">
        <v>641</v>
      </c>
      <c r="B642">
        <v>645</v>
      </c>
      <c r="C642" t="s">
        <v>2216</v>
      </c>
      <c r="D642" t="s">
        <v>1639</v>
      </c>
      <c r="E642" s="1">
        <v>45126.822916666664</v>
      </c>
      <c r="F642" t="s">
        <v>2217</v>
      </c>
      <c r="G642" t="s">
        <v>27</v>
      </c>
      <c r="H642" t="s">
        <v>2218</v>
      </c>
      <c r="I642">
        <v>22</v>
      </c>
      <c r="J642">
        <v>45</v>
      </c>
      <c r="K642" t="s">
        <v>2045</v>
      </c>
      <c r="L642">
        <v>2023</v>
      </c>
      <c r="M642">
        <v>7</v>
      </c>
      <c r="N642">
        <v>19</v>
      </c>
      <c r="O642">
        <v>19</v>
      </c>
    </row>
    <row r="643" spans="1:15" x14ac:dyDescent="0.25">
      <c r="A643">
        <v>642</v>
      </c>
      <c r="B643">
        <v>646</v>
      </c>
      <c r="C643" t="s">
        <v>2219</v>
      </c>
      <c r="D643" t="s">
        <v>389</v>
      </c>
      <c r="E643" s="1">
        <v>45127.708333333336</v>
      </c>
      <c r="F643" t="s">
        <v>2220</v>
      </c>
      <c r="G643" t="s">
        <v>875</v>
      </c>
      <c r="H643" t="s">
        <v>2221</v>
      </c>
      <c r="I643">
        <v>30</v>
      </c>
      <c r="J643">
        <v>60</v>
      </c>
      <c r="K643" t="s">
        <v>2041</v>
      </c>
      <c r="L643">
        <v>2023</v>
      </c>
      <c r="M643">
        <v>7</v>
      </c>
      <c r="N643">
        <v>20</v>
      </c>
      <c r="O643">
        <v>17</v>
      </c>
    </row>
    <row r="644" spans="1:15" x14ac:dyDescent="0.25">
      <c r="A644">
        <v>643</v>
      </c>
      <c r="B644">
        <v>647</v>
      </c>
      <c r="C644" t="s">
        <v>2222</v>
      </c>
      <c r="D644" t="s">
        <v>2223</v>
      </c>
      <c r="E644" s="1">
        <v>45139.5625</v>
      </c>
      <c r="F644" t="s">
        <v>2224</v>
      </c>
      <c r="G644" t="s">
        <v>27</v>
      </c>
      <c r="H644" t="s">
        <v>2225</v>
      </c>
      <c r="I644">
        <v>20</v>
      </c>
      <c r="J644">
        <v>40</v>
      </c>
      <c r="K644" t="s">
        <v>2036</v>
      </c>
      <c r="L644">
        <v>2023</v>
      </c>
      <c r="M644">
        <v>8</v>
      </c>
      <c r="N644">
        <v>1</v>
      </c>
      <c r="O644">
        <v>13</v>
      </c>
    </row>
    <row r="645" spans="1:15" x14ac:dyDescent="0.25">
      <c r="A645">
        <v>644</v>
      </c>
      <c r="B645">
        <v>648</v>
      </c>
      <c r="C645" t="s">
        <v>2226</v>
      </c>
      <c r="D645" t="s">
        <v>389</v>
      </c>
      <c r="E645" s="1">
        <v>45140.614583333336</v>
      </c>
      <c r="F645" t="s">
        <v>2227</v>
      </c>
      <c r="G645" t="s">
        <v>875</v>
      </c>
      <c r="H645" t="s">
        <v>2228</v>
      </c>
      <c r="I645">
        <v>25</v>
      </c>
      <c r="J645">
        <v>50</v>
      </c>
      <c r="K645" t="s">
        <v>2045</v>
      </c>
      <c r="L645">
        <v>2023</v>
      </c>
      <c r="M645">
        <v>8</v>
      </c>
      <c r="N645">
        <v>2</v>
      </c>
      <c r="O645">
        <v>14</v>
      </c>
    </row>
    <row r="646" spans="1:15" x14ac:dyDescent="0.25">
      <c r="A646">
        <v>645</v>
      </c>
      <c r="B646">
        <v>649</v>
      </c>
      <c r="C646" t="s">
        <v>2229</v>
      </c>
      <c r="D646" t="s">
        <v>389</v>
      </c>
      <c r="E646" s="1">
        <v>45141.510416666664</v>
      </c>
      <c r="F646" t="s">
        <v>2230</v>
      </c>
      <c r="G646" t="s">
        <v>32</v>
      </c>
      <c r="H646" t="s">
        <v>2231</v>
      </c>
      <c r="I646">
        <v>18</v>
      </c>
      <c r="J646">
        <v>35</v>
      </c>
      <c r="K646" t="s">
        <v>2041</v>
      </c>
      <c r="L646">
        <v>2023</v>
      </c>
      <c r="M646">
        <v>8</v>
      </c>
      <c r="N646">
        <v>3</v>
      </c>
      <c r="O646">
        <v>12</v>
      </c>
    </row>
    <row r="647" spans="1:15" x14ac:dyDescent="0.25">
      <c r="A647">
        <v>646</v>
      </c>
      <c r="B647">
        <v>650</v>
      </c>
      <c r="C647" t="s">
        <v>2232</v>
      </c>
      <c r="D647" t="s">
        <v>1625</v>
      </c>
      <c r="E647" s="1">
        <v>45142.6875</v>
      </c>
      <c r="F647" t="s">
        <v>2233</v>
      </c>
      <c r="G647" t="s">
        <v>27</v>
      </c>
      <c r="H647" t="s">
        <v>2234</v>
      </c>
      <c r="I647">
        <v>22</v>
      </c>
      <c r="J647">
        <v>45</v>
      </c>
      <c r="K647" t="s">
        <v>2036</v>
      </c>
      <c r="L647">
        <v>2023</v>
      </c>
      <c r="M647">
        <v>8</v>
      </c>
      <c r="N647">
        <v>4</v>
      </c>
      <c r="O647">
        <v>16</v>
      </c>
    </row>
    <row r="648" spans="1:15" x14ac:dyDescent="0.25">
      <c r="A648">
        <v>647</v>
      </c>
      <c r="B648">
        <v>651</v>
      </c>
      <c r="C648" t="s">
        <v>2235</v>
      </c>
      <c r="D648" t="s">
        <v>389</v>
      </c>
      <c r="E648" s="1">
        <v>45143.822916666664</v>
      </c>
      <c r="F648" t="s">
        <v>2236</v>
      </c>
      <c r="G648" t="s">
        <v>875</v>
      </c>
      <c r="H648" t="s">
        <v>2237</v>
      </c>
      <c r="I648">
        <v>30</v>
      </c>
      <c r="J648">
        <v>60</v>
      </c>
      <c r="K648" t="s">
        <v>2041</v>
      </c>
      <c r="L648">
        <v>2023</v>
      </c>
      <c r="M648">
        <v>8</v>
      </c>
      <c r="N648">
        <v>5</v>
      </c>
      <c r="O648">
        <v>19</v>
      </c>
    </row>
    <row r="649" spans="1:15" x14ac:dyDescent="0.25">
      <c r="A649">
        <v>648</v>
      </c>
      <c r="B649">
        <v>652</v>
      </c>
      <c r="C649" t="s">
        <v>2238</v>
      </c>
      <c r="D649" t="s">
        <v>2239</v>
      </c>
      <c r="E649" s="1">
        <v>45144.583333333336</v>
      </c>
      <c r="F649" t="s">
        <v>2240</v>
      </c>
      <c r="G649" t="s">
        <v>32</v>
      </c>
      <c r="H649" t="s">
        <v>2241</v>
      </c>
      <c r="I649">
        <v>28</v>
      </c>
      <c r="J649">
        <v>55</v>
      </c>
      <c r="K649" t="s">
        <v>2036</v>
      </c>
      <c r="L649">
        <v>2023</v>
      </c>
      <c r="M649">
        <v>8</v>
      </c>
      <c r="N649">
        <v>6</v>
      </c>
      <c r="O649">
        <v>14</v>
      </c>
    </row>
    <row r="650" spans="1:15" x14ac:dyDescent="0.25">
      <c r="A650">
        <v>649</v>
      </c>
      <c r="B650">
        <v>653</v>
      </c>
      <c r="C650" t="s">
        <v>2242</v>
      </c>
      <c r="D650" t="s">
        <v>2243</v>
      </c>
      <c r="E650" s="1">
        <v>45145.822916666664</v>
      </c>
      <c r="F650" t="s">
        <v>2244</v>
      </c>
      <c r="G650" t="s">
        <v>27</v>
      </c>
      <c r="H650" t="s">
        <v>2245</v>
      </c>
      <c r="I650">
        <v>22</v>
      </c>
      <c r="J650">
        <v>45</v>
      </c>
      <c r="K650" t="s">
        <v>2045</v>
      </c>
      <c r="L650">
        <v>2023</v>
      </c>
      <c r="M650">
        <v>8</v>
      </c>
      <c r="N650">
        <v>7</v>
      </c>
      <c r="O650">
        <v>19</v>
      </c>
    </row>
    <row r="651" spans="1:15" x14ac:dyDescent="0.25">
      <c r="A651">
        <v>650</v>
      </c>
      <c r="B651">
        <v>654</v>
      </c>
      <c r="C651" t="s">
        <v>2246</v>
      </c>
      <c r="D651" t="s">
        <v>389</v>
      </c>
      <c r="E651" s="1">
        <v>45146.666666666664</v>
      </c>
      <c r="F651" t="s">
        <v>2247</v>
      </c>
      <c r="G651" t="s">
        <v>875</v>
      </c>
      <c r="H651" t="s">
        <v>2248</v>
      </c>
      <c r="I651">
        <v>30</v>
      </c>
      <c r="J651">
        <v>60</v>
      </c>
      <c r="K651" t="s">
        <v>2041</v>
      </c>
      <c r="L651">
        <v>2023</v>
      </c>
      <c r="M651">
        <v>8</v>
      </c>
      <c r="N651">
        <v>8</v>
      </c>
      <c r="O651">
        <v>16</v>
      </c>
    </row>
    <row r="652" spans="1:15" x14ac:dyDescent="0.25">
      <c r="A652">
        <v>651</v>
      </c>
      <c r="B652">
        <v>655</v>
      </c>
      <c r="C652" t="s">
        <v>2249</v>
      </c>
      <c r="D652" t="s">
        <v>1625</v>
      </c>
      <c r="E652" s="1">
        <v>45147.9375</v>
      </c>
      <c r="F652" t="s">
        <v>2250</v>
      </c>
      <c r="G652" t="s">
        <v>32</v>
      </c>
      <c r="H652" t="s">
        <v>2251</v>
      </c>
      <c r="I652">
        <v>20</v>
      </c>
      <c r="J652">
        <v>40</v>
      </c>
      <c r="K652" t="s">
        <v>2036</v>
      </c>
      <c r="L652">
        <v>2023</v>
      </c>
      <c r="M652">
        <v>8</v>
      </c>
      <c r="N652">
        <v>9</v>
      </c>
      <c r="O652">
        <v>22</v>
      </c>
    </row>
    <row r="653" spans="1:15" x14ac:dyDescent="0.25">
      <c r="A653">
        <v>652</v>
      </c>
      <c r="B653">
        <v>656</v>
      </c>
      <c r="C653" t="s">
        <v>2252</v>
      </c>
      <c r="D653" t="s">
        <v>1625</v>
      </c>
      <c r="E653" s="1">
        <v>45148.597222222219</v>
      </c>
      <c r="F653" t="s">
        <v>2253</v>
      </c>
      <c r="G653" t="s">
        <v>27</v>
      </c>
      <c r="H653" t="s">
        <v>2254</v>
      </c>
      <c r="I653">
        <v>28</v>
      </c>
      <c r="J653">
        <v>55</v>
      </c>
      <c r="K653" t="s">
        <v>2045</v>
      </c>
      <c r="L653">
        <v>2023</v>
      </c>
      <c r="M653">
        <v>8</v>
      </c>
      <c r="N653">
        <v>10</v>
      </c>
      <c r="O653">
        <v>14</v>
      </c>
    </row>
    <row r="654" spans="1:15" x14ac:dyDescent="0.25">
      <c r="A654">
        <v>653</v>
      </c>
      <c r="B654">
        <v>657</v>
      </c>
      <c r="C654" t="s">
        <v>2255</v>
      </c>
      <c r="D654" t="s">
        <v>1625</v>
      </c>
      <c r="E654" s="1">
        <v>45149.78125</v>
      </c>
      <c r="F654" t="s">
        <v>2256</v>
      </c>
      <c r="G654" t="s">
        <v>875</v>
      </c>
      <c r="H654" t="s">
        <v>2257</v>
      </c>
      <c r="I654">
        <v>22</v>
      </c>
      <c r="J654">
        <v>45</v>
      </c>
      <c r="K654" t="s">
        <v>2041</v>
      </c>
      <c r="L654">
        <v>2023</v>
      </c>
      <c r="M654">
        <v>8</v>
      </c>
      <c r="N654">
        <v>11</v>
      </c>
      <c r="O654">
        <v>18</v>
      </c>
    </row>
    <row r="655" spans="1:15" x14ac:dyDescent="0.25">
      <c r="A655">
        <v>654</v>
      </c>
      <c r="B655">
        <v>658</v>
      </c>
      <c r="C655" t="s">
        <v>2258</v>
      </c>
      <c r="D655" t="s">
        <v>389</v>
      </c>
      <c r="E655" s="1">
        <v>45150.572916666664</v>
      </c>
      <c r="F655" t="s">
        <v>2259</v>
      </c>
      <c r="G655" t="s">
        <v>32</v>
      </c>
      <c r="H655" t="s">
        <v>2260</v>
      </c>
      <c r="I655">
        <v>25</v>
      </c>
      <c r="J655">
        <v>50</v>
      </c>
      <c r="K655" t="s">
        <v>2036</v>
      </c>
      <c r="L655">
        <v>2023</v>
      </c>
      <c r="M655">
        <v>8</v>
      </c>
      <c r="N655">
        <v>12</v>
      </c>
      <c r="O655">
        <v>13</v>
      </c>
    </row>
    <row r="656" spans="1:15" x14ac:dyDescent="0.25">
      <c r="A656">
        <v>655</v>
      </c>
      <c r="B656">
        <v>659</v>
      </c>
      <c r="C656" t="s">
        <v>2261</v>
      </c>
      <c r="D656" t="s">
        <v>389</v>
      </c>
      <c r="E656" s="1">
        <v>45151.833333333336</v>
      </c>
      <c r="F656" t="s">
        <v>2262</v>
      </c>
      <c r="G656" t="s">
        <v>27</v>
      </c>
      <c r="H656" t="s">
        <v>2263</v>
      </c>
      <c r="I656">
        <v>35</v>
      </c>
      <c r="J656">
        <v>70</v>
      </c>
      <c r="K656" t="s">
        <v>2045</v>
      </c>
      <c r="L656">
        <v>2023</v>
      </c>
      <c r="M656">
        <v>8</v>
      </c>
      <c r="N656">
        <v>13</v>
      </c>
      <c r="O656">
        <v>20</v>
      </c>
    </row>
    <row r="657" spans="1:15" x14ac:dyDescent="0.25">
      <c r="A657">
        <v>656</v>
      </c>
      <c r="B657">
        <v>660</v>
      </c>
      <c r="C657" t="s">
        <v>2264</v>
      </c>
      <c r="D657" t="s">
        <v>1625</v>
      </c>
      <c r="E657" s="1">
        <v>45152.677083333336</v>
      </c>
      <c r="F657" t="s">
        <v>2265</v>
      </c>
      <c r="G657" t="s">
        <v>875</v>
      </c>
      <c r="H657" t="s">
        <v>2266</v>
      </c>
      <c r="I657">
        <v>20</v>
      </c>
      <c r="J657">
        <v>40</v>
      </c>
      <c r="K657" t="s">
        <v>2036</v>
      </c>
      <c r="L657">
        <v>2023</v>
      </c>
      <c r="M657">
        <v>8</v>
      </c>
      <c r="N657">
        <v>14</v>
      </c>
      <c r="O657">
        <v>16</v>
      </c>
    </row>
    <row r="658" spans="1:15" x14ac:dyDescent="0.25">
      <c r="A658">
        <v>657</v>
      </c>
      <c r="B658">
        <v>661</v>
      </c>
      <c r="C658" t="s">
        <v>2267</v>
      </c>
      <c r="D658" t="s">
        <v>389</v>
      </c>
      <c r="E658" s="1">
        <v>45153.8125</v>
      </c>
      <c r="F658" t="s">
        <v>2268</v>
      </c>
      <c r="G658" t="s">
        <v>32</v>
      </c>
      <c r="H658" t="s">
        <v>2269</v>
      </c>
      <c r="I658">
        <v>28</v>
      </c>
      <c r="J658">
        <v>55</v>
      </c>
      <c r="K658" t="s">
        <v>2041</v>
      </c>
      <c r="L658">
        <v>2023</v>
      </c>
      <c r="M658">
        <v>8</v>
      </c>
      <c r="N658">
        <v>15</v>
      </c>
      <c r="O658">
        <v>19</v>
      </c>
    </row>
    <row r="659" spans="1:15" x14ac:dyDescent="0.25">
      <c r="A659">
        <v>658</v>
      </c>
      <c r="B659">
        <v>662</v>
      </c>
      <c r="C659" t="s">
        <v>2270</v>
      </c>
      <c r="D659" t="s">
        <v>2271</v>
      </c>
      <c r="E659" s="1">
        <v>45154.583333333336</v>
      </c>
      <c r="F659" t="s">
        <v>2272</v>
      </c>
      <c r="G659" t="s">
        <v>27</v>
      </c>
      <c r="H659" t="s">
        <v>2273</v>
      </c>
      <c r="I659">
        <v>30</v>
      </c>
      <c r="J659">
        <v>60</v>
      </c>
      <c r="K659" t="s">
        <v>2036</v>
      </c>
      <c r="L659">
        <v>2023</v>
      </c>
      <c r="M659">
        <v>8</v>
      </c>
      <c r="N659">
        <v>16</v>
      </c>
      <c r="O659">
        <v>14</v>
      </c>
    </row>
    <row r="660" spans="1:15" x14ac:dyDescent="0.25">
      <c r="A660">
        <v>659</v>
      </c>
      <c r="B660">
        <v>663</v>
      </c>
      <c r="C660" t="s">
        <v>2274</v>
      </c>
      <c r="D660" t="s">
        <v>389</v>
      </c>
      <c r="E660" s="1">
        <v>45155.927083333336</v>
      </c>
      <c r="F660" t="s">
        <v>2275</v>
      </c>
      <c r="G660" t="s">
        <v>875</v>
      </c>
      <c r="H660" t="s">
        <v>2276</v>
      </c>
      <c r="I660">
        <v>18</v>
      </c>
      <c r="J660">
        <v>35</v>
      </c>
      <c r="K660" t="s">
        <v>2045</v>
      </c>
      <c r="L660">
        <v>2023</v>
      </c>
      <c r="M660">
        <v>8</v>
      </c>
      <c r="N660">
        <v>17</v>
      </c>
      <c r="O660">
        <v>22</v>
      </c>
    </row>
    <row r="661" spans="1:15" x14ac:dyDescent="0.25">
      <c r="A661">
        <v>660</v>
      </c>
      <c r="B661">
        <v>664</v>
      </c>
      <c r="C661" t="s">
        <v>2277</v>
      </c>
      <c r="D661" t="s">
        <v>2243</v>
      </c>
      <c r="E661" s="1">
        <v>45156.6875</v>
      </c>
      <c r="F661" t="s">
        <v>2278</v>
      </c>
      <c r="G661" t="s">
        <v>32</v>
      </c>
      <c r="H661" t="s">
        <v>2279</v>
      </c>
      <c r="I661">
        <v>25</v>
      </c>
      <c r="J661">
        <v>50</v>
      </c>
      <c r="K661" t="s">
        <v>2036</v>
      </c>
      <c r="L661">
        <v>2023</v>
      </c>
      <c r="M661">
        <v>8</v>
      </c>
      <c r="N661">
        <v>18</v>
      </c>
      <c r="O661">
        <v>16</v>
      </c>
    </row>
    <row r="662" spans="1:15" x14ac:dyDescent="0.25">
      <c r="A662">
        <v>661</v>
      </c>
      <c r="B662">
        <v>665</v>
      </c>
      <c r="C662" t="s">
        <v>2280</v>
      </c>
      <c r="D662" t="s">
        <v>2243</v>
      </c>
      <c r="E662" s="1">
        <v>45157.822916666664</v>
      </c>
      <c r="F662" t="s">
        <v>2281</v>
      </c>
      <c r="G662" t="s">
        <v>27</v>
      </c>
      <c r="H662" t="s">
        <v>2282</v>
      </c>
      <c r="I662">
        <v>22</v>
      </c>
      <c r="J662">
        <v>45</v>
      </c>
      <c r="K662" t="s">
        <v>2045</v>
      </c>
      <c r="L662">
        <v>2023</v>
      </c>
      <c r="M662">
        <v>8</v>
      </c>
      <c r="N662">
        <v>19</v>
      </c>
      <c r="O662">
        <v>19</v>
      </c>
    </row>
    <row r="663" spans="1:15" x14ac:dyDescent="0.25">
      <c r="A663">
        <v>662</v>
      </c>
      <c r="B663">
        <v>666</v>
      </c>
      <c r="C663" t="s">
        <v>2283</v>
      </c>
      <c r="D663" t="s">
        <v>2243</v>
      </c>
      <c r="E663" s="1">
        <v>45158.708333333336</v>
      </c>
      <c r="F663" t="s">
        <v>2284</v>
      </c>
      <c r="G663" t="s">
        <v>875</v>
      </c>
      <c r="H663" t="s">
        <v>2285</v>
      </c>
      <c r="I663">
        <v>30</v>
      </c>
      <c r="J663">
        <v>60</v>
      </c>
      <c r="K663" t="s">
        <v>2041</v>
      </c>
      <c r="L663">
        <v>2023</v>
      </c>
      <c r="M663">
        <v>8</v>
      </c>
      <c r="N663">
        <v>20</v>
      </c>
      <c r="O663">
        <v>17</v>
      </c>
    </row>
    <row r="664" spans="1:15" x14ac:dyDescent="0.25">
      <c r="A664">
        <v>663</v>
      </c>
      <c r="B664">
        <v>667</v>
      </c>
      <c r="C664" t="s">
        <v>2286</v>
      </c>
      <c r="D664" t="s">
        <v>1625</v>
      </c>
      <c r="E664" s="1">
        <v>45159.65625</v>
      </c>
      <c r="F664" t="s">
        <v>2287</v>
      </c>
      <c r="G664" t="s">
        <v>27</v>
      </c>
      <c r="H664" t="s">
        <v>2288</v>
      </c>
      <c r="I664">
        <v>15</v>
      </c>
      <c r="J664">
        <v>30</v>
      </c>
      <c r="K664" t="s">
        <v>2036</v>
      </c>
      <c r="L664">
        <v>2023</v>
      </c>
      <c r="M664">
        <v>8</v>
      </c>
      <c r="N664">
        <v>21</v>
      </c>
      <c r="O664">
        <v>15</v>
      </c>
    </row>
    <row r="665" spans="1:15" x14ac:dyDescent="0.25">
      <c r="A665">
        <v>664</v>
      </c>
      <c r="B665">
        <v>668</v>
      </c>
      <c r="C665" t="s">
        <v>2289</v>
      </c>
      <c r="D665" t="s">
        <v>389</v>
      </c>
      <c r="E665" s="1">
        <v>45160.520833333336</v>
      </c>
      <c r="F665" t="s">
        <v>2290</v>
      </c>
      <c r="G665" t="s">
        <v>32</v>
      </c>
      <c r="H665" t="s">
        <v>2291</v>
      </c>
      <c r="I665">
        <v>22</v>
      </c>
      <c r="J665">
        <v>40</v>
      </c>
      <c r="K665" t="s">
        <v>2041</v>
      </c>
      <c r="L665">
        <v>2023</v>
      </c>
      <c r="M665">
        <v>8</v>
      </c>
      <c r="N665">
        <v>22</v>
      </c>
      <c r="O665">
        <v>12</v>
      </c>
    </row>
    <row r="666" spans="1:15" x14ac:dyDescent="0.25">
      <c r="A666">
        <v>665</v>
      </c>
      <c r="B666">
        <v>669</v>
      </c>
      <c r="C666" t="s">
        <v>2292</v>
      </c>
      <c r="D666" t="s">
        <v>2271</v>
      </c>
      <c r="E666" s="1">
        <v>45161.697916666664</v>
      </c>
      <c r="F666" t="s">
        <v>2293</v>
      </c>
      <c r="G666" t="s">
        <v>875</v>
      </c>
      <c r="H666" t="s">
        <v>2294</v>
      </c>
      <c r="I666">
        <v>28</v>
      </c>
      <c r="J666">
        <v>55</v>
      </c>
      <c r="K666" t="s">
        <v>2036</v>
      </c>
      <c r="L666">
        <v>2023</v>
      </c>
      <c r="M666">
        <v>8</v>
      </c>
      <c r="N666">
        <v>23</v>
      </c>
      <c r="O666">
        <v>16</v>
      </c>
    </row>
    <row r="667" spans="1:15" x14ac:dyDescent="0.25">
      <c r="A667">
        <v>666</v>
      </c>
      <c r="B667">
        <v>670</v>
      </c>
      <c r="C667" t="s">
        <v>2295</v>
      </c>
      <c r="D667" t="s">
        <v>389</v>
      </c>
      <c r="E667" s="1">
        <v>45162.763888888891</v>
      </c>
      <c r="F667" t="s">
        <v>2296</v>
      </c>
      <c r="G667" t="s">
        <v>27</v>
      </c>
      <c r="H667" t="s">
        <v>2297</v>
      </c>
      <c r="I667">
        <v>20</v>
      </c>
      <c r="J667">
        <v>38</v>
      </c>
      <c r="K667" t="s">
        <v>2045</v>
      </c>
      <c r="L667">
        <v>2023</v>
      </c>
      <c r="M667">
        <v>8</v>
      </c>
      <c r="N667">
        <v>24</v>
      </c>
      <c r="O667">
        <v>18</v>
      </c>
    </row>
    <row r="668" spans="1:15" x14ac:dyDescent="0.25">
      <c r="A668">
        <v>667</v>
      </c>
      <c r="B668">
        <v>671</v>
      </c>
      <c r="C668" t="s">
        <v>2298</v>
      </c>
      <c r="D668" t="s">
        <v>1625</v>
      </c>
      <c r="E668" s="1">
        <v>45163.59375</v>
      </c>
      <c r="F668" t="s">
        <v>2299</v>
      </c>
      <c r="G668" t="s">
        <v>32</v>
      </c>
      <c r="H668" t="s">
        <v>2300</v>
      </c>
      <c r="I668">
        <v>25</v>
      </c>
      <c r="J668">
        <v>50</v>
      </c>
      <c r="K668" t="s">
        <v>2041</v>
      </c>
      <c r="L668">
        <v>2023</v>
      </c>
      <c r="M668">
        <v>8</v>
      </c>
      <c r="N668">
        <v>25</v>
      </c>
      <c r="O668">
        <v>14</v>
      </c>
    </row>
    <row r="669" spans="1:15" x14ac:dyDescent="0.25">
      <c r="A669">
        <v>668</v>
      </c>
      <c r="B669">
        <v>672</v>
      </c>
      <c r="C669" t="s">
        <v>2301</v>
      </c>
      <c r="D669" t="s">
        <v>2243</v>
      </c>
      <c r="E669" s="1">
        <v>45164.729166666664</v>
      </c>
      <c r="F669" t="s">
        <v>2302</v>
      </c>
      <c r="G669" t="s">
        <v>875</v>
      </c>
      <c r="H669" t="s">
        <v>2303</v>
      </c>
      <c r="I669">
        <v>18</v>
      </c>
      <c r="J669">
        <v>35</v>
      </c>
      <c r="K669" t="s">
        <v>2036</v>
      </c>
      <c r="L669">
        <v>2023</v>
      </c>
      <c r="M669">
        <v>8</v>
      </c>
      <c r="N669">
        <v>26</v>
      </c>
      <c r="O669">
        <v>17</v>
      </c>
    </row>
    <row r="670" spans="1:15" x14ac:dyDescent="0.25">
      <c r="A670">
        <v>669</v>
      </c>
      <c r="B670">
        <v>673</v>
      </c>
      <c r="C670" t="s">
        <v>2304</v>
      </c>
      <c r="D670" t="s">
        <v>2243</v>
      </c>
      <c r="E670" s="1">
        <v>45165.864583333336</v>
      </c>
      <c r="F670" t="s">
        <v>2305</v>
      </c>
      <c r="G670" t="s">
        <v>27</v>
      </c>
      <c r="H670" t="s">
        <v>2306</v>
      </c>
      <c r="I670">
        <v>22</v>
      </c>
      <c r="J670">
        <v>45</v>
      </c>
      <c r="K670" t="s">
        <v>2045</v>
      </c>
      <c r="L670">
        <v>2023</v>
      </c>
      <c r="M670">
        <v>8</v>
      </c>
      <c r="N670">
        <v>27</v>
      </c>
      <c r="O670">
        <v>20</v>
      </c>
    </row>
    <row r="671" spans="1:15" x14ac:dyDescent="0.25">
      <c r="A671">
        <v>670</v>
      </c>
      <c r="B671">
        <v>674</v>
      </c>
      <c r="C671" t="s">
        <v>2307</v>
      </c>
      <c r="D671" t="s">
        <v>1625</v>
      </c>
      <c r="E671" s="1">
        <v>45166.666666666664</v>
      </c>
      <c r="F671" t="s">
        <v>2308</v>
      </c>
      <c r="G671" t="s">
        <v>875</v>
      </c>
      <c r="H671" t="s">
        <v>2309</v>
      </c>
      <c r="I671">
        <v>18</v>
      </c>
      <c r="J671">
        <v>36</v>
      </c>
      <c r="K671" t="s">
        <v>2036</v>
      </c>
      <c r="L671">
        <v>2023</v>
      </c>
      <c r="M671">
        <v>8</v>
      </c>
      <c r="N671">
        <v>28</v>
      </c>
      <c r="O671">
        <v>16</v>
      </c>
    </row>
    <row r="672" spans="1:15" x14ac:dyDescent="0.25">
      <c r="A672">
        <v>671</v>
      </c>
      <c r="B672">
        <v>675</v>
      </c>
      <c r="C672" t="s">
        <v>2310</v>
      </c>
      <c r="D672" t="s">
        <v>389</v>
      </c>
      <c r="E672" s="1">
        <v>45167.572916666664</v>
      </c>
      <c r="F672" t="s">
        <v>2311</v>
      </c>
      <c r="G672" t="s">
        <v>27</v>
      </c>
      <c r="H672" t="s">
        <v>2312</v>
      </c>
      <c r="I672">
        <v>26</v>
      </c>
      <c r="J672">
        <v>48</v>
      </c>
      <c r="K672" t="s">
        <v>2041</v>
      </c>
      <c r="L672">
        <v>2023</v>
      </c>
      <c r="M672">
        <v>8</v>
      </c>
      <c r="N672">
        <v>29</v>
      </c>
      <c r="O672">
        <v>13</v>
      </c>
    </row>
    <row r="673" spans="1:15" x14ac:dyDescent="0.25">
      <c r="A673">
        <v>672</v>
      </c>
      <c r="B673">
        <v>676</v>
      </c>
      <c r="C673" t="s">
        <v>2313</v>
      </c>
      <c r="D673" t="s">
        <v>1625</v>
      </c>
      <c r="E673" s="1">
        <v>45168.729166666664</v>
      </c>
      <c r="F673" t="s">
        <v>2314</v>
      </c>
      <c r="G673" t="s">
        <v>32</v>
      </c>
      <c r="H673" t="s">
        <v>2315</v>
      </c>
      <c r="I673">
        <v>20</v>
      </c>
      <c r="J673">
        <v>40</v>
      </c>
      <c r="K673" t="s">
        <v>2036</v>
      </c>
      <c r="L673">
        <v>2023</v>
      </c>
      <c r="M673">
        <v>8</v>
      </c>
      <c r="N673">
        <v>30</v>
      </c>
      <c r="O673">
        <v>17</v>
      </c>
    </row>
    <row r="674" spans="1:15" x14ac:dyDescent="0.25">
      <c r="A674">
        <v>673</v>
      </c>
      <c r="B674">
        <v>677</v>
      </c>
      <c r="C674" t="s">
        <v>2316</v>
      </c>
      <c r="D674" t="s">
        <v>389</v>
      </c>
      <c r="E674" s="1">
        <v>45169.84375</v>
      </c>
      <c r="F674" t="s">
        <v>2317</v>
      </c>
      <c r="G674" t="s">
        <v>875</v>
      </c>
      <c r="H674" t="s">
        <v>2318</v>
      </c>
      <c r="I674">
        <v>24</v>
      </c>
      <c r="J674">
        <v>42</v>
      </c>
      <c r="K674" t="s">
        <v>2045</v>
      </c>
      <c r="L674">
        <v>2023</v>
      </c>
      <c r="M674">
        <v>8</v>
      </c>
      <c r="N674">
        <v>31</v>
      </c>
      <c r="O674">
        <v>20</v>
      </c>
    </row>
    <row r="675" spans="1:15" x14ac:dyDescent="0.25">
      <c r="A675">
        <v>674</v>
      </c>
      <c r="B675">
        <v>678</v>
      </c>
      <c r="C675" t="s">
        <v>2319</v>
      </c>
      <c r="D675" t="s">
        <v>1625</v>
      </c>
      <c r="E675" s="1">
        <v>45170.614583333336</v>
      </c>
      <c r="F675" t="s">
        <v>2320</v>
      </c>
      <c r="G675" t="s">
        <v>27</v>
      </c>
      <c r="H675" t="s">
        <v>2321</v>
      </c>
      <c r="I675">
        <v>21</v>
      </c>
      <c r="J675">
        <v>39</v>
      </c>
      <c r="K675" t="s">
        <v>2041</v>
      </c>
      <c r="L675">
        <v>2023</v>
      </c>
      <c r="M675">
        <v>9</v>
      </c>
      <c r="N675">
        <v>1</v>
      </c>
      <c r="O675">
        <v>14</v>
      </c>
    </row>
    <row r="676" spans="1:15" x14ac:dyDescent="0.25">
      <c r="A676">
        <v>675</v>
      </c>
      <c r="B676">
        <v>679</v>
      </c>
      <c r="C676" t="s">
        <v>2322</v>
      </c>
      <c r="D676" t="s">
        <v>2243</v>
      </c>
      <c r="E676" s="1">
        <v>45171.770833333336</v>
      </c>
      <c r="F676" t="s">
        <v>2323</v>
      </c>
      <c r="G676" t="s">
        <v>32</v>
      </c>
      <c r="H676" t="s">
        <v>2324</v>
      </c>
      <c r="I676">
        <v>17</v>
      </c>
      <c r="J676">
        <v>33</v>
      </c>
      <c r="K676" t="s">
        <v>2036</v>
      </c>
      <c r="L676">
        <v>2023</v>
      </c>
      <c r="M676">
        <v>9</v>
      </c>
      <c r="N676">
        <v>2</v>
      </c>
      <c r="O676">
        <v>18</v>
      </c>
    </row>
    <row r="677" spans="1:15" x14ac:dyDescent="0.25">
      <c r="A677">
        <v>676</v>
      </c>
      <c r="B677">
        <v>680</v>
      </c>
      <c r="C677" t="s">
        <v>2325</v>
      </c>
      <c r="D677" t="s">
        <v>389</v>
      </c>
      <c r="E677" s="1">
        <v>45172.916666666664</v>
      </c>
      <c r="F677" t="s">
        <v>2326</v>
      </c>
      <c r="G677" t="s">
        <v>875</v>
      </c>
      <c r="H677" t="s">
        <v>2327</v>
      </c>
      <c r="I677">
        <v>23</v>
      </c>
      <c r="J677">
        <v>44</v>
      </c>
      <c r="K677" t="s">
        <v>2045</v>
      </c>
      <c r="L677">
        <v>2023</v>
      </c>
      <c r="M677">
        <v>9</v>
      </c>
      <c r="N677">
        <v>3</v>
      </c>
      <c r="O677">
        <v>22</v>
      </c>
    </row>
    <row r="678" spans="1:15" x14ac:dyDescent="0.25">
      <c r="A678">
        <v>677</v>
      </c>
      <c r="B678">
        <v>681</v>
      </c>
      <c r="C678" t="s">
        <v>2328</v>
      </c>
      <c r="D678" t="s">
        <v>1625</v>
      </c>
      <c r="E678" s="1">
        <v>45173.635416666664</v>
      </c>
      <c r="F678" t="s">
        <v>2329</v>
      </c>
      <c r="G678" t="s">
        <v>27</v>
      </c>
      <c r="H678" t="s">
        <v>2330</v>
      </c>
      <c r="I678">
        <v>19</v>
      </c>
      <c r="J678">
        <v>37</v>
      </c>
      <c r="K678" t="s">
        <v>2036</v>
      </c>
      <c r="L678">
        <v>2023</v>
      </c>
      <c r="M678">
        <v>9</v>
      </c>
      <c r="N678">
        <v>4</v>
      </c>
      <c r="O678">
        <v>15</v>
      </c>
    </row>
    <row r="679" spans="1:15" x14ac:dyDescent="0.25">
      <c r="A679">
        <v>678</v>
      </c>
      <c r="B679">
        <v>682</v>
      </c>
      <c r="C679" t="s">
        <v>2331</v>
      </c>
      <c r="D679" t="s">
        <v>389</v>
      </c>
      <c r="E679" s="1">
        <v>45174.520833333336</v>
      </c>
      <c r="F679" t="s">
        <v>2332</v>
      </c>
      <c r="G679" t="s">
        <v>875</v>
      </c>
      <c r="H679" t="s">
        <v>2333</v>
      </c>
      <c r="I679">
        <v>27</v>
      </c>
      <c r="J679">
        <v>52</v>
      </c>
      <c r="K679" t="s">
        <v>2041</v>
      </c>
      <c r="L679">
        <v>2023</v>
      </c>
      <c r="M679">
        <v>9</v>
      </c>
      <c r="N679">
        <v>5</v>
      </c>
      <c r="O679">
        <v>12</v>
      </c>
    </row>
    <row r="680" spans="1:15" x14ac:dyDescent="0.25">
      <c r="A680">
        <v>679</v>
      </c>
      <c r="B680">
        <v>683</v>
      </c>
      <c r="C680" t="s">
        <v>2334</v>
      </c>
      <c r="D680" t="s">
        <v>1625</v>
      </c>
      <c r="E680" s="1">
        <v>45175.697916666664</v>
      </c>
      <c r="F680" t="s">
        <v>2335</v>
      </c>
      <c r="G680" t="s">
        <v>32</v>
      </c>
      <c r="H680" t="s">
        <v>2336</v>
      </c>
      <c r="I680">
        <v>22</v>
      </c>
      <c r="J680">
        <v>43</v>
      </c>
      <c r="K680" t="s">
        <v>2045</v>
      </c>
      <c r="L680">
        <v>2023</v>
      </c>
      <c r="M680">
        <v>9</v>
      </c>
      <c r="N680">
        <v>6</v>
      </c>
      <c r="O680">
        <v>16</v>
      </c>
    </row>
    <row r="681" spans="1:15" x14ac:dyDescent="0.25">
      <c r="A681">
        <v>680</v>
      </c>
      <c r="B681">
        <v>684</v>
      </c>
      <c r="C681" t="s">
        <v>2337</v>
      </c>
      <c r="D681" t="s">
        <v>389</v>
      </c>
      <c r="E681" s="1">
        <v>45176.763888888891</v>
      </c>
      <c r="F681" t="s">
        <v>2338</v>
      </c>
      <c r="G681" t="s">
        <v>27</v>
      </c>
      <c r="H681" t="s">
        <v>2339</v>
      </c>
      <c r="I681">
        <v>20</v>
      </c>
      <c r="J681">
        <v>39</v>
      </c>
      <c r="K681" t="s">
        <v>2036</v>
      </c>
      <c r="L681">
        <v>2023</v>
      </c>
      <c r="M681">
        <v>9</v>
      </c>
      <c r="N681">
        <v>7</v>
      </c>
      <c r="O681">
        <v>18</v>
      </c>
    </row>
    <row r="682" spans="1:15" x14ac:dyDescent="0.25">
      <c r="A682">
        <v>681</v>
      </c>
      <c r="B682">
        <v>685</v>
      </c>
      <c r="C682" t="s">
        <v>2340</v>
      </c>
      <c r="D682" t="s">
        <v>1625</v>
      </c>
      <c r="E682" s="1">
        <v>45177.59375</v>
      </c>
      <c r="F682" t="s">
        <v>2341</v>
      </c>
      <c r="G682" t="s">
        <v>32</v>
      </c>
      <c r="H682" t="s">
        <v>2342</v>
      </c>
      <c r="I682">
        <v>26</v>
      </c>
      <c r="J682">
        <v>48</v>
      </c>
      <c r="K682" t="s">
        <v>2041</v>
      </c>
      <c r="L682">
        <v>2023</v>
      </c>
      <c r="M682">
        <v>9</v>
      </c>
      <c r="N682">
        <v>8</v>
      </c>
      <c r="O682">
        <v>14</v>
      </c>
    </row>
    <row r="683" spans="1:15" x14ac:dyDescent="0.25">
      <c r="A683">
        <v>682</v>
      </c>
      <c r="B683">
        <v>686</v>
      </c>
      <c r="C683" t="s">
        <v>2343</v>
      </c>
      <c r="D683" t="s">
        <v>2243</v>
      </c>
      <c r="E683" s="1">
        <v>45178.729166666664</v>
      </c>
      <c r="F683" t="s">
        <v>2344</v>
      </c>
      <c r="G683" t="s">
        <v>875</v>
      </c>
      <c r="H683" t="s">
        <v>2345</v>
      </c>
      <c r="I683">
        <v>16</v>
      </c>
      <c r="J683">
        <v>32</v>
      </c>
      <c r="K683" t="s">
        <v>2036</v>
      </c>
      <c r="L683">
        <v>2023</v>
      </c>
      <c r="M683">
        <v>9</v>
      </c>
      <c r="N683">
        <v>9</v>
      </c>
      <c r="O683">
        <v>17</v>
      </c>
    </row>
    <row r="684" spans="1:15" x14ac:dyDescent="0.25">
      <c r="A684">
        <v>683</v>
      </c>
      <c r="B684">
        <v>687</v>
      </c>
      <c r="C684" t="s">
        <v>2346</v>
      </c>
      <c r="D684" t="s">
        <v>389</v>
      </c>
      <c r="E684" s="1">
        <v>45179.864583333336</v>
      </c>
      <c r="F684" t="s">
        <v>2347</v>
      </c>
      <c r="G684" t="s">
        <v>27</v>
      </c>
      <c r="H684" t="s">
        <v>2348</v>
      </c>
      <c r="I684">
        <v>23</v>
      </c>
      <c r="J684">
        <v>42</v>
      </c>
      <c r="K684" t="s">
        <v>2045</v>
      </c>
      <c r="L684">
        <v>2023</v>
      </c>
      <c r="M684">
        <v>9</v>
      </c>
      <c r="N684">
        <v>10</v>
      </c>
      <c r="O684">
        <v>20</v>
      </c>
    </row>
    <row r="685" spans="1:15" x14ac:dyDescent="0.25">
      <c r="A685">
        <v>684</v>
      </c>
      <c r="B685">
        <v>688</v>
      </c>
      <c r="C685" t="s">
        <v>2349</v>
      </c>
      <c r="D685" t="s">
        <v>2350</v>
      </c>
      <c r="E685" s="1">
        <v>45180.65625</v>
      </c>
      <c r="F685" t="s">
        <v>2351</v>
      </c>
      <c r="G685" t="s">
        <v>875</v>
      </c>
      <c r="H685" t="s">
        <v>2352</v>
      </c>
      <c r="I685">
        <v>15</v>
      </c>
      <c r="J685">
        <v>28</v>
      </c>
      <c r="K685" t="s">
        <v>2036</v>
      </c>
      <c r="L685">
        <v>2023</v>
      </c>
      <c r="M685">
        <v>9</v>
      </c>
      <c r="N685">
        <v>11</v>
      </c>
      <c r="O685">
        <v>15</v>
      </c>
    </row>
    <row r="686" spans="1:15" x14ac:dyDescent="0.25">
      <c r="A686">
        <v>685</v>
      </c>
      <c r="B686">
        <v>689</v>
      </c>
      <c r="C686" t="s">
        <v>2353</v>
      </c>
      <c r="D686" t="s">
        <v>2354</v>
      </c>
      <c r="E686" s="1">
        <v>45181.520833333336</v>
      </c>
      <c r="F686" t="s">
        <v>2355</v>
      </c>
      <c r="G686" t="s">
        <v>27</v>
      </c>
      <c r="H686" t="s">
        <v>2356</v>
      </c>
      <c r="I686">
        <v>18</v>
      </c>
      <c r="J686">
        <v>36</v>
      </c>
      <c r="K686" t="s">
        <v>2041</v>
      </c>
      <c r="L686">
        <v>2023</v>
      </c>
      <c r="M686">
        <v>9</v>
      </c>
      <c r="N686">
        <v>12</v>
      </c>
      <c r="O686">
        <v>12</v>
      </c>
    </row>
    <row r="687" spans="1:15" x14ac:dyDescent="0.25">
      <c r="A687">
        <v>686</v>
      </c>
      <c r="B687">
        <v>690</v>
      </c>
      <c r="C687" t="s">
        <v>2357</v>
      </c>
      <c r="D687" t="s">
        <v>2358</v>
      </c>
      <c r="E687" s="1">
        <v>45182.697916666664</v>
      </c>
      <c r="F687" t="s">
        <v>2359</v>
      </c>
      <c r="G687" t="s">
        <v>32</v>
      </c>
      <c r="H687" t="s">
        <v>2360</v>
      </c>
      <c r="I687">
        <v>20</v>
      </c>
      <c r="J687">
        <v>40</v>
      </c>
      <c r="K687" t="s">
        <v>2045</v>
      </c>
      <c r="L687">
        <v>2023</v>
      </c>
      <c r="M687">
        <v>9</v>
      </c>
      <c r="N687">
        <v>13</v>
      </c>
      <c r="O687">
        <v>16</v>
      </c>
    </row>
    <row r="688" spans="1:15" x14ac:dyDescent="0.25">
      <c r="A688">
        <v>687</v>
      </c>
      <c r="B688">
        <v>691</v>
      </c>
      <c r="C688" t="s">
        <v>2361</v>
      </c>
      <c r="D688" t="s">
        <v>2350</v>
      </c>
      <c r="E688" s="1">
        <v>45183.763888888891</v>
      </c>
      <c r="F688" t="s">
        <v>2362</v>
      </c>
      <c r="G688" t="s">
        <v>875</v>
      </c>
      <c r="H688" t="s">
        <v>2363</v>
      </c>
      <c r="I688">
        <v>17</v>
      </c>
      <c r="J688">
        <v>34</v>
      </c>
      <c r="K688" t="s">
        <v>2036</v>
      </c>
      <c r="L688">
        <v>2023</v>
      </c>
      <c r="M688">
        <v>9</v>
      </c>
      <c r="N688">
        <v>14</v>
      </c>
      <c r="O688">
        <v>18</v>
      </c>
    </row>
    <row r="689" spans="1:15" x14ac:dyDescent="0.25">
      <c r="A689">
        <v>688</v>
      </c>
      <c r="B689">
        <v>692</v>
      </c>
      <c r="C689" t="s">
        <v>2364</v>
      </c>
      <c r="D689" t="s">
        <v>2354</v>
      </c>
      <c r="E689" s="1">
        <v>45184.59375</v>
      </c>
      <c r="F689" t="s">
        <v>2365</v>
      </c>
      <c r="G689" t="s">
        <v>27</v>
      </c>
      <c r="H689" t="s">
        <v>2366</v>
      </c>
      <c r="I689">
        <v>21</v>
      </c>
      <c r="J689">
        <v>41</v>
      </c>
      <c r="K689" t="s">
        <v>2041</v>
      </c>
      <c r="L689">
        <v>2023</v>
      </c>
      <c r="M689">
        <v>9</v>
      </c>
      <c r="N689">
        <v>15</v>
      </c>
      <c r="O689">
        <v>14</v>
      </c>
    </row>
    <row r="690" spans="1:15" x14ac:dyDescent="0.25">
      <c r="A690">
        <v>689</v>
      </c>
      <c r="B690">
        <v>693</v>
      </c>
      <c r="C690" t="s">
        <v>2367</v>
      </c>
      <c r="D690" t="s">
        <v>2358</v>
      </c>
      <c r="E690" s="1">
        <v>45185.729166666664</v>
      </c>
      <c r="F690" t="s">
        <v>2368</v>
      </c>
      <c r="G690" t="s">
        <v>32</v>
      </c>
      <c r="H690" t="s">
        <v>2369</v>
      </c>
      <c r="I690">
        <v>19</v>
      </c>
      <c r="J690">
        <v>38</v>
      </c>
      <c r="K690" t="s">
        <v>2045</v>
      </c>
      <c r="L690">
        <v>2023</v>
      </c>
      <c r="M690">
        <v>9</v>
      </c>
      <c r="N690">
        <v>16</v>
      </c>
      <c r="O690">
        <v>17</v>
      </c>
    </row>
    <row r="691" spans="1:15" x14ac:dyDescent="0.25">
      <c r="A691">
        <v>690</v>
      </c>
      <c r="B691">
        <v>694</v>
      </c>
      <c r="C691" t="s">
        <v>2370</v>
      </c>
      <c r="D691" t="s">
        <v>2350</v>
      </c>
      <c r="E691" s="1">
        <v>45186.864583333336</v>
      </c>
      <c r="F691" t="s">
        <v>2371</v>
      </c>
      <c r="G691" t="s">
        <v>875</v>
      </c>
      <c r="H691" t="s">
        <v>2372</v>
      </c>
      <c r="I691">
        <v>22</v>
      </c>
      <c r="J691">
        <v>44</v>
      </c>
      <c r="K691" t="s">
        <v>2036</v>
      </c>
      <c r="L691">
        <v>2023</v>
      </c>
      <c r="M691">
        <v>9</v>
      </c>
      <c r="N691">
        <v>17</v>
      </c>
      <c r="O691">
        <v>20</v>
      </c>
    </row>
    <row r="692" spans="1:15" x14ac:dyDescent="0.25">
      <c r="A692">
        <v>691</v>
      </c>
      <c r="B692">
        <v>695</v>
      </c>
      <c r="C692" t="s">
        <v>2373</v>
      </c>
      <c r="D692" t="s">
        <v>2350</v>
      </c>
      <c r="E692" s="1">
        <v>45187.916666666664</v>
      </c>
      <c r="F692" t="s">
        <v>2374</v>
      </c>
      <c r="G692" t="s">
        <v>27</v>
      </c>
      <c r="H692" t="s">
        <v>2375</v>
      </c>
      <c r="I692">
        <v>16</v>
      </c>
      <c r="J692">
        <v>31</v>
      </c>
      <c r="K692" t="s">
        <v>2041</v>
      </c>
      <c r="L692">
        <v>2023</v>
      </c>
      <c r="M692">
        <v>9</v>
      </c>
      <c r="N692">
        <v>18</v>
      </c>
      <c r="O692">
        <v>22</v>
      </c>
    </row>
    <row r="693" spans="1:15" x14ac:dyDescent="0.25">
      <c r="A693">
        <v>692</v>
      </c>
      <c r="B693">
        <v>696</v>
      </c>
      <c r="C693" t="s">
        <v>2376</v>
      </c>
      <c r="D693" t="s">
        <v>2354</v>
      </c>
      <c r="E693" s="1">
        <v>45188.635416666664</v>
      </c>
      <c r="F693" t="s">
        <v>2377</v>
      </c>
      <c r="G693" t="s">
        <v>32</v>
      </c>
      <c r="H693" t="s">
        <v>2378</v>
      </c>
      <c r="I693">
        <v>14</v>
      </c>
      <c r="J693">
        <v>27</v>
      </c>
      <c r="K693" t="s">
        <v>2045</v>
      </c>
      <c r="L693">
        <v>2023</v>
      </c>
      <c r="M693">
        <v>9</v>
      </c>
      <c r="N693">
        <v>19</v>
      </c>
      <c r="O693">
        <v>15</v>
      </c>
    </row>
    <row r="694" spans="1:15" x14ac:dyDescent="0.25">
      <c r="A694">
        <v>693</v>
      </c>
      <c r="B694">
        <v>697</v>
      </c>
      <c r="C694" t="s">
        <v>2379</v>
      </c>
      <c r="D694" t="s">
        <v>2358</v>
      </c>
      <c r="E694" s="1">
        <v>45189.520833333336</v>
      </c>
      <c r="F694" t="s">
        <v>2380</v>
      </c>
      <c r="G694" t="s">
        <v>875</v>
      </c>
      <c r="H694" t="s">
        <v>2381</v>
      </c>
      <c r="I694">
        <v>18</v>
      </c>
      <c r="J694">
        <v>35</v>
      </c>
      <c r="K694" t="s">
        <v>2036</v>
      </c>
      <c r="L694">
        <v>2023</v>
      </c>
      <c r="M694">
        <v>9</v>
      </c>
      <c r="N694">
        <v>20</v>
      </c>
      <c r="O694">
        <v>12</v>
      </c>
    </row>
    <row r="695" spans="1:15" x14ac:dyDescent="0.25">
      <c r="A695">
        <v>694</v>
      </c>
      <c r="B695">
        <v>698</v>
      </c>
      <c r="C695" t="s">
        <v>2382</v>
      </c>
      <c r="D695" t="s">
        <v>2350</v>
      </c>
      <c r="E695" s="1">
        <v>45190.697916666664</v>
      </c>
      <c r="F695" t="s">
        <v>2383</v>
      </c>
      <c r="G695" t="s">
        <v>27</v>
      </c>
      <c r="H695" t="s">
        <v>2384</v>
      </c>
      <c r="I695">
        <v>20</v>
      </c>
      <c r="J695">
        <v>39</v>
      </c>
      <c r="K695" t="s">
        <v>2041</v>
      </c>
      <c r="L695">
        <v>2023</v>
      </c>
      <c r="M695">
        <v>9</v>
      </c>
      <c r="N695">
        <v>21</v>
      </c>
      <c r="O695">
        <v>16</v>
      </c>
    </row>
    <row r="696" spans="1:15" x14ac:dyDescent="0.25">
      <c r="A696">
        <v>695</v>
      </c>
      <c r="B696">
        <v>699</v>
      </c>
      <c r="C696" t="s">
        <v>2385</v>
      </c>
      <c r="D696" t="s">
        <v>2354</v>
      </c>
      <c r="E696" s="1">
        <v>45191.763888888891</v>
      </c>
      <c r="F696" t="s">
        <v>2386</v>
      </c>
      <c r="G696" t="s">
        <v>32</v>
      </c>
      <c r="H696" t="s">
        <v>2387</v>
      </c>
      <c r="I696">
        <v>23</v>
      </c>
      <c r="J696">
        <v>46</v>
      </c>
      <c r="K696" t="s">
        <v>2045</v>
      </c>
      <c r="L696">
        <v>2023</v>
      </c>
      <c r="M696">
        <v>9</v>
      </c>
      <c r="N696">
        <v>22</v>
      </c>
      <c r="O696">
        <v>18</v>
      </c>
    </row>
    <row r="697" spans="1:15" x14ac:dyDescent="0.25">
      <c r="A697">
        <v>696</v>
      </c>
      <c r="B697">
        <v>700</v>
      </c>
      <c r="C697" t="s">
        <v>2388</v>
      </c>
      <c r="D697" t="s">
        <v>2358</v>
      </c>
      <c r="E697" s="1">
        <v>45192.59375</v>
      </c>
      <c r="F697" t="s">
        <v>2389</v>
      </c>
      <c r="G697" t="s">
        <v>875</v>
      </c>
      <c r="H697" t="s">
        <v>2390</v>
      </c>
      <c r="I697">
        <v>25</v>
      </c>
      <c r="J697">
        <v>50</v>
      </c>
      <c r="K697" t="s">
        <v>2036</v>
      </c>
      <c r="L697">
        <v>2023</v>
      </c>
      <c r="M697">
        <v>9</v>
      </c>
      <c r="N697">
        <v>23</v>
      </c>
      <c r="O697">
        <v>14</v>
      </c>
    </row>
    <row r="698" spans="1:15" x14ac:dyDescent="0.25">
      <c r="A698">
        <v>697</v>
      </c>
      <c r="B698">
        <v>701</v>
      </c>
      <c r="C698" t="s">
        <v>2391</v>
      </c>
      <c r="D698" t="s">
        <v>2350</v>
      </c>
      <c r="E698" s="1">
        <v>45193.729166666664</v>
      </c>
      <c r="F698" t="s">
        <v>2392</v>
      </c>
      <c r="G698" t="s">
        <v>27</v>
      </c>
      <c r="H698" t="s">
        <v>2393</v>
      </c>
      <c r="I698">
        <v>21</v>
      </c>
      <c r="J698">
        <v>42</v>
      </c>
      <c r="K698" t="s">
        <v>2041</v>
      </c>
      <c r="L698">
        <v>2023</v>
      </c>
      <c r="M698">
        <v>9</v>
      </c>
      <c r="N698">
        <v>24</v>
      </c>
      <c r="O698">
        <v>17</v>
      </c>
    </row>
    <row r="699" spans="1:15" x14ac:dyDescent="0.25">
      <c r="A699">
        <v>698</v>
      </c>
      <c r="B699">
        <v>702</v>
      </c>
      <c r="C699" t="s">
        <v>2394</v>
      </c>
      <c r="D699" t="s">
        <v>2350</v>
      </c>
      <c r="E699" s="1">
        <v>45194.864583333336</v>
      </c>
      <c r="F699" t="s">
        <v>2395</v>
      </c>
      <c r="G699" t="s">
        <v>32</v>
      </c>
      <c r="H699" t="s">
        <v>2396</v>
      </c>
      <c r="I699">
        <v>19</v>
      </c>
      <c r="J699">
        <v>37</v>
      </c>
      <c r="K699" t="s">
        <v>2045</v>
      </c>
      <c r="L699">
        <v>2023</v>
      </c>
      <c r="M699">
        <v>9</v>
      </c>
      <c r="N699">
        <v>25</v>
      </c>
      <c r="O699">
        <v>20</v>
      </c>
    </row>
    <row r="700" spans="1:15" x14ac:dyDescent="0.25">
      <c r="A700">
        <v>699</v>
      </c>
      <c r="B700">
        <v>703</v>
      </c>
      <c r="C700" t="s">
        <v>2397</v>
      </c>
      <c r="D700" t="s">
        <v>2354</v>
      </c>
      <c r="E700" s="1">
        <v>45195.59375</v>
      </c>
      <c r="F700" t="s">
        <v>2398</v>
      </c>
      <c r="G700" t="s">
        <v>875</v>
      </c>
      <c r="H700" t="s">
        <v>2399</v>
      </c>
      <c r="I700">
        <v>16</v>
      </c>
      <c r="J700">
        <v>32</v>
      </c>
      <c r="K700" t="s">
        <v>2036</v>
      </c>
      <c r="L700">
        <v>2023</v>
      </c>
      <c r="M700">
        <v>9</v>
      </c>
      <c r="N700">
        <v>26</v>
      </c>
      <c r="O700">
        <v>14</v>
      </c>
    </row>
    <row r="701" spans="1:15" x14ac:dyDescent="0.25">
      <c r="A701">
        <v>700</v>
      </c>
      <c r="B701">
        <v>704</v>
      </c>
      <c r="C701" t="s">
        <v>2400</v>
      </c>
      <c r="D701" t="s">
        <v>2358</v>
      </c>
      <c r="E701" s="1">
        <v>45196.729166666664</v>
      </c>
      <c r="F701" t="s">
        <v>2401</v>
      </c>
      <c r="G701" t="s">
        <v>27</v>
      </c>
      <c r="H701" t="s">
        <v>2402</v>
      </c>
      <c r="I701">
        <v>18</v>
      </c>
      <c r="J701">
        <v>36</v>
      </c>
      <c r="K701" t="s">
        <v>2041</v>
      </c>
      <c r="L701">
        <v>2023</v>
      </c>
      <c r="M701">
        <v>9</v>
      </c>
      <c r="N701">
        <v>27</v>
      </c>
      <c r="O701">
        <v>17</v>
      </c>
    </row>
    <row r="702" spans="1:15" x14ac:dyDescent="0.25">
      <c r="A702">
        <v>701</v>
      </c>
      <c r="B702">
        <v>705</v>
      </c>
      <c r="C702" t="s">
        <v>2403</v>
      </c>
      <c r="D702" t="s">
        <v>2350</v>
      </c>
      <c r="E702" s="1">
        <v>45197.916666666664</v>
      </c>
      <c r="F702" t="s">
        <v>2404</v>
      </c>
      <c r="G702" t="s">
        <v>32</v>
      </c>
      <c r="H702" t="s">
        <v>2405</v>
      </c>
      <c r="I702">
        <v>21</v>
      </c>
      <c r="J702">
        <v>41</v>
      </c>
      <c r="K702" t="s">
        <v>2045</v>
      </c>
      <c r="L702">
        <v>2023</v>
      </c>
      <c r="M702">
        <v>9</v>
      </c>
      <c r="N702">
        <v>28</v>
      </c>
      <c r="O702">
        <v>22</v>
      </c>
    </row>
    <row r="703" spans="1:15" x14ac:dyDescent="0.25">
      <c r="A703">
        <v>702</v>
      </c>
      <c r="B703">
        <v>706</v>
      </c>
      <c r="C703" t="s">
        <v>2406</v>
      </c>
      <c r="D703" t="s">
        <v>2354</v>
      </c>
      <c r="E703" s="1">
        <v>45198.65625</v>
      </c>
      <c r="F703" t="s">
        <v>2407</v>
      </c>
      <c r="G703" t="s">
        <v>875</v>
      </c>
      <c r="H703" t="s">
        <v>2408</v>
      </c>
      <c r="I703">
        <v>24</v>
      </c>
      <c r="J703">
        <v>48</v>
      </c>
      <c r="K703" t="s">
        <v>2036</v>
      </c>
      <c r="L703">
        <v>2023</v>
      </c>
      <c r="M703">
        <v>9</v>
      </c>
      <c r="N703">
        <v>29</v>
      </c>
      <c r="O703">
        <v>15</v>
      </c>
    </row>
    <row r="704" spans="1:15" x14ac:dyDescent="0.25">
      <c r="A704">
        <v>703</v>
      </c>
      <c r="B704">
        <v>707</v>
      </c>
      <c r="C704" t="s">
        <v>2409</v>
      </c>
      <c r="D704" t="s">
        <v>2358</v>
      </c>
      <c r="E704" s="1">
        <v>45199.763888888891</v>
      </c>
      <c r="F704" t="s">
        <v>2410</v>
      </c>
      <c r="G704" t="s">
        <v>27</v>
      </c>
      <c r="H704" t="s">
        <v>2411</v>
      </c>
      <c r="I704">
        <v>22</v>
      </c>
      <c r="J704">
        <v>43</v>
      </c>
      <c r="K704" t="s">
        <v>2041</v>
      </c>
      <c r="L704">
        <v>2023</v>
      </c>
      <c r="M704">
        <v>9</v>
      </c>
      <c r="N704">
        <v>30</v>
      </c>
      <c r="O704">
        <v>18</v>
      </c>
    </row>
    <row r="705" spans="1:15" x14ac:dyDescent="0.25">
      <c r="A705">
        <v>704</v>
      </c>
      <c r="B705">
        <v>708</v>
      </c>
      <c r="C705" t="s">
        <v>2412</v>
      </c>
      <c r="D705" t="s">
        <v>2350</v>
      </c>
      <c r="E705" s="1">
        <v>45200.59375</v>
      </c>
      <c r="F705" t="s">
        <v>2413</v>
      </c>
      <c r="G705" t="s">
        <v>32</v>
      </c>
      <c r="H705" t="s">
        <v>2414</v>
      </c>
      <c r="I705">
        <v>20</v>
      </c>
      <c r="J705">
        <v>39</v>
      </c>
      <c r="K705" t="s">
        <v>2045</v>
      </c>
      <c r="L705">
        <v>2023</v>
      </c>
      <c r="M705">
        <v>10</v>
      </c>
      <c r="N705">
        <v>1</v>
      </c>
      <c r="O705">
        <v>14</v>
      </c>
    </row>
    <row r="706" spans="1:15" x14ac:dyDescent="0.25">
      <c r="A706">
        <v>705</v>
      </c>
      <c r="B706">
        <v>709</v>
      </c>
      <c r="C706" t="s">
        <v>2415</v>
      </c>
      <c r="D706" t="s">
        <v>2416</v>
      </c>
      <c r="E706" s="1">
        <v>45201.697916666664</v>
      </c>
      <c r="F706" t="s">
        <v>2417</v>
      </c>
      <c r="G706" t="s">
        <v>27</v>
      </c>
      <c r="H706" t="s">
        <v>2418</v>
      </c>
      <c r="I706">
        <v>23</v>
      </c>
      <c r="J706">
        <v>42</v>
      </c>
      <c r="K706" t="s">
        <v>2036</v>
      </c>
      <c r="L706">
        <v>2023</v>
      </c>
      <c r="M706">
        <v>10</v>
      </c>
      <c r="N706">
        <v>2</v>
      </c>
      <c r="O706">
        <v>16</v>
      </c>
    </row>
    <row r="707" spans="1:15" x14ac:dyDescent="0.25">
      <c r="A707">
        <v>706</v>
      </c>
      <c r="B707">
        <v>710</v>
      </c>
      <c r="C707" t="s">
        <v>2419</v>
      </c>
      <c r="D707" t="s">
        <v>2416</v>
      </c>
      <c r="E707" s="1">
        <v>45202.520833333336</v>
      </c>
      <c r="F707" t="s">
        <v>2420</v>
      </c>
      <c r="G707" t="s">
        <v>875</v>
      </c>
      <c r="H707" t="s">
        <v>2421</v>
      </c>
      <c r="I707">
        <v>26</v>
      </c>
      <c r="J707">
        <v>50</v>
      </c>
      <c r="K707" t="s">
        <v>2041</v>
      </c>
      <c r="L707">
        <v>2023</v>
      </c>
      <c r="M707">
        <v>10</v>
      </c>
      <c r="N707">
        <v>3</v>
      </c>
      <c r="O707">
        <v>12</v>
      </c>
    </row>
    <row r="708" spans="1:15" x14ac:dyDescent="0.25">
      <c r="A708">
        <v>707</v>
      </c>
      <c r="B708">
        <v>711</v>
      </c>
      <c r="C708" t="s">
        <v>2422</v>
      </c>
      <c r="D708" t="s">
        <v>2416</v>
      </c>
      <c r="E708" s="1">
        <v>45203.763888888891</v>
      </c>
      <c r="F708" t="s">
        <v>2423</v>
      </c>
      <c r="G708" t="s">
        <v>32</v>
      </c>
      <c r="H708" t="s">
        <v>2424</v>
      </c>
      <c r="I708">
        <v>19</v>
      </c>
      <c r="J708">
        <v>38</v>
      </c>
      <c r="K708" t="s">
        <v>2045</v>
      </c>
      <c r="L708">
        <v>2023</v>
      </c>
      <c r="M708">
        <v>10</v>
      </c>
      <c r="N708">
        <v>4</v>
      </c>
      <c r="O708">
        <v>18</v>
      </c>
    </row>
    <row r="709" spans="1:15" x14ac:dyDescent="0.25">
      <c r="A709">
        <v>708</v>
      </c>
      <c r="B709">
        <v>712</v>
      </c>
      <c r="C709" t="s">
        <v>2425</v>
      </c>
      <c r="D709" t="s">
        <v>2416</v>
      </c>
      <c r="E709" s="1">
        <v>45204.59375</v>
      </c>
      <c r="F709" t="s">
        <v>2426</v>
      </c>
      <c r="G709" t="s">
        <v>27</v>
      </c>
      <c r="H709" t="s">
        <v>2427</v>
      </c>
      <c r="I709">
        <v>21</v>
      </c>
      <c r="J709">
        <v>43</v>
      </c>
      <c r="K709" t="s">
        <v>2036</v>
      </c>
      <c r="L709">
        <v>2023</v>
      </c>
      <c r="M709">
        <v>10</v>
      </c>
      <c r="N709">
        <v>5</v>
      </c>
      <c r="O709">
        <v>14</v>
      </c>
    </row>
    <row r="710" spans="1:15" x14ac:dyDescent="0.25">
      <c r="A710">
        <v>709</v>
      </c>
      <c r="B710">
        <v>713</v>
      </c>
      <c r="C710" t="s">
        <v>2428</v>
      </c>
      <c r="D710" t="s">
        <v>2416</v>
      </c>
      <c r="E710" s="1">
        <v>45205.729166666664</v>
      </c>
      <c r="F710" t="s">
        <v>2429</v>
      </c>
      <c r="G710" t="s">
        <v>875</v>
      </c>
      <c r="H710" t="s">
        <v>2430</v>
      </c>
      <c r="I710">
        <v>18</v>
      </c>
      <c r="J710">
        <v>36</v>
      </c>
      <c r="K710" t="s">
        <v>2041</v>
      </c>
      <c r="L710">
        <v>2023</v>
      </c>
      <c r="M710">
        <v>10</v>
      </c>
      <c r="N710">
        <v>6</v>
      </c>
      <c r="O710">
        <v>17</v>
      </c>
    </row>
    <row r="711" spans="1:15" x14ac:dyDescent="0.25">
      <c r="A711">
        <v>710</v>
      </c>
      <c r="B711">
        <v>714</v>
      </c>
      <c r="C711" t="s">
        <v>2431</v>
      </c>
      <c r="D711" t="s">
        <v>2416</v>
      </c>
      <c r="E711" s="1">
        <v>45206.864583333336</v>
      </c>
      <c r="F711" t="s">
        <v>2432</v>
      </c>
      <c r="G711" t="s">
        <v>27</v>
      </c>
      <c r="H711" t="s">
        <v>2433</v>
      </c>
      <c r="I711">
        <v>22</v>
      </c>
      <c r="J711">
        <v>45</v>
      </c>
      <c r="K711" t="s">
        <v>2045</v>
      </c>
      <c r="L711">
        <v>2023</v>
      </c>
      <c r="M711">
        <v>10</v>
      </c>
      <c r="N711">
        <v>7</v>
      </c>
      <c r="O711">
        <v>20</v>
      </c>
    </row>
    <row r="712" spans="1:15" x14ac:dyDescent="0.25">
      <c r="A712">
        <v>711</v>
      </c>
      <c r="B712">
        <v>715</v>
      </c>
      <c r="C712" t="s">
        <v>2434</v>
      </c>
      <c r="D712" t="s">
        <v>2416</v>
      </c>
      <c r="E712" s="1">
        <v>45207.635416666664</v>
      </c>
      <c r="F712" t="s">
        <v>2435</v>
      </c>
      <c r="G712" t="s">
        <v>32</v>
      </c>
      <c r="H712" t="s">
        <v>2436</v>
      </c>
      <c r="I712">
        <v>24</v>
      </c>
      <c r="J712">
        <v>48</v>
      </c>
      <c r="K712" t="s">
        <v>2036</v>
      </c>
      <c r="L712">
        <v>2023</v>
      </c>
      <c r="M712">
        <v>10</v>
      </c>
      <c r="N712">
        <v>8</v>
      </c>
      <c r="O712">
        <v>15</v>
      </c>
    </row>
    <row r="713" spans="1:15" x14ac:dyDescent="0.25">
      <c r="A713">
        <v>712</v>
      </c>
      <c r="B713">
        <v>716</v>
      </c>
      <c r="C713" t="s">
        <v>2437</v>
      </c>
      <c r="D713" t="s">
        <v>2416</v>
      </c>
      <c r="E713" s="1">
        <v>45208.916666666664</v>
      </c>
      <c r="F713" t="s">
        <v>2438</v>
      </c>
      <c r="G713" t="s">
        <v>875</v>
      </c>
      <c r="H713" t="s">
        <v>2439</v>
      </c>
      <c r="I713">
        <v>20</v>
      </c>
      <c r="J713">
        <v>40</v>
      </c>
      <c r="K713" t="s">
        <v>2041</v>
      </c>
      <c r="L713">
        <v>2023</v>
      </c>
      <c r="M713">
        <v>10</v>
      </c>
      <c r="N713">
        <v>9</v>
      </c>
      <c r="O713">
        <v>22</v>
      </c>
    </row>
    <row r="714" spans="1:15" x14ac:dyDescent="0.25">
      <c r="A714">
        <v>713</v>
      </c>
      <c r="B714">
        <v>717</v>
      </c>
      <c r="C714" t="s">
        <v>2440</v>
      </c>
      <c r="D714" t="s">
        <v>2416</v>
      </c>
      <c r="E714" s="1">
        <v>45209.59375</v>
      </c>
      <c r="F714" t="s">
        <v>2441</v>
      </c>
      <c r="G714" t="s">
        <v>27</v>
      </c>
      <c r="H714" t="s">
        <v>2442</v>
      </c>
      <c r="I714">
        <v>25</v>
      </c>
      <c r="J714">
        <v>49</v>
      </c>
      <c r="K714" t="s">
        <v>2045</v>
      </c>
      <c r="L714">
        <v>2023</v>
      </c>
      <c r="M714">
        <v>10</v>
      </c>
      <c r="N714">
        <v>10</v>
      </c>
      <c r="O714">
        <v>14</v>
      </c>
    </row>
    <row r="715" spans="1:15" x14ac:dyDescent="0.25">
      <c r="A715">
        <v>714</v>
      </c>
      <c r="B715">
        <v>718</v>
      </c>
      <c r="C715" t="s">
        <v>2443</v>
      </c>
      <c r="D715" t="s">
        <v>2416</v>
      </c>
      <c r="E715" s="1">
        <v>45210.697916666664</v>
      </c>
      <c r="F715" t="s">
        <v>2444</v>
      </c>
      <c r="G715" t="s">
        <v>32</v>
      </c>
      <c r="H715" t="s">
        <v>2445</v>
      </c>
      <c r="I715">
        <v>19</v>
      </c>
      <c r="J715">
        <v>37</v>
      </c>
      <c r="K715" t="s">
        <v>2036</v>
      </c>
      <c r="L715">
        <v>2023</v>
      </c>
      <c r="M715">
        <v>10</v>
      </c>
      <c r="N715">
        <v>11</v>
      </c>
      <c r="O715">
        <v>16</v>
      </c>
    </row>
    <row r="716" spans="1:15" x14ac:dyDescent="0.25">
      <c r="A716">
        <v>715</v>
      </c>
      <c r="B716">
        <v>719</v>
      </c>
      <c r="C716" t="s">
        <v>2446</v>
      </c>
      <c r="D716" t="s">
        <v>2416</v>
      </c>
      <c r="E716" s="1">
        <v>45211.763888888891</v>
      </c>
      <c r="F716" t="s">
        <v>2447</v>
      </c>
      <c r="G716" t="s">
        <v>875</v>
      </c>
      <c r="H716" t="s">
        <v>2448</v>
      </c>
      <c r="I716">
        <v>23</v>
      </c>
      <c r="J716">
        <v>44</v>
      </c>
      <c r="K716" t="s">
        <v>2041</v>
      </c>
      <c r="L716">
        <v>2023</v>
      </c>
      <c r="M716">
        <v>10</v>
      </c>
      <c r="N716">
        <v>12</v>
      </c>
      <c r="O716">
        <v>18</v>
      </c>
    </row>
    <row r="717" spans="1:15" x14ac:dyDescent="0.25">
      <c r="A717">
        <v>716</v>
      </c>
      <c r="B717">
        <v>720</v>
      </c>
      <c r="C717" t="s">
        <v>2449</v>
      </c>
      <c r="D717" t="s">
        <v>2416</v>
      </c>
      <c r="E717" s="1">
        <v>45212.520833333336</v>
      </c>
      <c r="F717" t="s">
        <v>2450</v>
      </c>
      <c r="G717" t="s">
        <v>27</v>
      </c>
      <c r="H717" t="s">
        <v>2451</v>
      </c>
      <c r="I717">
        <v>20</v>
      </c>
      <c r="J717">
        <v>39</v>
      </c>
      <c r="K717" t="s">
        <v>2045</v>
      </c>
      <c r="L717">
        <v>2023</v>
      </c>
      <c r="M717">
        <v>10</v>
      </c>
      <c r="N717">
        <v>13</v>
      </c>
      <c r="O717">
        <v>12</v>
      </c>
    </row>
    <row r="718" spans="1:15" x14ac:dyDescent="0.25">
      <c r="A718">
        <v>717</v>
      </c>
      <c r="B718">
        <v>721</v>
      </c>
      <c r="C718" t="s">
        <v>2452</v>
      </c>
      <c r="D718" t="s">
        <v>2416</v>
      </c>
      <c r="E718" s="1">
        <v>45213.729166666664</v>
      </c>
      <c r="F718" t="s">
        <v>2453</v>
      </c>
      <c r="G718" t="s">
        <v>32</v>
      </c>
      <c r="H718" t="s">
        <v>2454</v>
      </c>
      <c r="I718">
        <v>18</v>
      </c>
      <c r="J718">
        <v>35</v>
      </c>
      <c r="K718" t="s">
        <v>2036</v>
      </c>
      <c r="L718">
        <v>2023</v>
      </c>
      <c r="M718">
        <v>10</v>
      </c>
      <c r="N718">
        <v>14</v>
      </c>
      <c r="O718">
        <v>17</v>
      </c>
    </row>
    <row r="719" spans="1:15" x14ac:dyDescent="0.25">
      <c r="A719">
        <v>718</v>
      </c>
      <c r="B719">
        <v>722</v>
      </c>
      <c r="C719" t="s">
        <v>2455</v>
      </c>
      <c r="D719" t="s">
        <v>2416</v>
      </c>
      <c r="E719" s="1">
        <v>45214.864583333336</v>
      </c>
      <c r="F719" t="s">
        <v>2456</v>
      </c>
      <c r="G719" t="s">
        <v>875</v>
      </c>
      <c r="H719" t="s">
        <v>2457</v>
      </c>
      <c r="I719">
        <v>22</v>
      </c>
      <c r="J719">
        <v>43</v>
      </c>
      <c r="K719" t="s">
        <v>2041</v>
      </c>
      <c r="L719">
        <v>2023</v>
      </c>
      <c r="M719">
        <v>10</v>
      </c>
      <c r="N719">
        <v>15</v>
      </c>
      <c r="O719">
        <v>20</v>
      </c>
    </row>
    <row r="720" spans="1:15" x14ac:dyDescent="0.25">
      <c r="A720">
        <v>719</v>
      </c>
      <c r="B720">
        <v>723</v>
      </c>
      <c r="C720" t="s">
        <v>2458</v>
      </c>
      <c r="D720" t="s">
        <v>2459</v>
      </c>
      <c r="E720" s="1">
        <v>45215.65625</v>
      </c>
      <c r="F720" t="s">
        <v>2460</v>
      </c>
      <c r="G720" t="s">
        <v>27</v>
      </c>
      <c r="H720" t="s">
        <v>2461</v>
      </c>
      <c r="I720">
        <v>27</v>
      </c>
      <c r="J720">
        <v>52</v>
      </c>
      <c r="K720" t="s">
        <v>2045</v>
      </c>
      <c r="L720">
        <v>2023</v>
      </c>
      <c r="M720">
        <v>10</v>
      </c>
      <c r="N720">
        <v>16</v>
      </c>
      <c r="O720">
        <v>15</v>
      </c>
    </row>
    <row r="721" spans="1:15" x14ac:dyDescent="0.25">
      <c r="A721">
        <v>720</v>
      </c>
      <c r="B721">
        <v>724</v>
      </c>
      <c r="C721" t="s">
        <v>2462</v>
      </c>
      <c r="D721" t="s">
        <v>2459</v>
      </c>
      <c r="E721" s="1">
        <v>45216.520833333336</v>
      </c>
      <c r="F721" t="s">
        <v>2463</v>
      </c>
      <c r="G721" t="s">
        <v>875</v>
      </c>
      <c r="H721" t="s">
        <v>2464</v>
      </c>
      <c r="I721">
        <v>24</v>
      </c>
      <c r="J721">
        <v>48</v>
      </c>
      <c r="K721" t="s">
        <v>2036</v>
      </c>
      <c r="L721">
        <v>2023</v>
      </c>
      <c r="M721">
        <v>10</v>
      </c>
      <c r="N721">
        <v>17</v>
      </c>
      <c r="O721">
        <v>12</v>
      </c>
    </row>
    <row r="722" spans="1:15" x14ac:dyDescent="0.25">
      <c r="A722">
        <v>721</v>
      </c>
      <c r="B722">
        <v>725</v>
      </c>
      <c r="C722" t="s">
        <v>2465</v>
      </c>
      <c r="D722" t="s">
        <v>2459</v>
      </c>
      <c r="E722" s="1">
        <v>45217.697916666664</v>
      </c>
      <c r="F722" t="s">
        <v>2466</v>
      </c>
      <c r="G722" t="s">
        <v>32</v>
      </c>
      <c r="H722" t="s">
        <v>2467</v>
      </c>
      <c r="I722">
        <v>19</v>
      </c>
      <c r="J722">
        <v>38</v>
      </c>
      <c r="K722" t="s">
        <v>2041</v>
      </c>
      <c r="L722">
        <v>2023</v>
      </c>
      <c r="M722">
        <v>10</v>
      </c>
      <c r="N722">
        <v>18</v>
      </c>
      <c r="O722">
        <v>16</v>
      </c>
    </row>
    <row r="723" spans="1:15" x14ac:dyDescent="0.25">
      <c r="A723">
        <v>722</v>
      </c>
      <c r="B723">
        <v>726</v>
      </c>
      <c r="C723" t="s">
        <v>2468</v>
      </c>
      <c r="D723" t="s">
        <v>2459</v>
      </c>
      <c r="E723" s="1">
        <v>45218.763888888891</v>
      </c>
      <c r="F723" t="s">
        <v>2469</v>
      </c>
      <c r="G723" t="s">
        <v>27</v>
      </c>
      <c r="H723" t="s">
        <v>2470</v>
      </c>
      <c r="I723">
        <v>21</v>
      </c>
      <c r="J723">
        <v>42</v>
      </c>
      <c r="K723" t="s">
        <v>2045</v>
      </c>
      <c r="L723">
        <v>2023</v>
      </c>
      <c r="M723">
        <v>10</v>
      </c>
      <c r="N723">
        <v>19</v>
      </c>
      <c r="O723">
        <v>18</v>
      </c>
    </row>
    <row r="724" spans="1:15" x14ac:dyDescent="0.25">
      <c r="A724">
        <v>723</v>
      </c>
      <c r="B724">
        <v>727</v>
      </c>
      <c r="C724" t="s">
        <v>2471</v>
      </c>
      <c r="D724" t="s">
        <v>2459</v>
      </c>
      <c r="E724" s="1">
        <v>45219.59375</v>
      </c>
      <c r="F724" t="s">
        <v>2472</v>
      </c>
      <c r="G724" t="s">
        <v>875</v>
      </c>
      <c r="H724" t="s">
        <v>2473</v>
      </c>
      <c r="I724">
        <v>26</v>
      </c>
      <c r="J724">
        <v>50</v>
      </c>
      <c r="K724" t="s">
        <v>2036</v>
      </c>
      <c r="L724">
        <v>2023</v>
      </c>
      <c r="M724">
        <v>10</v>
      </c>
      <c r="N724">
        <v>20</v>
      </c>
      <c r="O724">
        <v>14</v>
      </c>
    </row>
    <row r="725" spans="1:15" x14ac:dyDescent="0.25">
      <c r="A725">
        <v>724</v>
      </c>
      <c r="B725">
        <v>728</v>
      </c>
      <c r="C725" t="s">
        <v>2474</v>
      </c>
      <c r="D725" t="s">
        <v>2459</v>
      </c>
      <c r="E725" s="1">
        <v>45220.729166666664</v>
      </c>
      <c r="F725" t="s">
        <v>2475</v>
      </c>
      <c r="G725" t="s">
        <v>32</v>
      </c>
      <c r="H725" t="s">
        <v>2476</v>
      </c>
      <c r="I725">
        <v>23</v>
      </c>
      <c r="J725">
        <v>45</v>
      </c>
      <c r="K725" t="s">
        <v>2041</v>
      </c>
      <c r="L725">
        <v>2023</v>
      </c>
      <c r="M725">
        <v>10</v>
      </c>
      <c r="N725">
        <v>21</v>
      </c>
      <c r="O725">
        <v>17</v>
      </c>
    </row>
    <row r="726" spans="1:15" x14ac:dyDescent="0.25">
      <c r="A726">
        <v>725</v>
      </c>
      <c r="B726">
        <v>729</v>
      </c>
      <c r="C726" t="s">
        <v>2477</v>
      </c>
      <c r="D726" t="s">
        <v>2459</v>
      </c>
      <c r="E726" s="1">
        <v>45221.864583333336</v>
      </c>
      <c r="F726" t="s">
        <v>2478</v>
      </c>
      <c r="G726" t="s">
        <v>27</v>
      </c>
      <c r="H726" t="s">
        <v>2479</v>
      </c>
      <c r="I726">
        <v>22</v>
      </c>
      <c r="J726">
        <v>43</v>
      </c>
      <c r="K726" t="s">
        <v>2045</v>
      </c>
      <c r="L726">
        <v>2023</v>
      </c>
      <c r="M726">
        <v>10</v>
      </c>
      <c r="N726">
        <v>22</v>
      </c>
      <c r="O726">
        <v>20</v>
      </c>
    </row>
    <row r="727" spans="1:15" x14ac:dyDescent="0.25">
      <c r="A727">
        <v>726</v>
      </c>
      <c r="B727">
        <v>730</v>
      </c>
      <c r="C727" t="s">
        <v>2480</v>
      </c>
      <c r="D727" t="s">
        <v>2459</v>
      </c>
      <c r="E727" s="1">
        <v>42318.697916666664</v>
      </c>
      <c r="F727" t="s">
        <v>2481</v>
      </c>
      <c r="G727" t="s">
        <v>27</v>
      </c>
      <c r="H727" t="s">
        <v>2482</v>
      </c>
      <c r="I727">
        <v>23</v>
      </c>
      <c r="J727">
        <v>44</v>
      </c>
      <c r="K727" t="s">
        <v>2036</v>
      </c>
      <c r="L727">
        <v>2015</v>
      </c>
      <c r="M727">
        <v>11</v>
      </c>
      <c r="N727">
        <v>10</v>
      </c>
      <c r="O727">
        <v>16</v>
      </c>
    </row>
    <row r="728" spans="1:15" x14ac:dyDescent="0.25">
      <c r="A728">
        <v>727</v>
      </c>
      <c r="B728">
        <v>731</v>
      </c>
      <c r="C728" t="s">
        <v>2483</v>
      </c>
      <c r="D728" t="s">
        <v>2459</v>
      </c>
      <c r="E728" s="1">
        <v>42627.520833333336</v>
      </c>
      <c r="F728" t="s">
        <v>2484</v>
      </c>
      <c r="G728" t="s">
        <v>875</v>
      </c>
      <c r="H728" t="s">
        <v>2485</v>
      </c>
      <c r="I728">
        <v>26</v>
      </c>
      <c r="J728">
        <v>51</v>
      </c>
      <c r="K728" t="s">
        <v>2041</v>
      </c>
      <c r="L728">
        <v>2016</v>
      </c>
      <c r="M728">
        <v>9</v>
      </c>
      <c r="N728">
        <v>14</v>
      </c>
      <c r="O728">
        <v>12</v>
      </c>
    </row>
    <row r="729" spans="1:15" x14ac:dyDescent="0.25">
      <c r="A729">
        <v>728</v>
      </c>
      <c r="B729">
        <v>732</v>
      </c>
      <c r="C729" t="s">
        <v>2486</v>
      </c>
      <c r="D729" t="s">
        <v>2459</v>
      </c>
      <c r="E729" s="1">
        <v>42965.763888888891</v>
      </c>
      <c r="F729" t="s">
        <v>2487</v>
      </c>
      <c r="G729" t="s">
        <v>32</v>
      </c>
      <c r="H729" t="s">
        <v>2488</v>
      </c>
      <c r="I729">
        <v>20</v>
      </c>
      <c r="J729">
        <v>39</v>
      </c>
      <c r="K729" t="s">
        <v>2045</v>
      </c>
      <c r="L729">
        <v>2017</v>
      </c>
      <c r="M729">
        <v>8</v>
      </c>
      <c r="N729">
        <v>18</v>
      </c>
      <c r="O729">
        <v>18</v>
      </c>
    </row>
    <row r="730" spans="1:15" x14ac:dyDescent="0.25">
      <c r="A730">
        <v>729</v>
      </c>
      <c r="B730">
        <v>733</v>
      </c>
      <c r="C730" t="s">
        <v>2489</v>
      </c>
      <c r="D730" t="s">
        <v>2459</v>
      </c>
      <c r="E730" s="1">
        <v>43273.59375</v>
      </c>
      <c r="F730" t="s">
        <v>2490</v>
      </c>
      <c r="G730" t="s">
        <v>27</v>
      </c>
      <c r="H730" t="s">
        <v>2491</v>
      </c>
      <c r="I730">
        <v>25</v>
      </c>
      <c r="J730">
        <v>48</v>
      </c>
      <c r="K730" t="s">
        <v>2036</v>
      </c>
      <c r="L730">
        <v>2018</v>
      </c>
      <c r="M730">
        <v>6</v>
      </c>
      <c r="N730">
        <v>22</v>
      </c>
      <c r="O730">
        <v>14</v>
      </c>
    </row>
    <row r="731" spans="1:15" x14ac:dyDescent="0.25">
      <c r="A731">
        <v>730</v>
      </c>
      <c r="B731">
        <v>734</v>
      </c>
      <c r="C731" t="s">
        <v>2492</v>
      </c>
      <c r="D731" t="s">
        <v>2459</v>
      </c>
      <c r="E731" s="1">
        <v>43560.729166666664</v>
      </c>
      <c r="F731" t="s">
        <v>2493</v>
      </c>
      <c r="G731" t="s">
        <v>875</v>
      </c>
      <c r="H731" t="s">
        <v>2494</v>
      </c>
      <c r="I731">
        <v>22</v>
      </c>
      <c r="J731">
        <v>42</v>
      </c>
      <c r="K731" t="s">
        <v>2041</v>
      </c>
      <c r="L731">
        <v>2019</v>
      </c>
      <c r="M731">
        <v>4</v>
      </c>
      <c r="N731">
        <v>5</v>
      </c>
      <c r="O731">
        <v>17</v>
      </c>
    </row>
    <row r="732" spans="1:15" x14ac:dyDescent="0.25">
      <c r="A732">
        <v>731</v>
      </c>
      <c r="B732">
        <v>735</v>
      </c>
      <c r="C732" t="s">
        <v>2495</v>
      </c>
      <c r="D732" t="s">
        <v>2459</v>
      </c>
      <c r="E732" s="1">
        <v>43890.864583333336</v>
      </c>
      <c r="F732" t="s">
        <v>2496</v>
      </c>
      <c r="G732" t="s">
        <v>32</v>
      </c>
      <c r="H732" t="s">
        <v>2497</v>
      </c>
      <c r="I732">
        <v>21</v>
      </c>
      <c r="J732">
        <v>43</v>
      </c>
      <c r="K732" t="s">
        <v>2045</v>
      </c>
      <c r="L732">
        <v>2020</v>
      </c>
      <c r="M732">
        <v>2</v>
      </c>
      <c r="N732">
        <v>29</v>
      </c>
      <c r="O732">
        <v>20</v>
      </c>
    </row>
    <row r="733" spans="1:15" x14ac:dyDescent="0.25">
      <c r="A733">
        <v>732</v>
      </c>
      <c r="B733">
        <v>736</v>
      </c>
      <c r="C733" t="s">
        <v>2498</v>
      </c>
      <c r="D733" t="s">
        <v>2459</v>
      </c>
      <c r="E733" s="1">
        <v>44150.635416666664</v>
      </c>
      <c r="F733" t="s">
        <v>2499</v>
      </c>
      <c r="G733" t="s">
        <v>27</v>
      </c>
      <c r="H733" t="s">
        <v>2500</v>
      </c>
      <c r="I733">
        <v>24</v>
      </c>
      <c r="J733">
        <v>47</v>
      </c>
      <c r="K733" t="s">
        <v>2036</v>
      </c>
      <c r="L733">
        <v>2020</v>
      </c>
      <c r="M733">
        <v>11</v>
      </c>
      <c r="N733">
        <v>15</v>
      </c>
      <c r="O733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71BE2-C358-473E-9E0E-1FCBF29A9B66}">
  <dimension ref="A1:T733"/>
  <sheetViews>
    <sheetView topLeftCell="A2" workbookViewId="0">
      <selection activeCell="K29" sqref="K29"/>
    </sheetView>
  </sheetViews>
  <sheetFormatPr defaultRowHeight="15" x14ac:dyDescent="0.25"/>
  <cols>
    <col min="1" max="1" width="54.42578125" customWidth="1"/>
    <col min="2" max="2" width="63.42578125" customWidth="1"/>
    <col min="3" max="3" width="20.28515625" bestFit="1" customWidth="1"/>
    <col min="4" max="4" width="20.28515625" customWidth="1"/>
    <col min="5" max="5" width="15.85546875" bestFit="1" customWidth="1"/>
    <col min="6" max="6" width="15.85546875" customWidth="1"/>
    <col min="7" max="7" width="40.140625" bestFit="1" customWidth="1"/>
    <col min="8" max="8" width="40.140625" customWidth="1"/>
    <col min="9" max="9" width="10.85546875" customWidth="1"/>
    <col min="10" max="10" width="18.5703125" customWidth="1"/>
    <col min="11" max="11" width="45" bestFit="1" customWidth="1"/>
    <col min="12" max="12" width="11.5703125" customWidth="1"/>
    <col min="13" max="13" width="7.5703125" customWidth="1"/>
    <col min="14" max="14" width="15.7109375" bestFit="1" customWidth="1"/>
    <col min="15" max="15" width="17.85546875" customWidth="1"/>
    <col min="16" max="16" width="7.140625" customWidth="1"/>
    <col min="17" max="17" width="9.140625" customWidth="1"/>
    <col min="18" max="18" width="6.42578125" customWidth="1"/>
    <col min="19" max="19" width="7.42578125" customWidth="1"/>
  </cols>
  <sheetData>
    <row r="1" spans="1:20" x14ac:dyDescent="0.25">
      <c r="A1" t="s">
        <v>1</v>
      </c>
      <c r="B1" t="s">
        <v>3206</v>
      </c>
      <c r="C1" t="s">
        <v>2</v>
      </c>
      <c r="D1" t="s">
        <v>3399</v>
      </c>
      <c r="E1" t="s">
        <v>3</v>
      </c>
      <c r="F1" t="s">
        <v>3400</v>
      </c>
      <c r="G1" t="s">
        <v>4</v>
      </c>
      <c r="H1" t="s">
        <v>3434</v>
      </c>
      <c r="I1" t="s">
        <v>5</v>
      </c>
      <c r="J1" t="s">
        <v>4103</v>
      </c>
      <c r="K1" t="s">
        <v>6</v>
      </c>
      <c r="L1" t="s">
        <v>7</v>
      </c>
      <c r="M1" t="s">
        <v>8</v>
      </c>
      <c r="N1" t="s">
        <v>9</v>
      </c>
      <c r="O1" t="s">
        <v>3433</v>
      </c>
      <c r="P1" t="s">
        <v>10</v>
      </c>
      <c r="Q1" t="s">
        <v>11</v>
      </c>
      <c r="R1" t="s">
        <v>12</v>
      </c>
      <c r="S1" t="s">
        <v>13</v>
      </c>
      <c r="T1" t="s">
        <v>4115</v>
      </c>
    </row>
    <row r="2" spans="1:20" x14ac:dyDescent="0.25">
      <c r="A2" t="s">
        <v>14</v>
      </c>
      <c r="B2" t="s">
        <v>2501</v>
      </c>
      <c r="C2" t="s">
        <v>15</v>
      </c>
      <c r="D2" t="s">
        <v>3208</v>
      </c>
      <c r="E2" s="1">
        <v>44941.520833333336</v>
      </c>
      <c r="F2" s="1" t="str">
        <f>TEXT(E2,"DDDD")</f>
        <v>Sunday</v>
      </c>
      <c r="G2" t="s">
        <v>16</v>
      </c>
      <c r="H2" t="s">
        <v>3435</v>
      </c>
      <c r="I2" t="s">
        <v>17</v>
      </c>
      <c r="J2" t="s">
        <v>4104</v>
      </c>
      <c r="K2" t="s">
        <v>18</v>
      </c>
      <c r="L2">
        <v>15</v>
      </c>
      <c r="M2">
        <v>30</v>
      </c>
      <c r="N2" t="s">
        <v>19</v>
      </c>
      <c r="O2" t="s">
        <v>60</v>
      </c>
      <c r="P2">
        <v>2023</v>
      </c>
      <c r="Q2">
        <v>1</v>
      </c>
      <c r="R2">
        <v>15</v>
      </c>
      <c r="S2">
        <v>12</v>
      </c>
      <c r="T2" t="str">
        <f>TEXT(Table1[[#This Row],[Month]],"MMMM")</f>
        <v>January</v>
      </c>
    </row>
    <row r="3" spans="1:20" x14ac:dyDescent="0.25">
      <c r="A3" t="s">
        <v>20</v>
      </c>
      <c r="B3" t="s">
        <v>2502</v>
      </c>
      <c r="C3" t="s">
        <v>21</v>
      </c>
      <c r="D3" t="s">
        <v>3209</v>
      </c>
      <c r="E3" s="1">
        <v>44941.364583333336</v>
      </c>
      <c r="F3" s="1" t="str">
        <f t="shared" ref="F3:F66" si="0">TEXT(E3,"DDDD")</f>
        <v>Sunday</v>
      </c>
      <c r="G3" t="s">
        <v>22</v>
      </c>
      <c r="H3" t="s">
        <v>3436</v>
      </c>
      <c r="I3" t="s">
        <v>17</v>
      </c>
      <c r="J3" t="s">
        <v>4104</v>
      </c>
      <c r="K3" t="s">
        <v>23</v>
      </c>
      <c r="L3">
        <v>5</v>
      </c>
      <c r="M3">
        <v>10</v>
      </c>
      <c r="N3" t="s">
        <v>24</v>
      </c>
      <c r="O3" t="s">
        <v>3401</v>
      </c>
      <c r="P3">
        <v>2023</v>
      </c>
      <c r="Q3">
        <v>1</v>
      </c>
      <c r="R3">
        <v>15</v>
      </c>
      <c r="S3">
        <v>8</v>
      </c>
      <c r="T3" t="str">
        <f>TEXT(Table1[[#This Row],[Month]],"MMMM")</f>
        <v>January</v>
      </c>
    </row>
    <row r="4" spans="1:20" x14ac:dyDescent="0.25">
      <c r="A4" t="s">
        <v>25</v>
      </c>
      <c r="B4" t="s">
        <v>2503</v>
      </c>
      <c r="C4" t="s">
        <v>15</v>
      </c>
      <c r="D4" t="s">
        <v>3208</v>
      </c>
      <c r="E4" s="1">
        <v>44941.65625</v>
      </c>
      <c r="F4" s="1" t="str">
        <f t="shared" si="0"/>
        <v>Sunday</v>
      </c>
      <c r="G4" t="s">
        <v>26</v>
      </c>
      <c r="H4" t="s">
        <v>3437</v>
      </c>
      <c r="I4" t="s">
        <v>27</v>
      </c>
      <c r="J4" t="s">
        <v>4105</v>
      </c>
      <c r="K4" t="s">
        <v>28</v>
      </c>
      <c r="L4">
        <v>20</v>
      </c>
      <c r="M4">
        <v>40</v>
      </c>
      <c r="N4" t="s">
        <v>29</v>
      </c>
      <c r="O4" t="s">
        <v>60</v>
      </c>
      <c r="P4">
        <v>2023</v>
      </c>
      <c r="Q4">
        <v>1</v>
      </c>
      <c r="R4">
        <v>15</v>
      </c>
      <c r="S4">
        <v>15</v>
      </c>
      <c r="T4" t="str">
        <f>TEXT(Table1[[#This Row],[Month]],"MMMM")</f>
        <v>January</v>
      </c>
    </row>
    <row r="5" spans="1:20" x14ac:dyDescent="0.25">
      <c r="A5" t="s">
        <v>30</v>
      </c>
      <c r="B5" t="s">
        <v>2504</v>
      </c>
      <c r="C5" t="s">
        <v>15</v>
      </c>
      <c r="D5" t="s">
        <v>3208</v>
      </c>
      <c r="E5" s="1">
        <v>44941.763888888891</v>
      </c>
      <c r="F5" s="1" t="str">
        <f t="shared" si="0"/>
        <v>Sunday</v>
      </c>
      <c r="G5" t="s">
        <v>31</v>
      </c>
      <c r="H5" t="s">
        <v>3438</v>
      </c>
      <c r="I5" t="s">
        <v>32</v>
      </c>
      <c r="J5" t="s">
        <v>4106</v>
      </c>
      <c r="K5" t="s">
        <v>33</v>
      </c>
      <c r="L5">
        <v>8</v>
      </c>
      <c r="M5">
        <v>15</v>
      </c>
      <c r="N5" t="s">
        <v>34</v>
      </c>
      <c r="O5" t="s">
        <v>3432</v>
      </c>
      <c r="P5">
        <v>2023</v>
      </c>
      <c r="Q5">
        <v>1</v>
      </c>
      <c r="R5">
        <v>15</v>
      </c>
      <c r="S5">
        <v>18</v>
      </c>
      <c r="T5" t="str">
        <f>TEXT(Table1[[#This Row],[Month]],"MMMM")</f>
        <v>January</v>
      </c>
    </row>
    <row r="6" spans="1:20" x14ac:dyDescent="0.25">
      <c r="A6" t="s">
        <v>35</v>
      </c>
      <c r="B6" t="s">
        <v>2505</v>
      </c>
      <c r="C6" t="s">
        <v>36</v>
      </c>
      <c r="D6" t="s">
        <v>3210</v>
      </c>
      <c r="E6" s="1">
        <v>44941.829861111109</v>
      </c>
      <c r="F6" s="1" t="str">
        <f t="shared" si="0"/>
        <v>Sunday</v>
      </c>
      <c r="G6" t="s">
        <v>37</v>
      </c>
      <c r="H6" t="s">
        <v>3439</v>
      </c>
      <c r="I6" t="s">
        <v>27</v>
      </c>
      <c r="J6" t="s">
        <v>4105</v>
      </c>
      <c r="K6" t="s">
        <v>38</v>
      </c>
      <c r="L6">
        <v>12</v>
      </c>
      <c r="M6">
        <v>25</v>
      </c>
      <c r="N6" t="s">
        <v>39</v>
      </c>
      <c r="O6" t="s">
        <v>3402</v>
      </c>
      <c r="P6">
        <v>2023</v>
      </c>
      <c r="Q6">
        <v>1</v>
      </c>
      <c r="R6">
        <v>15</v>
      </c>
      <c r="S6">
        <v>19</v>
      </c>
      <c r="T6" t="str">
        <f>TEXT(Table1[[#This Row],[Month]],"MMMM")</f>
        <v>January</v>
      </c>
    </row>
    <row r="7" spans="1:20" x14ac:dyDescent="0.25">
      <c r="A7" t="s">
        <v>40</v>
      </c>
      <c r="B7" t="s">
        <v>2506</v>
      </c>
      <c r="C7" t="s">
        <v>15</v>
      </c>
      <c r="D7" t="s">
        <v>3208</v>
      </c>
      <c r="E7" s="1">
        <v>44942.381944444445</v>
      </c>
      <c r="F7" s="1" t="str">
        <f t="shared" si="0"/>
        <v>Monday</v>
      </c>
      <c r="G7" t="s">
        <v>41</v>
      </c>
      <c r="H7" t="s">
        <v>3440</v>
      </c>
      <c r="I7" t="s">
        <v>17</v>
      </c>
      <c r="J7" t="s">
        <v>4104</v>
      </c>
      <c r="K7" t="s">
        <v>42</v>
      </c>
      <c r="L7">
        <v>25</v>
      </c>
      <c r="M7">
        <v>50</v>
      </c>
      <c r="N7" t="s">
        <v>43</v>
      </c>
      <c r="O7" t="s">
        <v>3403</v>
      </c>
      <c r="P7">
        <v>2023</v>
      </c>
      <c r="Q7">
        <v>1</v>
      </c>
      <c r="R7">
        <v>16</v>
      </c>
      <c r="S7">
        <v>9</v>
      </c>
      <c r="T7" t="str">
        <f>TEXT(Table1[[#This Row],[Month]],"MMMM")</f>
        <v>January</v>
      </c>
    </row>
    <row r="8" spans="1:20" x14ac:dyDescent="0.25">
      <c r="A8" t="s">
        <v>44</v>
      </c>
      <c r="B8" t="s">
        <v>2507</v>
      </c>
      <c r="C8" t="s">
        <v>15</v>
      </c>
      <c r="D8" t="s">
        <v>3208</v>
      </c>
      <c r="E8" s="1">
        <v>44942.614583333336</v>
      </c>
      <c r="F8" s="1" t="str">
        <f t="shared" si="0"/>
        <v>Monday</v>
      </c>
      <c r="G8" t="s">
        <v>45</v>
      </c>
      <c r="H8" t="s">
        <v>3441</v>
      </c>
      <c r="I8" t="s">
        <v>32</v>
      </c>
      <c r="J8" t="s">
        <v>4106</v>
      </c>
      <c r="K8" t="s">
        <v>46</v>
      </c>
      <c r="L8">
        <v>10</v>
      </c>
      <c r="M8">
        <v>20</v>
      </c>
      <c r="N8" t="s">
        <v>24</v>
      </c>
      <c r="O8" t="s">
        <v>3401</v>
      </c>
      <c r="P8">
        <v>2023</v>
      </c>
      <c r="Q8">
        <v>1</v>
      </c>
      <c r="R8">
        <v>16</v>
      </c>
      <c r="S8">
        <v>14</v>
      </c>
      <c r="T8" t="str">
        <f>TEXT(Table1[[#This Row],[Month]],"MMMM")</f>
        <v>January</v>
      </c>
    </row>
    <row r="9" spans="1:20" x14ac:dyDescent="0.25">
      <c r="A9" t="s">
        <v>47</v>
      </c>
      <c r="B9" t="s">
        <v>2508</v>
      </c>
      <c r="C9" t="s">
        <v>15</v>
      </c>
      <c r="D9" t="s">
        <v>3208</v>
      </c>
      <c r="E9" s="1">
        <v>44942.8125</v>
      </c>
      <c r="F9" s="1" t="str">
        <f t="shared" si="0"/>
        <v>Monday</v>
      </c>
      <c r="G9" t="s">
        <v>48</v>
      </c>
      <c r="H9" t="s">
        <v>3442</v>
      </c>
      <c r="I9" t="s">
        <v>27</v>
      </c>
      <c r="J9" t="s">
        <v>4105</v>
      </c>
      <c r="K9" t="s">
        <v>49</v>
      </c>
      <c r="L9">
        <v>15</v>
      </c>
      <c r="M9">
        <v>30</v>
      </c>
      <c r="N9" t="s">
        <v>50</v>
      </c>
      <c r="O9" t="s">
        <v>60</v>
      </c>
      <c r="P9">
        <v>2023</v>
      </c>
      <c r="Q9">
        <v>1</v>
      </c>
      <c r="R9">
        <v>16</v>
      </c>
      <c r="S9">
        <v>19</v>
      </c>
      <c r="T9" t="str">
        <f>TEXT(Table1[[#This Row],[Month]],"MMMM")</f>
        <v>January</v>
      </c>
    </row>
    <row r="10" spans="1:20" x14ac:dyDescent="0.25">
      <c r="A10" t="s">
        <v>51</v>
      </c>
      <c r="B10" t="s">
        <v>2509</v>
      </c>
      <c r="C10" t="s">
        <v>21</v>
      </c>
      <c r="D10" t="s">
        <v>3209</v>
      </c>
      <c r="E10" s="1">
        <v>44943.333333333336</v>
      </c>
      <c r="F10" s="1" t="str">
        <f t="shared" si="0"/>
        <v>Tuesday</v>
      </c>
      <c r="G10" t="s">
        <v>52</v>
      </c>
      <c r="H10" t="s">
        <v>3443</v>
      </c>
      <c r="I10" t="s">
        <v>17</v>
      </c>
      <c r="J10" t="s">
        <v>4104</v>
      </c>
      <c r="K10" t="s">
        <v>53</v>
      </c>
      <c r="L10">
        <v>30</v>
      </c>
      <c r="M10">
        <v>60</v>
      </c>
      <c r="N10" t="s">
        <v>19</v>
      </c>
      <c r="O10" t="s">
        <v>60</v>
      </c>
      <c r="P10">
        <v>2023</v>
      </c>
      <c r="Q10">
        <v>1</v>
      </c>
      <c r="R10">
        <v>17</v>
      </c>
      <c r="S10">
        <v>8</v>
      </c>
      <c r="T10" t="str">
        <f>TEXT(Table1[[#This Row],[Month]],"MMMM")</f>
        <v>January</v>
      </c>
    </row>
    <row r="11" spans="1:20" x14ac:dyDescent="0.25">
      <c r="A11" t="s">
        <v>54</v>
      </c>
      <c r="B11" t="s">
        <v>2510</v>
      </c>
      <c r="C11" t="s">
        <v>36</v>
      </c>
      <c r="D11" t="s">
        <v>3210</v>
      </c>
      <c r="E11" s="1">
        <v>44943.513888888891</v>
      </c>
      <c r="F11" s="1" t="str">
        <f t="shared" si="0"/>
        <v>Tuesday</v>
      </c>
      <c r="G11" t="s">
        <v>55</v>
      </c>
      <c r="H11" t="s">
        <v>3444</v>
      </c>
      <c r="I11" t="s">
        <v>32</v>
      </c>
      <c r="J11" t="s">
        <v>4106</v>
      </c>
      <c r="K11" t="s">
        <v>56</v>
      </c>
      <c r="L11">
        <v>18</v>
      </c>
      <c r="M11">
        <v>35</v>
      </c>
      <c r="N11" t="s">
        <v>39</v>
      </c>
      <c r="O11" t="s">
        <v>3402</v>
      </c>
      <c r="P11">
        <v>2023</v>
      </c>
      <c r="Q11">
        <v>1</v>
      </c>
      <c r="R11">
        <v>17</v>
      </c>
      <c r="S11">
        <v>12</v>
      </c>
      <c r="T11" t="str">
        <f>TEXT(Table1[[#This Row],[Month]],"MMMM")</f>
        <v>January</v>
      </c>
    </row>
    <row r="12" spans="1:20" x14ac:dyDescent="0.25">
      <c r="A12" t="s">
        <v>57</v>
      </c>
      <c r="B12" t="s">
        <v>2511</v>
      </c>
      <c r="C12" t="s">
        <v>15</v>
      </c>
      <c r="D12" t="s">
        <v>3208</v>
      </c>
      <c r="E12" s="1">
        <v>44943.635416666664</v>
      </c>
      <c r="F12" s="1" t="str">
        <f t="shared" si="0"/>
        <v>Tuesday</v>
      </c>
      <c r="G12" t="s">
        <v>58</v>
      </c>
      <c r="H12" t="s">
        <v>3445</v>
      </c>
      <c r="I12" t="s">
        <v>27</v>
      </c>
      <c r="J12" t="s">
        <v>4105</v>
      </c>
      <c r="K12" t="s">
        <v>59</v>
      </c>
      <c r="L12">
        <v>22</v>
      </c>
      <c r="M12">
        <v>45</v>
      </c>
      <c r="N12" t="s">
        <v>60</v>
      </c>
      <c r="O12" t="s">
        <v>60</v>
      </c>
      <c r="P12">
        <v>2023</v>
      </c>
      <c r="Q12">
        <v>1</v>
      </c>
      <c r="R12">
        <v>17</v>
      </c>
      <c r="S12">
        <v>15</v>
      </c>
      <c r="T12" t="str">
        <f>TEXT(Table1[[#This Row],[Month]],"MMMM")</f>
        <v>January</v>
      </c>
    </row>
    <row r="13" spans="1:20" x14ac:dyDescent="0.25">
      <c r="A13" t="s">
        <v>61</v>
      </c>
      <c r="B13" t="s">
        <v>2512</v>
      </c>
      <c r="C13" t="s">
        <v>21</v>
      </c>
      <c r="D13" t="s">
        <v>3209</v>
      </c>
      <c r="E13" s="1">
        <v>44944.4375</v>
      </c>
      <c r="F13" s="1" t="str">
        <f t="shared" si="0"/>
        <v>Wednesday</v>
      </c>
      <c r="G13" t="s">
        <v>62</v>
      </c>
      <c r="H13" t="s">
        <v>3446</v>
      </c>
      <c r="I13" t="s">
        <v>17</v>
      </c>
      <c r="J13" t="s">
        <v>4104</v>
      </c>
      <c r="K13" t="s">
        <v>63</v>
      </c>
      <c r="L13">
        <v>7</v>
      </c>
      <c r="M13">
        <v>15</v>
      </c>
      <c r="N13" t="s">
        <v>24</v>
      </c>
      <c r="O13" t="s">
        <v>3401</v>
      </c>
      <c r="P13">
        <v>2023</v>
      </c>
      <c r="Q13">
        <v>1</v>
      </c>
      <c r="R13">
        <v>18</v>
      </c>
      <c r="S13">
        <v>10</v>
      </c>
      <c r="T13" t="str">
        <f>TEXT(Table1[[#This Row],[Month]],"MMMM")</f>
        <v>January</v>
      </c>
    </row>
    <row r="14" spans="1:20" x14ac:dyDescent="0.25">
      <c r="A14" t="s">
        <v>64</v>
      </c>
      <c r="B14" t="s">
        <v>2513</v>
      </c>
      <c r="C14" t="s">
        <v>15</v>
      </c>
      <c r="D14" t="s">
        <v>3208</v>
      </c>
      <c r="E14" s="1">
        <v>44944.618055555555</v>
      </c>
      <c r="F14" s="1" t="str">
        <f t="shared" si="0"/>
        <v>Wednesday</v>
      </c>
      <c r="G14" t="s">
        <v>65</v>
      </c>
      <c r="H14" t="s">
        <v>3447</v>
      </c>
      <c r="I14" t="s">
        <v>32</v>
      </c>
      <c r="J14" t="s">
        <v>4106</v>
      </c>
      <c r="K14" t="s">
        <v>66</v>
      </c>
      <c r="L14">
        <v>12</v>
      </c>
      <c r="M14">
        <v>25</v>
      </c>
      <c r="N14" t="s">
        <v>34</v>
      </c>
      <c r="O14" t="s">
        <v>3432</v>
      </c>
      <c r="P14">
        <v>2023</v>
      </c>
      <c r="Q14">
        <v>1</v>
      </c>
      <c r="R14">
        <v>18</v>
      </c>
      <c r="S14">
        <v>14</v>
      </c>
      <c r="T14" t="str">
        <f>TEXT(Table1[[#This Row],[Month]],"MMMM")</f>
        <v>January</v>
      </c>
    </row>
    <row r="15" spans="1:20" x14ac:dyDescent="0.25">
      <c r="A15" t="s">
        <v>67</v>
      </c>
      <c r="B15" t="s">
        <v>2514</v>
      </c>
      <c r="C15" t="s">
        <v>15</v>
      </c>
      <c r="D15" t="s">
        <v>3208</v>
      </c>
      <c r="E15" s="1">
        <v>44944.75</v>
      </c>
      <c r="F15" s="1" t="str">
        <f t="shared" si="0"/>
        <v>Wednesday</v>
      </c>
      <c r="G15" t="s">
        <v>68</v>
      </c>
      <c r="H15" t="s">
        <v>3448</v>
      </c>
      <c r="I15" t="s">
        <v>27</v>
      </c>
      <c r="J15" t="s">
        <v>4105</v>
      </c>
      <c r="K15" t="s">
        <v>69</v>
      </c>
      <c r="L15">
        <v>28</v>
      </c>
      <c r="M15">
        <v>55</v>
      </c>
      <c r="N15" t="s">
        <v>29</v>
      </c>
      <c r="O15" t="s">
        <v>60</v>
      </c>
      <c r="P15">
        <v>2023</v>
      </c>
      <c r="Q15">
        <v>1</v>
      </c>
      <c r="R15">
        <v>18</v>
      </c>
      <c r="S15">
        <v>18</v>
      </c>
      <c r="T15" t="str">
        <f>TEXT(Table1[[#This Row],[Month]],"MMMM")</f>
        <v>January</v>
      </c>
    </row>
    <row r="16" spans="1:20" x14ac:dyDescent="0.25">
      <c r="A16" t="s">
        <v>70</v>
      </c>
      <c r="B16" t="s">
        <v>2515</v>
      </c>
      <c r="C16" t="s">
        <v>36</v>
      </c>
      <c r="D16" t="s">
        <v>3210</v>
      </c>
      <c r="E16" s="1">
        <v>44945.40625</v>
      </c>
      <c r="F16" s="1" t="str">
        <f t="shared" si="0"/>
        <v>Thursday</v>
      </c>
      <c r="G16" t="s">
        <v>71</v>
      </c>
      <c r="H16" t="s">
        <v>3449</v>
      </c>
      <c r="I16" t="s">
        <v>17</v>
      </c>
      <c r="J16" t="s">
        <v>4104</v>
      </c>
      <c r="K16" t="s">
        <v>72</v>
      </c>
      <c r="L16">
        <v>15</v>
      </c>
      <c r="M16">
        <v>30</v>
      </c>
      <c r="N16" t="s">
        <v>43</v>
      </c>
      <c r="O16" t="s">
        <v>3403</v>
      </c>
      <c r="P16">
        <v>2023</v>
      </c>
      <c r="Q16">
        <v>1</v>
      </c>
      <c r="R16">
        <v>19</v>
      </c>
      <c r="S16">
        <v>9</v>
      </c>
      <c r="T16" t="str">
        <f>TEXT(Table1[[#This Row],[Month]],"MMMM")</f>
        <v>January</v>
      </c>
    </row>
    <row r="17" spans="1:20" x14ac:dyDescent="0.25">
      <c r="A17" t="s">
        <v>73</v>
      </c>
      <c r="B17" t="s">
        <v>2516</v>
      </c>
      <c r="C17" t="s">
        <v>15</v>
      </c>
      <c r="D17" t="s">
        <v>3208</v>
      </c>
      <c r="E17" s="1">
        <v>44945.555555555555</v>
      </c>
      <c r="F17" s="1" t="str">
        <f t="shared" si="0"/>
        <v>Thursday</v>
      </c>
      <c r="G17" t="s">
        <v>74</v>
      </c>
      <c r="H17" t="s">
        <v>3450</v>
      </c>
      <c r="I17" t="s">
        <v>32</v>
      </c>
      <c r="J17" t="s">
        <v>4106</v>
      </c>
      <c r="K17" t="s">
        <v>75</v>
      </c>
      <c r="L17">
        <v>20</v>
      </c>
      <c r="M17">
        <v>40</v>
      </c>
      <c r="N17" t="s">
        <v>19</v>
      </c>
      <c r="O17" t="s">
        <v>60</v>
      </c>
      <c r="P17">
        <v>2023</v>
      </c>
      <c r="Q17">
        <v>1</v>
      </c>
      <c r="R17">
        <v>19</v>
      </c>
      <c r="S17">
        <v>13</v>
      </c>
      <c r="T17" t="str">
        <f>TEXT(Table1[[#This Row],[Month]],"MMMM")</f>
        <v>January</v>
      </c>
    </row>
    <row r="18" spans="1:20" x14ac:dyDescent="0.25">
      <c r="A18" t="s">
        <v>76</v>
      </c>
      <c r="B18" t="s">
        <v>2517</v>
      </c>
      <c r="C18" t="s">
        <v>15</v>
      </c>
      <c r="D18" t="s">
        <v>3208</v>
      </c>
      <c r="E18" s="1">
        <v>44945.715277777781</v>
      </c>
      <c r="F18" s="1" t="str">
        <f t="shared" si="0"/>
        <v>Thursday</v>
      </c>
      <c r="G18" t="s">
        <v>77</v>
      </c>
      <c r="H18" t="s">
        <v>3451</v>
      </c>
      <c r="I18" t="s">
        <v>27</v>
      </c>
      <c r="J18" t="s">
        <v>4105</v>
      </c>
      <c r="K18" t="s">
        <v>78</v>
      </c>
      <c r="L18">
        <v>15</v>
      </c>
      <c r="M18">
        <v>30</v>
      </c>
      <c r="N18" t="s">
        <v>79</v>
      </c>
      <c r="O18" t="s">
        <v>3401</v>
      </c>
      <c r="P18">
        <v>2023</v>
      </c>
      <c r="Q18">
        <v>1</v>
      </c>
      <c r="R18">
        <v>19</v>
      </c>
      <c r="S18">
        <v>17</v>
      </c>
      <c r="T18" t="str">
        <f>TEXT(Table1[[#This Row],[Month]],"MMMM")</f>
        <v>January</v>
      </c>
    </row>
    <row r="19" spans="1:20" x14ac:dyDescent="0.25">
      <c r="A19" t="s">
        <v>80</v>
      </c>
      <c r="B19" t="s">
        <v>2518</v>
      </c>
      <c r="C19" t="s">
        <v>15</v>
      </c>
      <c r="D19" t="s">
        <v>3208</v>
      </c>
      <c r="E19" s="1">
        <v>44946.003472222219</v>
      </c>
      <c r="F19" s="1" t="str">
        <f t="shared" si="0"/>
        <v>Friday</v>
      </c>
      <c r="G19" t="s">
        <v>81</v>
      </c>
      <c r="H19" t="s">
        <v>3452</v>
      </c>
      <c r="I19" t="s">
        <v>17</v>
      </c>
      <c r="J19" t="s">
        <v>4104</v>
      </c>
      <c r="K19" t="s">
        <v>82</v>
      </c>
      <c r="L19">
        <v>18</v>
      </c>
      <c r="M19">
        <v>35</v>
      </c>
      <c r="N19" t="s">
        <v>34</v>
      </c>
      <c r="O19" t="s">
        <v>3432</v>
      </c>
      <c r="P19">
        <v>2023</v>
      </c>
      <c r="Q19">
        <v>1</v>
      </c>
      <c r="R19">
        <v>20</v>
      </c>
      <c r="S19">
        <v>0</v>
      </c>
      <c r="T19" t="str">
        <f>TEXT(Table1[[#This Row],[Month]],"MMMM")</f>
        <v>January</v>
      </c>
    </row>
    <row r="20" spans="1:20" x14ac:dyDescent="0.25">
      <c r="A20" t="s">
        <v>83</v>
      </c>
      <c r="B20" t="s">
        <v>2519</v>
      </c>
      <c r="C20" t="s">
        <v>36</v>
      </c>
      <c r="D20" t="s">
        <v>3210</v>
      </c>
      <c r="E20" s="1">
        <v>44946.479166666664</v>
      </c>
      <c r="F20" s="1" t="str">
        <f t="shared" si="0"/>
        <v>Friday</v>
      </c>
      <c r="G20" t="s">
        <v>84</v>
      </c>
      <c r="H20" t="s">
        <v>3453</v>
      </c>
      <c r="I20" t="s">
        <v>32</v>
      </c>
      <c r="J20" t="s">
        <v>4106</v>
      </c>
      <c r="K20" t="s">
        <v>85</v>
      </c>
      <c r="L20">
        <v>25</v>
      </c>
      <c r="M20">
        <v>50</v>
      </c>
      <c r="N20" t="s">
        <v>60</v>
      </c>
      <c r="O20" t="s">
        <v>60</v>
      </c>
      <c r="P20">
        <v>2023</v>
      </c>
      <c r="Q20">
        <v>1</v>
      </c>
      <c r="R20">
        <v>20</v>
      </c>
      <c r="S20">
        <v>11</v>
      </c>
      <c r="T20" t="str">
        <f>TEXT(Table1[[#This Row],[Month]],"MMMM")</f>
        <v>January</v>
      </c>
    </row>
    <row r="21" spans="1:20" x14ac:dyDescent="0.25">
      <c r="A21" t="s">
        <v>86</v>
      </c>
      <c r="B21" t="s">
        <v>2520</v>
      </c>
      <c r="C21" t="s">
        <v>21</v>
      </c>
      <c r="D21" t="s">
        <v>3209</v>
      </c>
      <c r="E21" s="1">
        <v>44946.635416666664</v>
      </c>
      <c r="F21" s="1" t="str">
        <f t="shared" si="0"/>
        <v>Friday</v>
      </c>
      <c r="G21" t="s">
        <v>87</v>
      </c>
      <c r="H21" t="s">
        <v>3454</v>
      </c>
      <c r="I21" t="s">
        <v>27</v>
      </c>
      <c r="J21" t="s">
        <v>4105</v>
      </c>
      <c r="K21" t="s">
        <v>88</v>
      </c>
      <c r="L21">
        <v>8</v>
      </c>
      <c r="M21">
        <v>15</v>
      </c>
      <c r="N21" t="s">
        <v>89</v>
      </c>
      <c r="O21" t="s">
        <v>60</v>
      </c>
      <c r="P21">
        <v>2023</v>
      </c>
      <c r="Q21">
        <v>1</v>
      </c>
      <c r="R21">
        <v>20</v>
      </c>
      <c r="S21">
        <v>15</v>
      </c>
      <c r="T21" t="str">
        <f>TEXT(Table1[[#This Row],[Month]],"MMMM")</f>
        <v>January</v>
      </c>
    </row>
    <row r="22" spans="1:20" x14ac:dyDescent="0.25">
      <c r="A22" t="s">
        <v>90</v>
      </c>
      <c r="B22" t="s">
        <v>2521</v>
      </c>
      <c r="C22" t="s">
        <v>15</v>
      </c>
      <c r="D22" t="s">
        <v>3208</v>
      </c>
      <c r="E22" s="1">
        <v>44947.361111111109</v>
      </c>
      <c r="F22" s="1" t="str">
        <f t="shared" si="0"/>
        <v>Saturday</v>
      </c>
      <c r="G22" t="s">
        <v>91</v>
      </c>
      <c r="H22" t="s">
        <v>3455</v>
      </c>
      <c r="I22" t="s">
        <v>17</v>
      </c>
      <c r="J22" t="s">
        <v>4104</v>
      </c>
      <c r="K22" t="s">
        <v>92</v>
      </c>
      <c r="L22">
        <v>22</v>
      </c>
      <c r="M22">
        <v>45</v>
      </c>
      <c r="N22" t="s">
        <v>43</v>
      </c>
      <c r="O22" t="s">
        <v>3403</v>
      </c>
      <c r="P22">
        <v>2023</v>
      </c>
      <c r="Q22">
        <v>1</v>
      </c>
      <c r="R22">
        <v>21</v>
      </c>
      <c r="S22">
        <v>8</v>
      </c>
      <c r="T22" t="str">
        <f>TEXT(Table1[[#This Row],[Month]],"MMMM")</f>
        <v>January</v>
      </c>
    </row>
    <row r="23" spans="1:20" x14ac:dyDescent="0.25">
      <c r="A23" t="s">
        <v>93</v>
      </c>
      <c r="B23" t="s">
        <v>2522</v>
      </c>
      <c r="C23" t="s">
        <v>15</v>
      </c>
      <c r="D23" t="s">
        <v>3208</v>
      </c>
      <c r="E23" s="1">
        <v>44947.555555555555</v>
      </c>
      <c r="F23" s="1" t="str">
        <f t="shared" si="0"/>
        <v>Saturday</v>
      </c>
      <c r="G23" t="s">
        <v>94</v>
      </c>
      <c r="H23" t="s">
        <v>3456</v>
      </c>
      <c r="I23" t="s">
        <v>32</v>
      </c>
      <c r="J23" t="s">
        <v>4106</v>
      </c>
      <c r="K23" t="s">
        <v>95</v>
      </c>
      <c r="L23">
        <v>15</v>
      </c>
      <c r="M23">
        <v>30</v>
      </c>
      <c r="N23" t="s">
        <v>60</v>
      </c>
      <c r="O23" t="s">
        <v>60</v>
      </c>
      <c r="P23">
        <v>2023</v>
      </c>
      <c r="Q23">
        <v>1</v>
      </c>
      <c r="R23">
        <v>21</v>
      </c>
      <c r="S23">
        <v>13</v>
      </c>
      <c r="T23" t="str">
        <f>TEXT(Table1[[#This Row],[Month]],"MMMM")</f>
        <v>January</v>
      </c>
    </row>
    <row r="24" spans="1:20" x14ac:dyDescent="0.25">
      <c r="A24" t="s">
        <v>96</v>
      </c>
      <c r="B24" t="s">
        <v>2523</v>
      </c>
      <c r="C24" t="s">
        <v>15</v>
      </c>
      <c r="D24" t="s">
        <v>3208</v>
      </c>
      <c r="E24" s="1">
        <v>44947.697916666664</v>
      </c>
      <c r="F24" s="1" t="str">
        <f t="shared" si="0"/>
        <v>Saturday</v>
      </c>
      <c r="G24" t="s">
        <v>97</v>
      </c>
      <c r="H24" t="s">
        <v>3457</v>
      </c>
      <c r="I24" t="s">
        <v>27</v>
      </c>
      <c r="J24" t="s">
        <v>4105</v>
      </c>
      <c r="K24" t="s">
        <v>98</v>
      </c>
      <c r="L24">
        <v>30</v>
      </c>
      <c r="M24">
        <v>60</v>
      </c>
      <c r="N24" t="s">
        <v>99</v>
      </c>
      <c r="O24" t="s">
        <v>60</v>
      </c>
      <c r="P24">
        <v>2023</v>
      </c>
      <c r="Q24">
        <v>1</v>
      </c>
      <c r="R24">
        <v>21</v>
      </c>
      <c r="S24">
        <v>16</v>
      </c>
      <c r="T24" t="str">
        <f>TEXT(Table1[[#This Row],[Month]],"MMMM")</f>
        <v>January</v>
      </c>
    </row>
    <row r="25" spans="1:20" x14ac:dyDescent="0.25">
      <c r="A25" t="s">
        <v>100</v>
      </c>
      <c r="B25" t="s">
        <v>2524</v>
      </c>
      <c r="C25" t="s">
        <v>15</v>
      </c>
      <c r="D25" t="s">
        <v>3208</v>
      </c>
      <c r="E25" s="1">
        <v>44948.385416666664</v>
      </c>
      <c r="F25" s="1" t="str">
        <f t="shared" si="0"/>
        <v>Sunday</v>
      </c>
      <c r="G25" t="s">
        <v>101</v>
      </c>
      <c r="H25" t="s">
        <v>3458</v>
      </c>
      <c r="I25" t="s">
        <v>17</v>
      </c>
      <c r="J25" t="s">
        <v>4104</v>
      </c>
      <c r="K25" t="s">
        <v>102</v>
      </c>
      <c r="L25">
        <v>20</v>
      </c>
      <c r="M25">
        <v>40</v>
      </c>
      <c r="N25" t="s">
        <v>34</v>
      </c>
      <c r="O25" t="s">
        <v>3432</v>
      </c>
      <c r="P25">
        <v>2023</v>
      </c>
      <c r="Q25">
        <v>1</v>
      </c>
      <c r="R25">
        <v>22</v>
      </c>
      <c r="S25">
        <v>9</v>
      </c>
      <c r="T25" t="str">
        <f>TEXT(Table1[[#This Row],[Month]],"MMMM")</f>
        <v>January</v>
      </c>
    </row>
    <row r="26" spans="1:20" x14ac:dyDescent="0.25">
      <c r="A26" t="s">
        <v>103</v>
      </c>
      <c r="B26" t="s">
        <v>2525</v>
      </c>
      <c r="C26" t="s">
        <v>15</v>
      </c>
      <c r="D26" t="s">
        <v>3208</v>
      </c>
      <c r="E26" s="1">
        <v>44948.604166666664</v>
      </c>
      <c r="F26" s="1" t="str">
        <f t="shared" si="0"/>
        <v>Sunday</v>
      </c>
      <c r="G26" t="s">
        <v>104</v>
      </c>
      <c r="H26" t="s">
        <v>3459</v>
      </c>
      <c r="I26" t="s">
        <v>32</v>
      </c>
      <c r="J26" t="s">
        <v>4106</v>
      </c>
      <c r="K26" t="s">
        <v>105</v>
      </c>
      <c r="L26">
        <v>12</v>
      </c>
      <c r="M26">
        <v>25</v>
      </c>
      <c r="N26" t="s">
        <v>106</v>
      </c>
      <c r="O26" t="s">
        <v>3401</v>
      </c>
      <c r="P26">
        <v>2023</v>
      </c>
      <c r="Q26">
        <v>1</v>
      </c>
      <c r="R26">
        <v>22</v>
      </c>
      <c r="S26">
        <v>14</v>
      </c>
      <c r="T26" t="str">
        <f>TEXT(Table1[[#This Row],[Month]],"MMMM")</f>
        <v>January</v>
      </c>
    </row>
    <row r="27" spans="1:20" x14ac:dyDescent="0.25">
      <c r="A27" t="s">
        <v>107</v>
      </c>
      <c r="B27" t="s">
        <v>2526</v>
      </c>
      <c r="C27" t="s">
        <v>15</v>
      </c>
      <c r="D27" t="s">
        <v>3208</v>
      </c>
      <c r="E27" s="1">
        <v>44948.5</v>
      </c>
      <c r="F27" s="1" t="str">
        <f t="shared" si="0"/>
        <v>Sunday</v>
      </c>
      <c r="G27" t="s">
        <v>108</v>
      </c>
      <c r="H27" t="s">
        <v>3460</v>
      </c>
      <c r="I27" t="s">
        <v>27</v>
      </c>
      <c r="J27" t="s">
        <v>4105</v>
      </c>
      <c r="K27" t="s">
        <v>109</v>
      </c>
      <c r="L27">
        <v>15</v>
      </c>
      <c r="M27">
        <v>30</v>
      </c>
      <c r="N27" t="s">
        <v>110</v>
      </c>
      <c r="O27" t="s">
        <v>3432</v>
      </c>
      <c r="P27">
        <v>2023</v>
      </c>
      <c r="Q27">
        <v>1</v>
      </c>
      <c r="R27">
        <v>22</v>
      </c>
      <c r="S27">
        <v>12</v>
      </c>
      <c r="T27" t="str">
        <f>TEXT(Table1[[#This Row],[Month]],"MMMM")</f>
        <v>January</v>
      </c>
    </row>
    <row r="28" spans="1:20" x14ac:dyDescent="0.25">
      <c r="A28" t="s">
        <v>111</v>
      </c>
      <c r="B28" t="s">
        <v>2527</v>
      </c>
      <c r="C28" t="s">
        <v>15</v>
      </c>
      <c r="D28" t="s">
        <v>3208</v>
      </c>
      <c r="E28" s="1">
        <v>44949.680555555555</v>
      </c>
      <c r="F28" s="1" t="str">
        <f t="shared" si="0"/>
        <v>Monday</v>
      </c>
      <c r="G28" t="s">
        <v>112</v>
      </c>
      <c r="H28" t="s">
        <v>3461</v>
      </c>
      <c r="I28" t="s">
        <v>32</v>
      </c>
      <c r="J28" t="s">
        <v>4106</v>
      </c>
      <c r="K28" t="s">
        <v>113</v>
      </c>
      <c r="L28">
        <v>25</v>
      </c>
      <c r="M28">
        <v>50</v>
      </c>
      <c r="N28" t="s">
        <v>114</v>
      </c>
      <c r="O28" t="s">
        <v>3403</v>
      </c>
      <c r="P28">
        <v>2023</v>
      </c>
      <c r="Q28">
        <v>1</v>
      </c>
      <c r="R28">
        <v>23</v>
      </c>
      <c r="S28">
        <v>16</v>
      </c>
      <c r="T28" t="str">
        <f>TEXT(Table1[[#This Row],[Month]],"MMMM")</f>
        <v>January</v>
      </c>
    </row>
    <row r="29" spans="1:20" x14ac:dyDescent="0.25">
      <c r="A29" t="s">
        <v>115</v>
      </c>
      <c r="B29" t="s">
        <v>2528</v>
      </c>
      <c r="C29" t="s">
        <v>15</v>
      </c>
      <c r="D29" t="s">
        <v>3208</v>
      </c>
      <c r="E29" s="1">
        <v>44949.822916666664</v>
      </c>
      <c r="F29" s="1" t="str">
        <f t="shared" si="0"/>
        <v>Monday</v>
      </c>
      <c r="G29" t="s">
        <v>116</v>
      </c>
      <c r="H29" t="s">
        <v>3462</v>
      </c>
      <c r="I29" t="s">
        <v>27</v>
      </c>
      <c r="J29" t="s">
        <v>4105</v>
      </c>
      <c r="K29" t="s">
        <v>117</v>
      </c>
      <c r="L29">
        <v>15</v>
      </c>
      <c r="M29">
        <v>30</v>
      </c>
      <c r="N29" t="s">
        <v>39</v>
      </c>
      <c r="O29" t="s">
        <v>3402</v>
      </c>
      <c r="P29">
        <v>2023</v>
      </c>
      <c r="Q29">
        <v>1</v>
      </c>
      <c r="R29">
        <v>23</v>
      </c>
      <c r="S29">
        <v>19</v>
      </c>
      <c r="T29" t="str">
        <f>TEXT(Table1[[#This Row],[Month]],"MMMM")</f>
        <v>January</v>
      </c>
    </row>
    <row r="30" spans="1:20" x14ac:dyDescent="0.25">
      <c r="A30" t="s">
        <v>118</v>
      </c>
      <c r="B30" t="s">
        <v>2529</v>
      </c>
      <c r="C30" t="s">
        <v>15</v>
      </c>
      <c r="D30" t="s">
        <v>3208</v>
      </c>
      <c r="E30" s="1">
        <v>44950.479166666664</v>
      </c>
      <c r="F30" s="1" t="str">
        <f t="shared" si="0"/>
        <v>Tuesday</v>
      </c>
      <c r="G30" t="s">
        <v>119</v>
      </c>
      <c r="H30" t="s">
        <v>3463</v>
      </c>
      <c r="I30" t="s">
        <v>17</v>
      </c>
      <c r="J30" t="s">
        <v>4104</v>
      </c>
      <c r="K30" t="s">
        <v>120</v>
      </c>
      <c r="L30">
        <v>22</v>
      </c>
      <c r="M30">
        <v>45</v>
      </c>
      <c r="N30" t="s">
        <v>19</v>
      </c>
      <c r="O30" t="s">
        <v>60</v>
      </c>
      <c r="P30">
        <v>2023</v>
      </c>
      <c r="Q30">
        <v>1</v>
      </c>
      <c r="R30">
        <v>24</v>
      </c>
      <c r="S30">
        <v>11</v>
      </c>
      <c r="T30" t="str">
        <f>TEXT(Table1[[#This Row],[Month]],"MMMM")</f>
        <v>January</v>
      </c>
    </row>
    <row r="31" spans="1:20" x14ac:dyDescent="0.25">
      <c r="A31" t="s">
        <v>121</v>
      </c>
      <c r="B31" t="s">
        <v>2530</v>
      </c>
      <c r="C31" t="s">
        <v>15</v>
      </c>
      <c r="D31" t="s">
        <v>3208</v>
      </c>
      <c r="E31" s="1">
        <v>44950.625</v>
      </c>
      <c r="F31" s="1" t="str">
        <f t="shared" si="0"/>
        <v>Tuesday</v>
      </c>
      <c r="G31" t="s">
        <v>122</v>
      </c>
      <c r="H31" t="s">
        <v>3464</v>
      </c>
      <c r="I31" t="s">
        <v>32</v>
      </c>
      <c r="J31" t="s">
        <v>4106</v>
      </c>
      <c r="K31" t="s">
        <v>123</v>
      </c>
      <c r="L31">
        <v>12</v>
      </c>
      <c r="M31">
        <v>25</v>
      </c>
      <c r="N31" t="s">
        <v>124</v>
      </c>
      <c r="O31" t="s">
        <v>3401</v>
      </c>
      <c r="P31">
        <v>2023</v>
      </c>
      <c r="Q31">
        <v>1</v>
      </c>
      <c r="R31">
        <v>24</v>
      </c>
      <c r="S31">
        <v>15</v>
      </c>
      <c r="T31" t="str">
        <f>TEXT(Table1[[#This Row],[Month]],"MMMM")</f>
        <v>January</v>
      </c>
    </row>
    <row r="32" spans="1:20" x14ac:dyDescent="0.25">
      <c r="A32" t="s">
        <v>125</v>
      </c>
      <c r="B32" t="s">
        <v>2531</v>
      </c>
      <c r="C32" t="s">
        <v>15</v>
      </c>
      <c r="D32" t="s">
        <v>3208</v>
      </c>
      <c r="E32" s="1">
        <v>44950.729166666664</v>
      </c>
      <c r="F32" s="1" t="str">
        <f t="shared" si="0"/>
        <v>Tuesday</v>
      </c>
      <c r="G32" t="s">
        <v>126</v>
      </c>
      <c r="H32" t="s">
        <v>3465</v>
      </c>
      <c r="I32" t="s">
        <v>27</v>
      </c>
      <c r="J32" t="s">
        <v>4105</v>
      </c>
      <c r="K32" t="s">
        <v>127</v>
      </c>
      <c r="L32">
        <v>18</v>
      </c>
      <c r="M32">
        <v>35</v>
      </c>
      <c r="N32" t="s">
        <v>128</v>
      </c>
      <c r="O32" t="s">
        <v>3432</v>
      </c>
      <c r="P32">
        <v>2023</v>
      </c>
      <c r="Q32">
        <v>1</v>
      </c>
      <c r="R32">
        <v>24</v>
      </c>
      <c r="S32">
        <v>17</v>
      </c>
      <c r="T32" t="str">
        <f>TEXT(Table1[[#This Row],[Month]],"MMMM")</f>
        <v>January</v>
      </c>
    </row>
    <row r="33" spans="1:20" x14ac:dyDescent="0.25">
      <c r="A33" t="s">
        <v>129</v>
      </c>
      <c r="B33" t="s">
        <v>2532</v>
      </c>
      <c r="C33" t="s">
        <v>15</v>
      </c>
      <c r="D33" t="s">
        <v>3208</v>
      </c>
      <c r="E33" s="1">
        <v>44951.75</v>
      </c>
      <c r="F33" s="1" t="str">
        <f t="shared" si="0"/>
        <v>Wednesday</v>
      </c>
      <c r="G33" t="s">
        <v>130</v>
      </c>
      <c r="H33" t="s">
        <v>3466</v>
      </c>
      <c r="I33" t="s">
        <v>17</v>
      </c>
      <c r="J33" t="s">
        <v>4104</v>
      </c>
      <c r="K33" t="s">
        <v>131</v>
      </c>
      <c r="L33">
        <v>15</v>
      </c>
      <c r="M33">
        <v>30</v>
      </c>
      <c r="N33" t="s">
        <v>43</v>
      </c>
      <c r="O33" t="s">
        <v>3403</v>
      </c>
      <c r="P33">
        <v>2023</v>
      </c>
      <c r="Q33">
        <v>1</v>
      </c>
      <c r="R33">
        <v>25</v>
      </c>
      <c r="S33">
        <v>18</v>
      </c>
      <c r="T33" t="str">
        <f>TEXT(Table1[[#This Row],[Month]],"MMMM")</f>
        <v>January</v>
      </c>
    </row>
    <row r="34" spans="1:20" x14ac:dyDescent="0.25">
      <c r="A34" t="s">
        <v>132</v>
      </c>
      <c r="B34" t="s">
        <v>2533</v>
      </c>
      <c r="C34" t="s">
        <v>15</v>
      </c>
      <c r="D34" t="s">
        <v>3208</v>
      </c>
      <c r="E34" s="1">
        <v>44951.552083333336</v>
      </c>
      <c r="F34" s="1" t="str">
        <f t="shared" si="0"/>
        <v>Wednesday</v>
      </c>
      <c r="G34" t="s">
        <v>133</v>
      </c>
      <c r="H34" t="s">
        <v>3467</v>
      </c>
      <c r="I34" t="s">
        <v>32</v>
      </c>
      <c r="J34" t="s">
        <v>4106</v>
      </c>
      <c r="K34" t="s">
        <v>134</v>
      </c>
      <c r="L34">
        <v>30</v>
      </c>
      <c r="M34">
        <v>60</v>
      </c>
      <c r="N34" t="s">
        <v>99</v>
      </c>
      <c r="O34" t="s">
        <v>60</v>
      </c>
      <c r="P34">
        <v>2023</v>
      </c>
      <c r="Q34">
        <v>1</v>
      </c>
      <c r="R34">
        <v>25</v>
      </c>
      <c r="S34">
        <v>13</v>
      </c>
      <c r="T34" t="str">
        <f>TEXT(Table1[[#This Row],[Month]],"MMMM")</f>
        <v>January</v>
      </c>
    </row>
    <row r="35" spans="1:20" x14ac:dyDescent="0.25">
      <c r="A35" t="s">
        <v>135</v>
      </c>
      <c r="B35" t="s">
        <v>2534</v>
      </c>
      <c r="C35" t="s">
        <v>15</v>
      </c>
      <c r="D35" t="s">
        <v>3208</v>
      </c>
      <c r="E35" s="1">
        <v>44952.40625</v>
      </c>
      <c r="F35" s="1" t="str">
        <f t="shared" si="0"/>
        <v>Thursday</v>
      </c>
      <c r="G35" t="s">
        <v>136</v>
      </c>
      <c r="H35" t="s">
        <v>3468</v>
      </c>
      <c r="I35" t="s">
        <v>27</v>
      </c>
      <c r="J35" t="s">
        <v>4105</v>
      </c>
      <c r="K35" t="s">
        <v>137</v>
      </c>
      <c r="L35">
        <v>25</v>
      </c>
      <c r="M35">
        <v>50</v>
      </c>
      <c r="N35" t="s">
        <v>60</v>
      </c>
      <c r="O35" t="s">
        <v>60</v>
      </c>
      <c r="P35">
        <v>2023</v>
      </c>
      <c r="Q35">
        <v>1</v>
      </c>
      <c r="R35">
        <v>26</v>
      </c>
      <c r="S35">
        <v>9</v>
      </c>
      <c r="T35" t="str">
        <f>TEXT(Table1[[#This Row],[Month]],"MMMM")</f>
        <v>January</v>
      </c>
    </row>
    <row r="36" spans="1:20" x14ac:dyDescent="0.25">
      <c r="A36" t="s">
        <v>138</v>
      </c>
      <c r="B36" t="s">
        <v>2535</v>
      </c>
      <c r="C36" t="s">
        <v>15</v>
      </c>
      <c r="D36" t="s">
        <v>3208</v>
      </c>
      <c r="E36" s="1">
        <v>44952.597222222219</v>
      </c>
      <c r="F36" s="1" t="str">
        <f t="shared" si="0"/>
        <v>Thursday</v>
      </c>
      <c r="G36" t="s">
        <v>139</v>
      </c>
      <c r="H36" t="s">
        <v>3469</v>
      </c>
      <c r="I36" t="s">
        <v>17</v>
      </c>
      <c r="J36" t="s">
        <v>4104</v>
      </c>
      <c r="K36" t="s">
        <v>140</v>
      </c>
      <c r="L36">
        <v>15</v>
      </c>
      <c r="M36">
        <v>30</v>
      </c>
      <c r="N36" t="s">
        <v>24</v>
      </c>
      <c r="O36" t="s">
        <v>3401</v>
      </c>
      <c r="P36">
        <v>2023</v>
      </c>
      <c r="Q36">
        <v>1</v>
      </c>
      <c r="R36">
        <v>26</v>
      </c>
      <c r="S36">
        <v>14</v>
      </c>
      <c r="T36" t="str">
        <f>TEXT(Table1[[#This Row],[Month]],"MMMM")</f>
        <v>January</v>
      </c>
    </row>
    <row r="37" spans="1:20" x14ac:dyDescent="0.25">
      <c r="A37" t="s">
        <v>141</v>
      </c>
      <c r="B37" t="s">
        <v>2536</v>
      </c>
      <c r="C37" t="s">
        <v>15</v>
      </c>
      <c r="D37" t="s">
        <v>3208</v>
      </c>
      <c r="E37" s="1">
        <v>44952.736111111109</v>
      </c>
      <c r="F37" s="1" t="str">
        <f t="shared" si="0"/>
        <v>Thursday</v>
      </c>
      <c r="G37" t="s">
        <v>142</v>
      </c>
      <c r="H37" t="s">
        <v>3470</v>
      </c>
      <c r="I37" t="s">
        <v>32</v>
      </c>
      <c r="J37" t="s">
        <v>4106</v>
      </c>
      <c r="K37" t="s">
        <v>143</v>
      </c>
      <c r="L37">
        <v>22</v>
      </c>
      <c r="M37">
        <v>45</v>
      </c>
      <c r="N37" t="s">
        <v>128</v>
      </c>
      <c r="O37" t="s">
        <v>3432</v>
      </c>
      <c r="P37">
        <v>2023</v>
      </c>
      <c r="Q37">
        <v>1</v>
      </c>
      <c r="R37">
        <v>26</v>
      </c>
      <c r="S37">
        <v>17</v>
      </c>
      <c r="T37" t="str">
        <f>TEXT(Table1[[#This Row],[Month]],"MMMM")</f>
        <v>January</v>
      </c>
    </row>
    <row r="38" spans="1:20" x14ac:dyDescent="0.25">
      <c r="A38" t="s">
        <v>144</v>
      </c>
      <c r="B38" t="s">
        <v>2537</v>
      </c>
      <c r="C38" t="s">
        <v>15</v>
      </c>
      <c r="D38" t="s">
        <v>3208</v>
      </c>
      <c r="E38" s="1">
        <v>44953.833333333336</v>
      </c>
      <c r="F38" s="1" t="str">
        <f t="shared" si="0"/>
        <v>Friday</v>
      </c>
      <c r="G38" t="s">
        <v>145</v>
      </c>
      <c r="H38" t="s">
        <v>3471</v>
      </c>
      <c r="I38" t="s">
        <v>27</v>
      </c>
      <c r="J38" t="s">
        <v>4105</v>
      </c>
      <c r="K38" t="s">
        <v>146</v>
      </c>
      <c r="L38">
        <v>18</v>
      </c>
      <c r="M38">
        <v>35</v>
      </c>
      <c r="N38" t="s">
        <v>99</v>
      </c>
      <c r="O38" t="s">
        <v>60</v>
      </c>
      <c r="P38">
        <v>2023</v>
      </c>
      <c r="Q38">
        <v>1</v>
      </c>
      <c r="R38">
        <v>27</v>
      </c>
      <c r="S38">
        <v>20</v>
      </c>
      <c r="T38" t="str">
        <f>TEXT(Table1[[#This Row],[Month]],"MMMM")</f>
        <v>January</v>
      </c>
    </row>
    <row r="39" spans="1:20" x14ac:dyDescent="0.25">
      <c r="A39" t="s">
        <v>147</v>
      </c>
      <c r="B39" t="s">
        <v>2538</v>
      </c>
      <c r="C39" t="s">
        <v>15</v>
      </c>
      <c r="D39" t="s">
        <v>3208</v>
      </c>
      <c r="E39" s="1">
        <v>44953.520833333336</v>
      </c>
      <c r="F39" s="1" t="str">
        <f t="shared" si="0"/>
        <v>Friday</v>
      </c>
      <c r="G39" t="s">
        <v>148</v>
      </c>
      <c r="H39" t="s">
        <v>3472</v>
      </c>
      <c r="I39" t="s">
        <v>17</v>
      </c>
      <c r="J39" t="s">
        <v>4104</v>
      </c>
      <c r="K39" t="s">
        <v>149</v>
      </c>
      <c r="L39">
        <v>15</v>
      </c>
      <c r="M39">
        <v>30</v>
      </c>
      <c r="N39" t="s">
        <v>43</v>
      </c>
      <c r="O39" t="s">
        <v>3403</v>
      </c>
      <c r="P39">
        <v>2023</v>
      </c>
      <c r="Q39">
        <v>1</v>
      </c>
      <c r="R39">
        <v>27</v>
      </c>
      <c r="S39">
        <v>12</v>
      </c>
      <c r="T39" t="str">
        <f>TEXT(Table1[[#This Row],[Month]],"MMMM")</f>
        <v>January</v>
      </c>
    </row>
    <row r="40" spans="1:20" x14ac:dyDescent="0.25">
      <c r="A40" t="s">
        <v>150</v>
      </c>
      <c r="B40" t="s">
        <v>2539</v>
      </c>
      <c r="C40" t="s">
        <v>15</v>
      </c>
      <c r="D40" t="s">
        <v>3208</v>
      </c>
      <c r="E40" s="1">
        <v>44953.673611111109</v>
      </c>
      <c r="F40" s="1" t="str">
        <f t="shared" si="0"/>
        <v>Friday</v>
      </c>
      <c r="G40" t="s">
        <v>151</v>
      </c>
      <c r="H40" t="s">
        <v>3473</v>
      </c>
      <c r="I40" t="s">
        <v>32</v>
      </c>
      <c r="J40" t="s">
        <v>4106</v>
      </c>
      <c r="K40" t="s">
        <v>152</v>
      </c>
      <c r="L40">
        <v>12</v>
      </c>
      <c r="M40">
        <v>25</v>
      </c>
      <c r="N40" t="s">
        <v>124</v>
      </c>
      <c r="O40" t="s">
        <v>3401</v>
      </c>
      <c r="P40">
        <v>2023</v>
      </c>
      <c r="Q40">
        <v>1</v>
      </c>
      <c r="R40">
        <v>27</v>
      </c>
      <c r="S40">
        <v>16</v>
      </c>
      <c r="T40" t="str">
        <f>TEXT(Table1[[#This Row],[Month]],"MMMM")</f>
        <v>January</v>
      </c>
    </row>
    <row r="41" spans="1:20" x14ac:dyDescent="0.25">
      <c r="A41" t="s">
        <v>153</v>
      </c>
      <c r="B41" t="s">
        <v>2540</v>
      </c>
      <c r="C41" t="s">
        <v>15</v>
      </c>
      <c r="D41" t="s">
        <v>3208</v>
      </c>
      <c r="E41" s="1">
        <v>44954.375</v>
      </c>
      <c r="F41" s="1" t="str">
        <f t="shared" si="0"/>
        <v>Saturday</v>
      </c>
      <c r="G41" t="s">
        <v>154</v>
      </c>
      <c r="H41" t="s">
        <v>3474</v>
      </c>
      <c r="I41" t="s">
        <v>27</v>
      </c>
      <c r="J41" t="s">
        <v>4105</v>
      </c>
      <c r="K41" t="s">
        <v>155</v>
      </c>
      <c r="L41">
        <v>30</v>
      </c>
      <c r="M41">
        <v>60</v>
      </c>
      <c r="N41" t="s">
        <v>60</v>
      </c>
      <c r="O41" t="s">
        <v>60</v>
      </c>
      <c r="P41">
        <v>2023</v>
      </c>
      <c r="Q41">
        <v>1</v>
      </c>
      <c r="R41">
        <v>28</v>
      </c>
      <c r="S41">
        <v>9</v>
      </c>
      <c r="T41" t="str">
        <f>TEXT(Table1[[#This Row],[Month]],"MMMM")</f>
        <v>January</v>
      </c>
    </row>
    <row r="42" spans="1:20" x14ac:dyDescent="0.25">
      <c r="A42" t="s">
        <v>156</v>
      </c>
      <c r="B42" t="s">
        <v>2541</v>
      </c>
      <c r="C42" t="s">
        <v>15</v>
      </c>
      <c r="D42" t="s">
        <v>3208</v>
      </c>
      <c r="E42" s="1">
        <v>44954.614583333336</v>
      </c>
      <c r="F42" s="1" t="str">
        <f t="shared" si="0"/>
        <v>Saturday</v>
      </c>
      <c r="G42" t="s">
        <v>157</v>
      </c>
      <c r="H42" t="s">
        <v>3475</v>
      </c>
      <c r="I42" t="s">
        <v>17</v>
      </c>
      <c r="J42" t="s">
        <v>4104</v>
      </c>
      <c r="K42" t="s">
        <v>158</v>
      </c>
      <c r="L42">
        <v>25</v>
      </c>
      <c r="M42">
        <v>50</v>
      </c>
      <c r="N42" t="s">
        <v>19</v>
      </c>
      <c r="O42" t="s">
        <v>60</v>
      </c>
      <c r="P42">
        <v>2023</v>
      </c>
      <c r="Q42">
        <v>1</v>
      </c>
      <c r="R42">
        <v>28</v>
      </c>
      <c r="S42">
        <v>14</v>
      </c>
      <c r="T42" t="str">
        <f>TEXT(Table1[[#This Row],[Month]],"MMMM")</f>
        <v>January</v>
      </c>
    </row>
    <row r="43" spans="1:20" x14ac:dyDescent="0.25">
      <c r="A43" t="s">
        <v>159</v>
      </c>
      <c r="B43" t="s">
        <v>2542</v>
      </c>
      <c r="C43" t="s">
        <v>15</v>
      </c>
      <c r="D43" t="s">
        <v>3208</v>
      </c>
      <c r="E43" s="1">
        <v>44954.8125</v>
      </c>
      <c r="F43" s="1" t="str">
        <f t="shared" si="0"/>
        <v>Saturday</v>
      </c>
      <c r="G43" t="s">
        <v>160</v>
      </c>
      <c r="H43" t="s">
        <v>3476</v>
      </c>
      <c r="I43" t="s">
        <v>32</v>
      </c>
      <c r="J43" t="s">
        <v>4106</v>
      </c>
      <c r="K43" t="s">
        <v>161</v>
      </c>
      <c r="L43">
        <v>15</v>
      </c>
      <c r="M43">
        <v>30</v>
      </c>
      <c r="N43" t="s">
        <v>110</v>
      </c>
      <c r="O43" t="s">
        <v>3432</v>
      </c>
      <c r="P43">
        <v>2023</v>
      </c>
      <c r="Q43">
        <v>1</v>
      </c>
      <c r="R43">
        <v>28</v>
      </c>
      <c r="S43">
        <v>19</v>
      </c>
      <c r="T43" t="str">
        <f>TEXT(Table1[[#This Row],[Month]],"MMMM")</f>
        <v>January</v>
      </c>
    </row>
    <row r="44" spans="1:20" x14ac:dyDescent="0.25">
      <c r="A44" t="s">
        <v>162</v>
      </c>
      <c r="B44" t="s">
        <v>2543</v>
      </c>
      <c r="C44" t="s">
        <v>15</v>
      </c>
      <c r="D44" t="s">
        <v>3208</v>
      </c>
      <c r="E44" s="1">
        <v>44955.708333333336</v>
      </c>
      <c r="F44" s="1" t="str">
        <f t="shared" si="0"/>
        <v>Sunday</v>
      </c>
      <c r="G44" t="s">
        <v>163</v>
      </c>
      <c r="H44" t="s">
        <v>3477</v>
      </c>
      <c r="I44" t="s">
        <v>27</v>
      </c>
      <c r="J44" t="s">
        <v>4105</v>
      </c>
      <c r="K44" t="s">
        <v>164</v>
      </c>
      <c r="L44">
        <v>22</v>
      </c>
      <c r="M44">
        <v>45</v>
      </c>
      <c r="N44" t="s">
        <v>165</v>
      </c>
      <c r="O44" t="s">
        <v>3403</v>
      </c>
      <c r="P44">
        <v>2023</v>
      </c>
      <c r="Q44">
        <v>1</v>
      </c>
      <c r="R44">
        <v>29</v>
      </c>
      <c r="S44">
        <v>17</v>
      </c>
      <c r="T44" t="str">
        <f>TEXT(Table1[[#This Row],[Month]],"MMMM")</f>
        <v>January</v>
      </c>
    </row>
    <row r="45" spans="1:20" x14ac:dyDescent="0.25">
      <c r="A45" t="s">
        <v>166</v>
      </c>
      <c r="B45" t="s">
        <v>2544</v>
      </c>
      <c r="C45" t="s">
        <v>15</v>
      </c>
      <c r="D45" t="s">
        <v>3208</v>
      </c>
      <c r="E45" s="1">
        <v>44955.847222222219</v>
      </c>
      <c r="F45" s="1" t="str">
        <f t="shared" si="0"/>
        <v>Sunday</v>
      </c>
      <c r="G45" t="s">
        <v>167</v>
      </c>
      <c r="H45" t="s">
        <v>3478</v>
      </c>
      <c r="I45" t="s">
        <v>17</v>
      </c>
      <c r="J45" t="s">
        <v>4104</v>
      </c>
      <c r="K45" t="s">
        <v>168</v>
      </c>
      <c r="L45">
        <v>18</v>
      </c>
      <c r="M45">
        <v>35</v>
      </c>
      <c r="N45" t="s">
        <v>24</v>
      </c>
      <c r="O45" t="s">
        <v>3401</v>
      </c>
      <c r="P45">
        <v>2023</v>
      </c>
      <c r="Q45">
        <v>1</v>
      </c>
      <c r="R45">
        <v>29</v>
      </c>
      <c r="S45">
        <v>20</v>
      </c>
      <c r="T45" t="str">
        <f>TEXT(Table1[[#This Row],[Month]],"MMMM")</f>
        <v>January</v>
      </c>
    </row>
    <row r="46" spans="1:20" x14ac:dyDescent="0.25">
      <c r="A46" t="s">
        <v>169</v>
      </c>
      <c r="B46" t="s">
        <v>2545</v>
      </c>
      <c r="C46" t="s">
        <v>15</v>
      </c>
      <c r="D46" t="s">
        <v>3208</v>
      </c>
      <c r="E46" s="1">
        <v>44956.479166666664</v>
      </c>
      <c r="F46" s="1" t="str">
        <f t="shared" si="0"/>
        <v>Monday</v>
      </c>
      <c r="G46" t="s">
        <v>170</v>
      </c>
      <c r="H46" t="s">
        <v>3479</v>
      </c>
      <c r="I46" t="s">
        <v>32</v>
      </c>
      <c r="J46" t="s">
        <v>4106</v>
      </c>
      <c r="K46" t="s">
        <v>171</v>
      </c>
      <c r="L46">
        <v>15</v>
      </c>
      <c r="M46">
        <v>30</v>
      </c>
      <c r="N46" t="s">
        <v>19</v>
      </c>
      <c r="O46" t="s">
        <v>60</v>
      </c>
      <c r="P46">
        <v>2023</v>
      </c>
      <c r="Q46">
        <v>1</v>
      </c>
      <c r="R46">
        <v>30</v>
      </c>
      <c r="S46">
        <v>11</v>
      </c>
      <c r="T46" t="str">
        <f>TEXT(Table1[[#This Row],[Month]],"MMMM")</f>
        <v>January</v>
      </c>
    </row>
    <row r="47" spans="1:20" x14ac:dyDescent="0.25">
      <c r="A47" t="s">
        <v>172</v>
      </c>
      <c r="B47" t="s">
        <v>2546</v>
      </c>
      <c r="C47" t="s">
        <v>15</v>
      </c>
      <c r="D47" t="s">
        <v>3208</v>
      </c>
      <c r="E47" s="1">
        <v>44956.65625</v>
      </c>
      <c r="F47" s="1" t="str">
        <f t="shared" si="0"/>
        <v>Monday</v>
      </c>
      <c r="G47" t="s">
        <v>173</v>
      </c>
      <c r="H47" t="s">
        <v>3480</v>
      </c>
      <c r="I47" t="s">
        <v>27</v>
      </c>
      <c r="J47" t="s">
        <v>4105</v>
      </c>
      <c r="K47" t="s">
        <v>174</v>
      </c>
      <c r="L47">
        <v>12</v>
      </c>
      <c r="M47">
        <v>25</v>
      </c>
      <c r="N47" t="s">
        <v>175</v>
      </c>
      <c r="O47" t="s">
        <v>3432</v>
      </c>
      <c r="P47">
        <v>2023</v>
      </c>
      <c r="Q47">
        <v>1</v>
      </c>
      <c r="R47">
        <v>30</v>
      </c>
      <c r="S47">
        <v>15</v>
      </c>
      <c r="T47" t="str">
        <f>TEXT(Table1[[#This Row],[Month]],"MMMM")</f>
        <v>January</v>
      </c>
    </row>
    <row r="48" spans="1:20" x14ac:dyDescent="0.25">
      <c r="A48" t="s">
        <v>176</v>
      </c>
      <c r="B48" t="s">
        <v>2547</v>
      </c>
      <c r="C48" t="s">
        <v>15</v>
      </c>
      <c r="D48" t="s">
        <v>3208</v>
      </c>
      <c r="E48" s="1">
        <v>44956.770833333336</v>
      </c>
      <c r="F48" s="1" t="str">
        <f t="shared" si="0"/>
        <v>Monday</v>
      </c>
      <c r="G48" t="s">
        <v>177</v>
      </c>
      <c r="H48" t="s">
        <v>3481</v>
      </c>
      <c r="I48" t="s">
        <v>17</v>
      </c>
      <c r="J48" t="s">
        <v>4104</v>
      </c>
      <c r="K48" t="s">
        <v>178</v>
      </c>
      <c r="L48">
        <v>28</v>
      </c>
      <c r="M48">
        <v>55</v>
      </c>
      <c r="N48" t="s">
        <v>43</v>
      </c>
      <c r="O48" t="s">
        <v>3403</v>
      </c>
      <c r="P48">
        <v>2023</v>
      </c>
      <c r="Q48">
        <v>1</v>
      </c>
      <c r="R48">
        <v>30</v>
      </c>
      <c r="S48">
        <v>18</v>
      </c>
      <c r="T48" t="str">
        <f>TEXT(Table1[[#This Row],[Month]],"MMMM")</f>
        <v>January</v>
      </c>
    </row>
    <row r="49" spans="1:20" x14ac:dyDescent="0.25">
      <c r="A49" t="s">
        <v>179</v>
      </c>
      <c r="B49" t="s">
        <v>2548</v>
      </c>
      <c r="C49" t="s">
        <v>15</v>
      </c>
      <c r="D49" t="s">
        <v>3208</v>
      </c>
      <c r="E49" s="1">
        <v>44957.447916666664</v>
      </c>
      <c r="F49" s="1" t="str">
        <f t="shared" si="0"/>
        <v>Tuesday</v>
      </c>
      <c r="G49" t="s">
        <v>180</v>
      </c>
      <c r="H49" t="s">
        <v>3482</v>
      </c>
      <c r="I49" t="s">
        <v>32</v>
      </c>
      <c r="J49" t="s">
        <v>4106</v>
      </c>
      <c r="K49" t="s">
        <v>181</v>
      </c>
      <c r="L49">
        <v>15</v>
      </c>
      <c r="M49">
        <v>30</v>
      </c>
      <c r="N49" t="s">
        <v>39</v>
      </c>
      <c r="O49" t="s">
        <v>3402</v>
      </c>
      <c r="P49">
        <v>2023</v>
      </c>
      <c r="Q49">
        <v>1</v>
      </c>
      <c r="R49">
        <v>31</v>
      </c>
      <c r="S49">
        <v>10</v>
      </c>
      <c r="T49" t="str">
        <f>TEXT(Table1[[#This Row],[Month]],"MMMM")</f>
        <v>January</v>
      </c>
    </row>
    <row r="50" spans="1:20" x14ac:dyDescent="0.25">
      <c r="A50" t="s">
        <v>182</v>
      </c>
      <c r="B50" t="s">
        <v>2549</v>
      </c>
      <c r="C50" t="s">
        <v>15</v>
      </c>
      <c r="D50" t="s">
        <v>3208</v>
      </c>
      <c r="E50" s="1">
        <v>44957.791666666664</v>
      </c>
      <c r="F50" s="1" t="str">
        <f t="shared" si="0"/>
        <v>Tuesday</v>
      </c>
      <c r="G50" t="s">
        <v>183</v>
      </c>
      <c r="H50" t="s">
        <v>3483</v>
      </c>
      <c r="I50" t="s">
        <v>27</v>
      </c>
      <c r="J50" t="s">
        <v>4105</v>
      </c>
      <c r="K50" t="s">
        <v>184</v>
      </c>
      <c r="L50">
        <v>20</v>
      </c>
      <c r="M50">
        <v>40</v>
      </c>
      <c r="N50" t="s">
        <v>89</v>
      </c>
      <c r="O50" t="s">
        <v>60</v>
      </c>
      <c r="P50">
        <v>2023</v>
      </c>
      <c r="Q50">
        <v>1</v>
      </c>
      <c r="R50">
        <v>31</v>
      </c>
      <c r="S50">
        <v>19</v>
      </c>
      <c r="T50" t="str">
        <f>TEXT(Table1[[#This Row],[Month]],"MMMM")</f>
        <v>January</v>
      </c>
    </row>
    <row r="51" spans="1:20" x14ac:dyDescent="0.25">
      <c r="A51" t="s">
        <v>185</v>
      </c>
      <c r="B51" t="s">
        <v>2550</v>
      </c>
      <c r="C51" t="s">
        <v>15</v>
      </c>
      <c r="D51" t="s">
        <v>3208</v>
      </c>
      <c r="E51" s="1">
        <v>44957.680555555555</v>
      </c>
      <c r="F51" s="1" t="str">
        <f t="shared" si="0"/>
        <v>Tuesday</v>
      </c>
      <c r="G51" t="s">
        <v>186</v>
      </c>
      <c r="H51" t="s">
        <v>3484</v>
      </c>
      <c r="I51" t="s">
        <v>17</v>
      </c>
      <c r="J51" t="s">
        <v>4104</v>
      </c>
      <c r="K51" t="s">
        <v>187</v>
      </c>
      <c r="L51">
        <v>15</v>
      </c>
      <c r="M51">
        <v>30</v>
      </c>
      <c r="N51" t="s">
        <v>24</v>
      </c>
      <c r="O51" t="s">
        <v>3401</v>
      </c>
      <c r="P51">
        <v>2023</v>
      </c>
      <c r="Q51">
        <v>1</v>
      </c>
      <c r="R51">
        <v>31</v>
      </c>
      <c r="S51">
        <v>16</v>
      </c>
      <c r="T51" t="str">
        <f>TEXT(Table1[[#This Row],[Month]],"MMMM")</f>
        <v>January</v>
      </c>
    </row>
    <row r="52" spans="1:20" x14ac:dyDescent="0.25">
      <c r="A52" t="s">
        <v>188</v>
      </c>
      <c r="B52" t="s">
        <v>2551</v>
      </c>
      <c r="C52" t="s">
        <v>15</v>
      </c>
      <c r="D52" t="s">
        <v>3208</v>
      </c>
      <c r="E52" s="1">
        <v>44958.333333333336</v>
      </c>
      <c r="F52" s="1" t="str">
        <f t="shared" si="0"/>
        <v>Wednesday</v>
      </c>
      <c r="G52" t="s">
        <v>189</v>
      </c>
      <c r="H52" t="s">
        <v>3485</v>
      </c>
      <c r="I52" t="s">
        <v>32</v>
      </c>
      <c r="J52" t="s">
        <v>4106</v>
      </c>
      <c r="K52" t="s">
        <v>190</v>
      </c>
      <c r="L52">
        <v>22</v>
      </c>
      <c r="M52">
        <v>45</v>
      </c>
      <c r="N52" t="s">
        <v>191</v>
      </c>
      <c r="O52" t="s">
        <v>3432</v>
      </c>
      <c r="P52">
        <v>2023</v>
      </c>
      <c r="Q52">
        <v>2</v>
      </c>
      <c r="R52">
        <v>1</v>
      </c>
      <c r="S52">
        <v>8</v>
      </c>
      <c r="T52" t="str">
        <f>TEXT(Table1[[#This Row],[Month]],"MMMM")</f>
        <v>January</v>
      </c>
    </row>
    <row r="53" spans="1:20" x14ac:dyDescent="0.25">
      <c r="A53" t="s">
        <v>192</v>
      </c>
      <c r="B53" t="s">
        <v>2552</v>
      </c>
      <c r="C53" t="s">
        <v>15</v>
      </c>
      <c r="D53" t="s">
        <v>3208</v>
      </c>
      <c r="E53" s="1">
        <v>44958.5625</v>
      </c>
      <c r="F53" s="1" t="str">
        <f t="shared" si="0"/>
        <v>Wednesday</v>
      </c>
      <c r="G53" t="s">
        <v>193</v>
      </c>
      <c r="H53" t="s">
        <v>3486</v>
      </c>
      <c r="I53" t="s">
        <v>27</v>
      </c>
      <c r="J53" t="s">
        <v>4105</v>
      </c>
      <c r="K53" t="s">
        <v>194</v>
      </c>
      <c r="L53">
        <v>18</v>
      </c>
      <c r="M53">
        <v>35</v>
      </c>
      <c r="N53" t="s">
        <v>195</v>
      </c>
      <c r="O53" t="s">
        <v>60</v>
      </c>
      <c r="P53">
        <v>2023</v>
      </c>
      <c r="Q53">
        <v>2</v>
      </c>
      <c r="R53">
        <v>1</v>
      </c>
      <c r="S53">
        <v>13</v>
      </c>
      <c r="T53" t="str">
        <f>TEXT(Table1[[#This Row],[Month]],"MMMM")</f>
        <v>January</v>
      </c>
    </row>
    <row r="54" spans="1:20" x14ac:dyDescent="0.25">
      <c r="A54" t="s">
        <v>196</v>
      </c>
      <c r="B54" t="s">
        <v>2553</v>
      </c>
      <c r="C54" t="s">
        <v>197</v>
      </c>
      <c r="D54" t="s">
        <v>3211</v>
      </c>
      <c r="E54" s="1">
        <v>44968.395833333336</v>
      </c>
      <c r="F54" s="1" t="str">
        <f t="shared" si="0"/>
        <v>Saturday</v>
      </c>
      <c r="G54" t="s">
        <v>198</v>
      </c>
      <c r="H54" t="s">
        <v>3487</v>
      </c>
      <c r="I54" t="s">
        <v>17</v>
      </c>
      <c r="J54" t="s">
        <v>4104</v>
      </c>
      <c r="K54" t="s">
        <v>199</v>
      </c>
      <c r="L54">
        <v>20</v>
      </c>
      <c r="M54">
        <v>40</v>
      </c>
      <c r="N54" t="s">
        <v>200</v>
      </c>
      <c r="O54" t="s">
        <v>3401</v>
      </c>
      <c r="P54">
        <v>2023</v>
      </c>
      <c r="Q54">
        <v>2</v>
      </c>
      <c r="R54">
        <v>11</v>
      </c>
      <c r="S54">
        <v>9</v>
      </c>
      <c r="T54" t="str">
        <f>TEXT(Table1[[#This Row],[Month]],"MMMM")</f>
        <v>January</v>
      </c>
    </row>
    <row r="55" spans="1:20" x14ac:dyDescent="0.25">
      <c r="A55" t="s">
        <v>201</v>
      </c>
      <c r="B55" t="s">
        <v>2554</v>
      </c>
      <c r="C55" t="s">
        <v>202</v>
      </c>
      <c r="D55" t="s">
        <v>3212</v>
      </c>
      <c r="E55" s="1">
        <v>44968.885416666664</v>
      </c>
      <c r="F55" s="1" t="str">
        <f t="shared" si="0"/>
        <v>Saturday</v>
      </c>
      <c r="G55" t="s">
        <v>203</v>
      </c>
      <c r="H55" t="s">
        <v>3488</v>
      </c>
      <c r="I55" t="s">
        <v>27</v>
      </c>
      <c r="J55" t="s">
        <v>4105</v>
      </c>
      <c r="K55" t="s">
        <v>204</v>
      </c>
      <c r="L55">
        <v>15</v>
      </c>
      <c r="M55">
        <v>30</v>
      </c>
      <c r="N55" t="s">
        <v>205</v>
      </c>
      <c r="O55" t="s">
        <v>60</v>
      </c>
      <c r="P55">
        <v>2023</v>
      </c>
      <c r="Q55">
        <v>2</v>
      </c>
      <c r="R55">
        <v>11</v>
      </c>
      <c r="S55">
        <v>21</v>
      </c>
      <c r="T55" t="str">
        <f>TEXT(Table1[[#This Row],[Month]],"MMMM")</f>
        <v>January</v>
      </c>
    </row>
    <row r="56" spans="1:20" x14ac:dyDescent="0.25">
      <c r="A56" t="s">
        <v>206</v>
      </c>
      <c r="B56" t="s">
        <v>2555</v>
      </c>
      <c r="C56" t="s">
        <v>207</v>
      </c>
      <c r="D56" t="s">
        <v>3213</v>
      </c>
      <c r="E56" s="1">
        <v>44969.614583333336</v>
      </c>
      <c r="F56" s="1" t="str">
        <f t="shared" si="0"/>
        <v>Sunday</v>
      </c>
      <c r="G56" t="s">
        <v>208</v>
      </c>
      <c r="H56" t="s">
        <v>3489</v>
      </c>
      <c r="I56" t="s">
        <v>32</v>
      </c>
      <c r="J56" t="s">
        <v>4106</v>
      </c>
      <c r="K56" t="s">
        <v>209</v>
      </c>
      <c r="L56">
        <v>25</v>
      </c>
      <c r="M56">
        <v>50</v>
      </c>
      <c r="N56" t="s">
        <v>210</v>
      </c>
      <c r="O56" t="s">
        <v>3403</v>
      </c>
      <c r="P56">
        <v>2023</v>
      </c>
      <c r="Q56">
        <v>2</v>
      </c>
      <c r="R56">
        <v>12</v>
      </c>
      <c r="S56">
        <v>14</v>
      </c>
      <c r="T56" t="str">
        <f>TEXT(Table1[[#This Row],[Month]],"MMMM")</f>
        <v>January</v>
      </c>
    </row>
    <row r="57" spans="1:20" x14ac:dyDescent="0.25">
      <c r="A57" t="s">
        <v>211</v>
      </c>
      <c r="B57" t="s">
        <v>2556</v>
      </c>
      <c r="C57" t="s">
        <v>212</v>
      </c>
      <c r="D57" t="s">
        <v>3214</v>
      </c>
      <c r="E57" s="1">
        <v>44969.763888888891</v>
      </c>
      <c r="F57" s="1" t="str">
        <f t="shared" si="0"/>
        <v>Sunday</v>
      </c>
      <c r="G57" t="s">
        <v>213</v>
      </c>
      <c r="H57" t="s">
        <v>3490</v>
      </c>
      <c r="I57" t="s">
        <v>17</v>
      </c>
      <c r="J57" t="s">
        <v>4104</v>
      </c>
      <c r="K57" t="s">
        <v>214</v>
      </c>
      <c r="L57">
        <v>18</v>
      </c>
      <c r="M57">
        <v>35</v>
      </c>
      <c r="N57" t="s">
        <v>191</v>
      </c>
      <c r="O57" t="s">
        <v>3432</v>
      </c>
      <c r="P57">
        <v>2023</v>
      </c>
      <c r="Q57">
        <v>2</v>
      </c>
      <c r="R57">
        <v>12</v>
      </c>
      <c r="S57">
        <v>18</v>
      </c>
      <c r="T57" t="str">
        <f>TEXT(Table1[[#This Row],[Month]],"MMMM")</f>
        <v>January</v>
      </c>
    </row>
    <row r="58" spans="1:20" x14ac:dyDescent="0.25">
      <c r="A58" t="s">
        <v>215</v>
      </c>
      <c r="B58" t="s">
        <v>2557</v>
      </c>
      <c r="C58" t="s">
        <v>216</v>
      </c>
      <c r="D58" t="s">
        <v>3215</v>
      </c>
      <c r="E58" s="1">
        <v>44970.416666666664</v>
      </c>
      <c r="F58" s="1" t="str">
        <f t="shared" si="0"/>
        <v>Monday</v>
      </c>
      <c r="G58" t="s">
        <v>217</v>
      </c>
      <c r="H58" t="s">
        <v>3491</v>
      </c>
      <c r="I58" t="s">
        <v>27</v>
      </c>
      <c r="J58" t="s">
        <v>4105</v>
      </c>
      <c r="K58" t="s">
        <v>218</v>
      </c>
      <c r="L58">
        <v>30</v>
      </c>
      <c r="M58">
        <v>60</v>
      </c>
      <c r="N58" t="s">
        <v>99</v>
      </c>
      <c r="O58" t="s">
        <v>60</v>
      </c>
      <c r="P58">
        <v>2023</v>
      </c>
      <c r="Q58">
        <v>2</v>
      </c>
      <c r="R58">
        <v>13</v>
      </c>
      <c r="S58">
        <v>10</v>
      </c>
      <c r="T58" t="str">
        <f>TEXT(Table1[[#This Row],[Month]],"MMMM")</f>
        <v>January</v>
      </c>
    </row>
    <row r="59" spans="1:20" x14ac:dyDescent="0.25">
      <c r="A59" t="s">
        <v>219</v>
      </c>
      <c r="B59" t="s">
        <v>3207</v>
      </c>
      <c r="C59" t="s">
        <v>220</v>
      </c>
      <c r="D59" t="s">
        <v>3216</v>
      </c>
      <c r="E59" s="1">
        <v>44970.8125</v>
      </c>
      <c r="F59" s="1" t="str">
        <f t="shared" si="0"/>
        <v>Monday</v>
      </c>
      <c r="G59" t="s">
        <v>221</v>
      </c>
      <c r="H59" t="s">
        <v>3492</v>
      </c>
      <c r="I59" t="s">
        <v>32</v>
      </c>
      <c r="J59" t="s">
        <v>4106</v>
      </c>
      <c r="K59" t="s">
        <v>222</v>
      </c>
      <c r="L59">
        <v>22</v>
      </c>
      <c r="M59">
        <v>45</v>
      </c>
      <c r="N59" t="s">
        <v>79</v>
      </c>
      <c r="O59" t="s">
        <v>3401</v>
      </c>
      <c r="P59">
        <v>2023</v>
      </c>
      <c r="Q59">
        <v>2</v>
      </c>
      <c r="R59">
        <v>13</v>
      </c>
      <c r="S59">
        <v>19</v>
      </c>
      <c r="T59" t="str">
        <f>TEXT(Table1[[#This Row],[Month]],"MMMM")</f>
        <v>January</v>
      </c>
    </row>
    <row r="60" spans="1:20" x14ac:dyDescent="0.25">
      <c r="A60" t="s">
        <v>223</v>
      </c>
      <c r="B60" t="s">
        <v>2558</v>
      </c>
      <c r="C60" t="s">
        <v>224</v>
      </c>
      <c r="D60" t="s">
        <v>3217</v>
      </c>
      <c r="E60" s="1">
        <v>44971.354166666664</v>
      </c>
      <c r="F60" s="1" t="str">
        <f t="shared" si="0"/>
        <v>Tuesday</v>
      </c>
      <c r="G60" t="s">
        <v>225</v>
      </c>
      <c r="H60" t="s">
        <v>3493</v>
      </c>
      <c r="I60" t="s">
        <v>17</v>
      </c>
      <c r="J60" t="s">
        <v>4104</v>
      </c>
      <c r="K60" t="s">
        <v>226</v>
      </c>
      <c r="L60">
        <v>15</v>
      </c>
      <c r="M60">
        <v>30</v>
      </c>
      <c r="N60" t="s">
        <v>227</v>
      </c>
      <c r="O60" t="s">
        <v>3402</v>
      </c>
      <c r="P60">
        <v>2023</v>
      </c>
      <c r="Q60">
        <v>2</v>
      </c>
      <c r="R60">
        <v>14</v>
      </c>
      <c r="S60">
        <v>8</v>
      </c>
      <c r="T60" t="str">
        <f>TEXT(Table1[[#This Row],[Month]],"MMMM")</f>
        <v>January</v>
      </c>
    </row>
    <row r="61" spans="1:20" x14ac:dyDescent="0.25">
      <c r="A61" t="s">
        <v>228</v>
      </c>
      <c r="B61" t="s">
        <v>2559</v>
      </c>
      <c r="C61" t="s">
        <v>229</v>
      </c>
      <c r="D61" t="s">
        <v>3218</v>
      </c>
      <c r="E61" s="1">
        <v>44971.597222222219</v>
      </c>
      <c r="F61" s="1" t="str">
        <f t="shared" si="0"/>
        <v>Tuesday</v>
      </c>
      <c r="G61" t="s">
        <v>230</v>
      </c>
      <c r="H61" t="s">
        <v>3494</v>
      </c>
      <c r="I61" t="s">
        <v>27</v>
      </c>
      <c r="J61" t="s">
        <v>4105</v>
      </c>
      <c r="K61" t="s">
        <v>231</v>
      </c>
      <c r="L61">
        <v>18</v>
      </c>
      <c r="M61">
        <v>35</v>
      </c>
      <c r="N61" t="s">
        <v>232</v>
      </c>
      <c r="O61" t="s">
        <v>3432</v>
      </c>
      <c r="P61">
        <v>2023</v>
      </c>
      <c r="Q61">
        <v>2</v>
      </c>
      <c r="R61">
        <v>14</v>
      </c>
      <c r="S61">
        <v>14</v>
      </c>
      <c r="T61" t="str">
        <f>TEXT(Table1[[#This Row],[Month]],"MMMM")</f>
        <v>January</v>
      </c>
    </row>
    <row r="62" spans="1:20" x14ac:dyDescent="0.25">
      <c r="A62" t="s">
        <v>233</v>
      </c>
      <c r="B62" t="s">
        <v>2560</v>
      </c>
      <c r="C62" t="s">
        <v>234</v>
      </c>
      <c r="D62" t="s">
        <v>3219</v>
      </c>
      <c r="E62" s="1">
        <v>44971.822916666664</v>
      </c>
      <c r="F62" s="1" t="str">
        <f t="shared" si="0"/>
        <v>Tuesday</v>
      </c>
      <c r="G62" t="s">
        <v>235</v>
      </c>
      <c r="H62" t="s">
        <v>3495</v>
      </c>
      <c r="I62" t="s">
        <v>32</v>
      </c>
      <c r="J62" t="s">
        <v>4106</v>
      </c>
      <c r="K62" t="s">
        <v>236</v>
      </c>
      <c r="L62">
        <v>25</v>
      </c>
      <c r="M62">
        <v>50</v>
      </c>
      <c r="N62" t="s">
        <v>237</v>
      </c>
      <c r="O62" t="s">
        <v>3401</v>
      </c>
      <c r="P62">
        <v>2023</v>
      </c>
      <c r="Q62">
        <v>2</v>
      </c>
      <c r="R62">
        <v>14</v>
      </c>
      <c r="S62">
        <v>19</v>
      </c>
      <c r="T62" t="str">
        <f>TEXT(Table1[[#This Row],[Month]],"MMMM")</f>
        <v>January</v>
      </c>
    </row>
    <row r="63" spans="1:20" x14ac:dyDescent="0.25">
      <c r="A63" t="s">
        <v>238</v>
      </c>
      <c r="B63" t="s">
        <v>2561</v>
      </c>
      <c r="C63" t="s">
        <v>239</v>
      </c>
      <c r="D63" t="s">
        <v>3220</v>
      </c>
      <c r="E63" s="1">
        <v>44972.479166666664</v>
      </c>
      <c r="F63" s="1" t="str">
        <f t="shared" si="0"/>
        <v>Wednesday</v>
      </c>
      <c r="G63" t="s">
        <v>240</v>
      </c>
      <c r="H63" t="s">
        <v>3496</v>
      </c>
      <c r="I63" t="s">
        <v>17</v>
      </c>
      <c r="J63" t="s">
        <v>4104</v>
      </c>
      <c r="K63" t="s">
        <v>241</v>
      </c>
      <c r="L63">
        <v>20</v>
      </c>
      <c r="M63">
        <v>40</v>
      </c>
      <c r="N63" t="s">
        <v>89</v>
      </c>
      <c r="O63" t="s">
        <v>60</v>
      </c>
      <c r="P63">
        <v>2023</v>
      </c>
      <c r="Q63">
        <v>2</v>
      </c>
      <c r="R63">
        <v>15</v>
      </c>
      <c r="S63">
        <v>11</v>
      </c>
      <c r="T63" t="str">
        <f>TEXT(Table1[[#This Row],[Month]],"MMMM")</f>
        <v>January</v>
      </c>
    </row>
    <row r="64" spans="1:20" x14ac:dyDescent="0.25">
      <c r="A64" t="s">
        <v>242</v>
      </c>
      <c r="B64" t="s">
        <v>2562</v>
      </c>
      <c r="C64" t="s">
        <v>243</v>
      </c>
      <c r="D64" t="s">
        <v>3221</v>
      </c>
      <c r="E64" s="1">
        <v>44972.666666666664</v>
      </c>
      <c r="F64" s="1" t="str">
        <f t="shared" si="0"/>
        <v>Wednesday</v>
      </c>
      <c r="G64" t="s">
        <v>244</v>
      </c>
      <c r="H64" t="s">
        <v>3497</v>
      </c>
      <c r="I64" t="s">
        <v>27</v>
      </c>
      <c r="J64" t="s">
        <v>4105</v>
      </c>
      <c r="K64" t="s">
        <v>245</v>
      </c>
      <c r="L64">
        <v>15</v>
      </c>
      <c r="M64">
        <v>30</v>
      </c>
      <c r="N64" t="s">
        <v>60</v>
      </c>
      <c r="O64" t="s">
        <v>60</v>
      </c>
      <c r="P64">
        <v>2023</v>
      </c>
      <c r="Q64">
        <v>2</v>
      </c>
      <c r="R64">
        <v>15</v>
      </c>
      <c r="S64">
        <v>16</v>
      </c>
      <c r="T64" t="str">
        <f>TEXT(Table1[[#This Row],[Month]],"MMMM")</f>
        <v>January</v>
      </c>
    </row>
    <row r="65" spans="1:20" x14ac:dyDescent="0.25">
      <c r="A65" t="s">
        <v>246</v>
      </c>
      <c r="B65" t="s">
        <v>2563</v>
      </c>
      <c r="C65" t="s">
        <v>247</v>
      </c>
      <c r="D65" t="s">
        <v>3222</v>
      </c>
      <c r="E65" s="1">
        <v>44972.854166666664</v>
      </c>
      <c r="F65" s="1" t="str">
        <f t="shared" si="0"/>
        <v>Wednesday</v>
      </c>
      <c r="G65" t="s">
        <v>248</v>
      </c>
      <c r="H65" t="s">
        <v>3498</v>
      </c>
      <c r="I65" t="s">
        <v>32</v>
      </c>
      <c r="J65" t="s">
        <v>4106</v>
      </c>
      <c r="K65" t="s">
        <v>249</v>
      </c>
      <c r="L65">
        <v>22</v>
      </c>
      <c r="M65">
        <v>45</v>
      </c>
      <c r="N65" t="s">
        <v>250</v>
      </c>
      <c r="O65" t="s">
        <v>3402</v>
      </c>
      <c r="P65">
        <v>2023</v>
      </c>
      <c r="Q65">
        <v>2</v>
      </c>
      <c r="R65">
        <v>15</v>
      </c>
      <c r="S65">
        <v>20</v>
      </c>
      <c r="T65" t="str">
        <f>TEXT(Table1[[#This Row],[Month]],"MMMM")</f>
        <v>January</v>
      </c>
    </row>
    <row r="66" spans="1:20" x14ac:dyDescent="0.25">
      <c r="A66" t="s">
        <v>251</v>
      </c>
      <c r="B66" t="s">
        <v>2564</v>
      </c>
      <c r="C66" t="s">
        <v>252</v>
      </c>
      <c r="D66" t="s">
        <v>3223</v>
      </c>
      <c r="E66" s="1">
        <v>44973.375</v>
      </c>
      <c r="F66" s="1" t="str">
        <f t="shared" si="0"/>
        <v>Thursday</v>
      </c>
      <c r="G66" t="s">
        <v>253</v>
      </c>
      <c r="H66" t="s">
        <v>3499</v>
      </c>
      <c r="I66" t="s">
        <v>17</v>
      </c>
      <c r="J66" t="s">
        <v>4104</v>
      </c>
      <c r="K66" t="s">
        <v>254</v>
      </c>
      <c r="L66">
        <v>18</v>
      </c>
      <c r="M66">
        <v>35</v>
      </c>
      <c r="N66" t="s">
        <v>210</v>
      </c>
      <c r="O66" t="s">
        <v>3403</v>
      </c>
      <c r="P66">
        <v>2023</v>
      </c>
      <c r="Q66">
        <v>2</v>
      </c>
      <c r="R66">
        <v>16</v>
      </c>
      <c r="S66">
        <v>9</v>
      </c>
      <c r="T66" t="str">
        <f>TEXT(Table1[[#This Row],[Month]],"MMMM")</f>
        <v>January</v>
      </c>
    </row>
    <row r="67" spans="1:20" x14ac:dyDescent="0.25">
      <c r="A67" t="s">
        <v>255</v>
      </c>
      <c r="B67" t="s">
        <v>2565</v>
      </c>
      <c r="C67" t="s">
        <v>256</v>
      </c>
      <c r="D67" t="s">
        <v>3224</v>
      </c>
      <c r="E67" s="1">
        <v>44973.614583333336</v>
      </c>
      <c r="F67" s="1" t="str">
        <f t="shared" ref="F67:F130" si="1">TEXT(E67,"DDDD")</f>
        <v>Thursday</v>
      </c>
      <c r="G67" t="s">
        <v>257</v>
      </c>
      <c r="H67" t="s">
        <v>3500</v>
      </c>
      <c r="I67" t="s">
        <v>27</v>
      </c>
      <c r="J67" t="s">
        <v>4105</v>
      </c>
      <c r="K67" t="s">
        <v>258</v>
      </c>
      <c r="L67">
        <v>25</v>
      </c>
      <c r="M67">
        <v>50</v>
      </c>
      <c r="N67" t="s">
        <v>205</v>
      </c>
      <c r="O67" t="s">
        <v>60</v>
      </c>
      <c r="P67">
        <v>2023</v>
      </c>
      <c r="Q67">
        <v>2</v>
      </c>
      <c r="R67">
        <v>16</v>
      </c>
      <c r="S67">
        <v>14</v>
      </c>
      <c r="T67" t="str">
        <f>TEXT(Table1[[#This Row],[Month]],"MMMM")</f>
        <v>January</v>
      </c>
    </row>
    <row r="68" spans="1:20" x14ac:dyDescent="0.25">
      <c r="A68" t="s">
        <v>259</v>
      </c>
      <c r="B68" t="s">
        <v>2566</v>
      </c>
      <c r="C68" t="s">
        <v>260</v>
      </c>
      <c r="D68" t="s">
        <v>3225</v>
      </c>
      <c r="E68" s="1">
        <v>44973.763888888891</v>
      </c>
      <c r="F68" s="1" t="str">
        <f t="shared" si="1"/>
        <v>Thursday</v>
      </c>
      <c r="G68" t="s">
        <v>261</v>
      </c>
      <c r="H68" t="s">
        <v>3501</v>
      </c>
      <c r="I68" t="s">
        <v>32</v>
      </c>
      <c r="J68" t="s">
        <v>4106</v>
      </c>
      <c r="K68" t="s">
        <v>262</v>
      </c>
      <c r="L68">
        <v>15</v>
      </c>
      <c r="M68">
        <v>30</v>
      </c>
      <c r="N68" t="s">
        <v>200</v>
      </c>
      <c r="O68" t="s">
        <v>3401</v>
      </c>
      <c r="P68">
        <v>2023</v>
      </c>
      <c r="Q68">
        <v>2</v>
      </c>
      <c r="R68">
        <v>16</v>
      </c>
      <c r="S68">
        <v>18</v>
      </c>
      <c r="T68" t="str">
        <f>TEXT(Table1[[#This Row],[Month]],"MMMM")</f>
        <v>January</v>
      </c>
    </row>
    <row r="69" spans="1:20" x14ac:dyDescent="0.25">
      <c r="A69" t="s">
        <v>263</v>
      </c>
      <c r="B69" t="s">
        <v>2567</v>
      </c>
      <c r="C69" t="s">
        <v>264</v>
      </c>
      <c r="D69" t="s">
        <v>3226</v>
      </c>
      <c r="E69" s="1">
        <v>44974.447916666664</v>
      </c>
      <c r="F69" s="1" t="str">
        <f t="shared" si="1"/>
        <v>Friday</v>
      </c>
      <c r="G69" t="s">
        <v>265</v>
      </c>
      <c r="H69" t="s">
        <v>3502</v>
      </c>
      <c r="I69" t="s">
        <v>17</v>
      </c>
      <c r="J69" t="s">
        <v>4104</v>
      </c>
      <c r="K69" t="s">
        <v>266</v>
      </c>
      <c r="L69">
        <v>22</v>
      </c>
      <c r="M69">
        <v>45</v>
      </c>
      <c r="N69" t="s">
        <v>128</v>
      </c>
      <c r="O69" t="s">
        <v>3432</v>
      </c>
      <c r="P69">
        <v>2023</v>
      </c>
      <c r="Q69">
        <v>2</v>
      </c>
      <c r="R69">
        <v>17</v>
      </c>
      <c r="S69">
        <v>10</v>
      </c>
      <c r="T69" t="str">
        <f>TEXT(Table1[[#This Row],[Month]],"MMMM")</f>
        <v>January</v>
      </c>
    </row>
    <row r="70" spans="1:20" x14ac:dyDescent="0.25">
      <c r="A70" t="s">
        <v>267</v>
      </c>
      <c r="B70" t="s">
        <v>2568</v>
      </c>
      <c r="C70" t="s">
        <v>268</v>
      </c>
      <c r="D70" t="s">
        <v>3227</v>
      </c>
      <c r="E70" s="1">
        <v>44974.3125</v>
      </c>
      <c r="F70" s="1" t="str">
        <f t="shared" si="1"/>
        <v>Friday</v>
      </c>
      <c r="G70" t="s">
        <v>269</v>
      </c>
      <c r="H70" t="s">
        <v>3503</v>
      </c>
      <c r="I70" t="s">
        <v>27</v>
      </c>
      <c r="J70" t="s">
        <v>4105</v>
      </c>
      <c r="K70" t="s">
        <v>270</v>
      </c>
      <c r="L70">
        <v>20</v>
      </c>
      <c r="M70">
        <v>40</v>
      </c>
      <c r="N70" t="s">
        <v>60</v>
      </c>
      <c r="O70" t="s">
        <v>60</v>
      </c>
      <c r="P70">
        <v>2023</v>
      </c>
      <c r="Q70">
        <v>2</v>
      </c>
      <c r="R70">
        <v>17</v>
      </c>
      <c r="S70">
        <v>7</v>
      </c>
      <c r="T70" t="str">
        <f>TEXT(Table1[[#This Row],[Month]],"MMMM")</f>
        <v>January</v>
      </c>
    </row>
    <row r="71" spans="1:20" x14ac:dyDescent="0.25">
      <c r="A71" t="s">
        <v>271</v>
      </c>
      <c r="B71" t="s">
        <v>2569</v>
      </c>
      <c r="C71" t="s">
        <v>272</v>
      </c>
      <c r="D71" t="s">
        <v>3228</v>
      </c>
      <c r="E71" s="1">
        <v>44974.625</v>
      </c>
      <c r="F71" s="1" t="str">
        <f t="shared" si="1"/>
        <v>Friday</v>
      </c>
      <c r="G71" t="s">
        <v>273</v>
      </c>
      <c r="H71" t="s">
        <v>3504</v>
      </c>
      <c r="I71" t="s">
        <v>32</v>
      </c>
      <c r="J71" t="s">
        <v>4106</v>
      </c>
      <c r="K71" t="s">
        <v>274</v>
      </c>
      <c r="L71">
        <v>18</v>
      </c>
      <c r="M71">
        <v>35</v>
      </c>
      <c r="N71" t="s">
        <v>89</v>
      </c>
      <c r="O71" t="s">
        <v>60</v>
      </c>
      <c r="P71">
        <v>2023</v>
      </c>
      <c r="Q71">
        <v>2</v>
      </c>
      <c r="R71">
        <v>17</v>
      </c>
      <c r="S71">
        <v>15</v>
      </c>
      <c r="T71" t="str">
        <f>TEXT(Table1[[#This Row],[Month]],"MMMM")</f>
        <v>January</v>
      </c>
    </row>
    <row r="72" spans="1:20" x14ac:dyDescent="0.25">
      <c r="A72" t="s">
        <v>275</v>
      </c>
      <c r="B72" t="s">
        <v>2570</v>
      </c>
      <c r="C72" t="s">
        <v>276</v>
      </c>
      <c r="D72" t="s">
        <v>3229</v>
      </c>
      <c r="E72" s="1">
        <v>44975.395833333336</v>
      </c>
      <c r="F72" s="1" t="str">
        <f t="shared" si="1"/>
        <v>Saturday</v>
      </c>
      <c r="G72" t="s">
        <v>277</v>
      </c>
      <c r="H72" t="s">
        <v>3505</v>
      </c>
      <c r="I72" t="s">
        <v>17</v>
      </c>
      <c r="J72" t="s">
        <v>4104</v>
      </c>
      <c r="K72" t="s">
        <v>278</v>
      </c>
      <c r="L72">
        <v>15</v>
      </c>
      <c r="M72">
        <v>30</v>
      </c>
      <c r="N72" t="s">
        <v>114</v>
      </c>
      <c r="O72" t="s">
        <v>3403</v>
      </c>
      <c r="P72">
        <v>2023</v>
      </c>
      <c r="Q72">
        <v>2</v>
      </c>
      <c r="R72">
        <v>18</v>
      </c>
      <c r="S72">
        <v>9</v>
      </c>
      <c r="T72" t="str">
        <f>TEXT(Table1[[#This Row],[Month]],"MMMM")</f>
        <v>January</v>
      </c>
    </row>
    <row r="73" spans="1:20" x14ac:dyDescent="0.25">
      <c r="A73" t="s">
        <v>279</v>
      </c>
      <c r="B73" t="s">
        <v>2571</v>
      </c>
      <c r="C73" t="s">
        <v>280</v>
      </c>
      <c r="D73" t="s">
        <v>3230</v>
      </c>
      <c r="E73" s="1">
        <v>44975.597222222219</v>
      </c>
      <c r="F73" s="1" t="str">
        <f t="shared" si="1"/>
        <v>Saturday</v>
      </c>
      <c r="G73" t="s">
        <v>281</v>
      </c>
      <c r="H73" t="s">
        <v>3506</v>
      </c>
      <c r="I73" t="s">
        <v>27</v>
      </c>
      <c r="J73" t="s">
        <v>4105</v>
      </c>
      <c r="K73" t="s">
        <v>282</v>
      </c>
      <c r="L73">
        <v>25</v>
      </c>
      <c r="M73">
        <v>50</v>
      </c>
      <c r="N73" t="s">
        <v>175</v>
      </c>
      <c r="O73" t="s">
        <v>3432</v>
      </c>
      <c r="P73">
        <v>2023</v>
      </c>
      <c r="Q73">
        <v>2</v>
      </c>
      <c r="R73">
        <v>18</v>
      </c>
      <c r="S73">
        <v>14</v>
      </c>
      <c r="T73" t="str">
        <f>TEXT(Table1[[#This Row],[Month]],"MMMM")</f>
        <v>January</v>
      </c>
    </row>
    <row r="74" spans="1:20" x14ac:dyDescent="0.25">
      <c r="A74" t="s">
        <v>283</v>
      </c>
      <c r="B74" t="s">
        <v>2572</v>
      </c>
      <c r="C74" t="s">
        <v>284</v>
      </c>
      <c r="D74" t="s">
        <v>3231</v>
      </c>
      <c r="E74" s="1">
        <v>44975.78125</v>
      </c>
      <c r="F74" s="1" t="str">
        <f t="shared" si="1"/>
        <v>Saturday</v>
      </c>
      <c r="G74" t="s">
        <v>285</v>
      </c>
      <c r="H74" t="s">
        <v>3507</v>
      </c>
      <c r="I74" t="s">
        <v>32</v>
      </c>
      <c r="J74" t="s">
        <v>4106</v>
      </c>
      <c r="K74" t="s">
        <v>286</v>
      </c>
      <c r="L74">
        <v>22</v>
      </c>
      <c r="M74">
        <v>45</v>
      </c>
      <c r="N74" t="s">
        <v>79</v>
      </c>
      <c r="O74" t="s">
        <v>3401</v>
      </c>
      <c r="P74">
        <v>2023</v>
      </c>
      <c r="Q74">
        <v>2</v>
      </c>
      <c r="R74">
        <v>18</v>
      </c>
      <c r="S74">
        <v>18</v>
      </c>
      <c r="T74" t="str">
        <f>TEXT(Table1[[#This Row],[Month]],"MMMM")</f>
        <v>January</v>
      </c>
    </row>
    <row r="75" spans="1:20" x14ac:dyDescent="0.25">
      <c r="A75" t="s">
        <v>287</v>
      </c>
      <c r="B75" t="s">
        <v>2573</v>
      </c>
      <c r="C75" t="s">
        <v>288</v>
      </c>
      <c r="D75" t="s">
        <v>3232</v>
      </c>
      <c r="E75" s="1">
        <v>44976.479166666664</v>
      </c>
      <c r="F75" s="1" t="str">
        <f t="shared" si="1"/>
        <v>Sunday</v>
      </c>
      <c r="G75" t="s">
        <v>289</v>
      </c>
      <c r="H75" t="s">
        <v>3508</v>
      </c>
      <c r="I75" t="s">
        <v>17</v>
      </c>
      <c r="J75" t="s">
        <v>4104</v>
      </c>
      <c r="K75" t="s">
        <v>290</v>
      </c>
      <c r="L75">
        <v>20</v>
      </c>
      <c r="M75">
        <v>40</v>
      </c>
      <c r="N75" t="s">
        <v>89</v>
      </c>
      <c r="O75" t="s">
        <v>60</v>
      </c>
      <c r="P75">
        <v>2023</v>
      </c>
      <c r="Q75">
        <v>2</v>
      </c>
      <c r="R75">
        <v>19</v>
      </c>
      <c r="S75">
        <v>11</v>
      </c>
      <c r="T75" t="str">
        <f>TEXT(Table1[[#This Row],[Month]],"MMMM")</f>
        <v>January</v>
      </c>
    </row>
    <row r="76" spans="1:20" x14ac:dyDescent="0.25">
      <c r="A76" t="s">
        <v>291</v>
      </c>
      <c r="B76" t="s">
        <v>2574</v>
      </c>
      <c r="C76" t="s">
        <v>292</v>
      </c>
      <c r="D76" t="s">
        <v>3233</v>
      </c>
      <c r="E76" s="1">
        <v>44976.666666666664</v>
      </c>
      <c r="F76" s="1" t="str">
        <f t="shared" si="1"/>
        <v>Sunday</v>
      </c>
      <c r="G76" t="s">
        <v>293</v>
      </c>
      <c r="H76" t="s">
        <v>3509</v>
      </c>
      <c r="I76" t="s">
        <v>27</v>
      </c>
      <c r="J76" t="s">
        <v>4105</v>
      </c>
      <c r="K76" t="s">
        <v>294</v>
      </c>
      <c r="L76">
        <v>30</v>
      </c>
      <c r="M76">
        <v>60</v>
      </c>
      <c r="N76" t="s">
        <v>295</v>
      </c>
      <c r="O76" t="s">
        <v>3402</v>
      </c>
      <c r="P76">
        <v>2023</v>
      </c>
      <c r="Q76">
        <v>2</v>
      </c>
      <c r="R76">
        <v>19</v>
      </c>
      <c r="S76">
        <v>16</v>
      </c>
      <c r="T76" t="str">
        <f>TEXT(Table1[[#This Row],[Month]],"MMMM")</f>
        <v>January</v>
      </c>
    </row>
    <row r="77" spans="1:20" x14ac:dyDescent="0.25">
      <c r="A77" t="s">
        <v>296</v>
      </c>
      <c r="B77" t="s">
        <v>2575</v>
      </c>
      <c r="C77" t="s">
        <v>297</v>
      </c>
      <c r="D77" t="s">
        <v>3234</v>
      </c>
      <c r="E77" s="1">
        <v>44976.822916666664</v>
      </c>
      <c r="F77" s="1" t="str">
        <f t="shared" si="1"/>
        <v>Sunday</v>
      </c>
      <c r="G77" t="s">
        <v>298</v>
      </c>
      <c r="H77" t="s">
        <v>3510</v>
      </c>
      <c r="I77" t="s">
        <v>32</v>
      </c>
      <c r="J77" t="s">
        <v>4106</v>
      </c>
      <c r="K77" t="s">
        <v>299</v>
      </c>
      <c r="L77">
        <v>15</v>
      </c>
      <c r="M77">
        <v>30</v>
      </c>
      <c r="N77" t="s">
        <v>210</v>
      </c>
      <c r="O77" t="s">
        <v>3403</v>
      </c>
      <c r="P77">
        <v>2023</v>
      </c>
      <c r="Q77">
        <v>2</v>
      </c>
      <c r="R77">
        <v>19</v>
      </c>
      <c r="S77">
        <v>19</v>
      </c>
      <c r="T77" t="str">
        <f>TEXT(Table1[[#This Row],[Month]],"MMMM")</f>
        <v>January</v>
      </c>
    </row>
    <row r="78" spans="1:20" x14ac:dyDescent="0.25">
      <c r="A78" t="s">
        <v>300</v>
      </c>
      <c r="B78" t="s">
        <v>2576</v>
      </c>
      <c r="C78" t="s">
        <v>197</v>
      </c>
      <c r="D78" t="s">
        <v>3211</v>
      </c>
      <c r="E78" s="1">
        <v>44977.395833333336</v>
      </c>
      <c r="F78" s="1" t="str">
        <f t="shared" si="1"/>
        <v>Monday</v>
      </c>
      <c r="G78" t="s">
        <v>301</v>
      </c>
      <c r="H78" t="s">
        <v>3511</v>
      </c>
      <c r="I78" t="s">
        <v>17</v>
      </c>
      <c r="J78" t="s">
        <v>4104</v>
      </c>
      <c r="K78" t="s">
        <v>302</v>
      </c>
      <c r="L78">
        <v>20</v>
      </c>
      <c r="M78">
        <v>40</v>
      </c>
      <c r="N78" t="s">
        <v>200</v>
      </c>
      <c r="O78" t="s">
        <v>3401</v>
      </c>
      <c r="P78">
        <v>2023</v>
      </c>
      <c r="Q78">
        <v>2</v>
      </c>
      <c r="R78">
        <v>20</v>
      </c>
      <c r="S78">
        <v>9</v>
      </c>
      <c r="T78" t="str">
        <f>TEXT(Table1[[#This Row],[Month]],"MMMM")</f>
        <v>January</v>
      </c>
    </row>
    <row r="79" spans="1:20" x14ac:dyDescent="0.25">
      <c r="A79" t="s">
        <v>303</v>
      </c>
      <c r="B79" t="s">
        <v>2577</v>
      </c>
      <c r="C79" t="s">
        <v>202</v>
      </c>
      <c r="D79" t="s">
        <v>3212</v>
      </c>
      <c r="E79" s="1">
        <v>44977.885416666664</v>
      </c>
      <c r="F79" s="1" t="str">
        <f t="shared" si="1"/>
        <v>Monday</v>
      </c>
      <c r="G79" t="s">
        <v>304</v>
      </c>
      <c r="H79" t="s">
        <v>3512</v>
      </c>
      <c r="I79" t="s">
        <v>27</v>
      </c>
      <c r="J79" t="s">
        <v>4105</v>
      </c>
      <c r="K79" t="s">
        <v>305</v>
      </c>
      <c r="L79">
        <v>15</v>
      </c>
      <c r="M79">
        <v>30</v>
      </c>
      <c r="N79" t="s">
        <v>205</v>
      </c>
      <c r="O79" t="s">
        <v>60</v>
      </c>
      <c r="P79">
        <v>2023</v>
      </c>
      <c r="Q79">
        <v>2</v>
      </c>
      <c r="R79">
        <v>20</v>
      </c>
      <c r="S79">
        <v>21</v>
      </c>
      <c r="T79" t="str">
        <f>TEXT(Table1[[#This Row],[Month]],"MMMM")</f>
        <v>January</v>
      </c>
    </row>
    <row r="80" spans="1:20" x14ac:dyDescent="0.25">
      <c r="A80" t="s">
        <v>306</v>
      </c>
      <c r="B80" t="s">
        <v>2578</v>
      </c>
      <c r="C80" t="s">
        <v>207</v>
      </c>
      <c r="D80" t="s">
        <v>3213</v>
      </c>
      <c r="E80" s="1">
        <v>44978.614583333336</v>
      </c>
      <c r="F80" s="1" t="str">
        <f t="shared" si="1"/>
        <v>Tuesday</v>
      </c>
      <c r="G80" t="s">
        <v>307</v>
      </c>
      <c r="H80" t="s">
        <v>3513</v>
      </c>
      <c r="I80" t="s">
        <v>32</v>
      </c>
      <c r="J80" t="s">
        <v>4106</v>
      </c>
      <c r="K80" t="s">
        <v>308</v>
      </c>
      <c r="L80">
        <v>25</v>
      </c>
      <c r="M80">
        <v>50</v>
      </c>
      <c r="N80" t="s">
        <v>210</v>
      </c>
      <c r="O80" t="s">
        <v>3403</v>
      </c>
      <c r="P80">
        <v>2023</v>
      </c>
      <c r="Q80">
        <v>2</v>
      </c>
      <c r="R80">
        <v>21</v>
      </c>
      <c r="S80">
        <v>14</v>
      </c>
      <c r="T80" t="str">
        <f>TEXT(Table1[[#This Row],[Month]],"MMMM")</f>
        <v>January</v>
      </c>
    </row>
    <row r="81" spans="1:20" x14ac:dyDescent="0.25">
      <c r="A81" t="s">
        <v>309</v>
      </c>
      <c r="B81" t="s">
        <v>2579</v>
      </c>
      <c r="C81" t="s">
        <v>212</v>
      </c>
      <c r="D81" t="s">
        <v>3214</v>
      </c>
      <c r="E81" s="1">
        <v>44978.763888888891</v>
      </c>
      <c r="F81" s="1" t="str">
        <f t="shared" si="1"/>
        <v>Tuesday</v>
      </c>
      <c r="G81" t="s">
        <v>310</v>
      </c>
      <c r="H81" t="s">
        <v>3514</v>
      </c>
      <c r="I81" t="s">
        <v>17</v>
      </c>
      <c r="J81" t="s">
        <v>4104</v>
      </c>
      <c r="K81" t="s">
        <v>311</v>
      </c>
      <c r="L81">
        <v>18</v>
      </c>
      <c r="M81">
        <v>35</v>
      </c>
      <c r="N81" t="s">
        <v>191</v>
      </c>
      <c r="O81" t="s">
        <v>3432</v>
      </c>
      <c r="P81">
        <v>2023</v>
      </c>
      <c r="Q81">
        <v>2</v>
      </c>
      <c r="R81">
        <v>21</v>
      </c>
      <c r="S81">
        <v>18</v>
      </c>
      <c r="T81" t="str">
        <f>TEXT(Table1[[#This Row],[Month]],"MMMM")</f>
        <v>January</v>
      </c>
    </row>
    <row r="82" spans="1:20" x14ac:dyDescent="0.25">
      <c r="A82" t="s">
        <v>312</v>
      </c>
      <c r="B82" t="s">
        <v>2580</v>
      </c>
      <c r="C82" t="s">
        <v>216</v>
      </c>
      <c r="D82" t="s">
        <v>3215</v>
      </c>
      <c r="E82" s="1">
        <v>44979.416666666664</v>
      </c>
      <c r="F82" s="1" t="str">
        <f t="shared" si="1"/>
        <v>Wednesday</v>
      </c>
      <c r="G82" t="s">
        <v>313</v>
      </c>
      <c r="H82" t="s">
        <v>3515</v>
      </c>
      <c r="I82" t="s">
        <v>27</v>
      </c>
      <c r="J82" t="s">
        <v>4105</v>
      </c>
      <c r="K82" t="s">
        <v>314</v>
      </c>
      <c r="L82">
        <v>30</v>
      </c>
      <c r="M82">
        <v>60</v>
      </c>
      <c r="N82" t="s">
        <v>232</v>
      </c>
      <c r="O82" t="s">
        <v>3432</v>
      </c>
      <c r="P82">
        <v>2023</v>
      </c>
      <c r="Q82">
        <v>2</v>
      </c>
      <c r="R82">
        <v>22</v>
      </c>
      <c r="S82">
        <v>10</v>
      </c>
      <c r="T82" t="str">
        <f>TEXT(Table1[[#This Row],[Month]],"MMMM")</f>
        <v>January</v>
      </c>
    </row>
    <row r="83" spans="1:20" x14ac:dyDescent="0.25">
      <c r="A83" t="s">
        <v>315</v>
      </c>
      <c r="B83" t="s">
        <v>2581</v>
      </c>
      <c r="C83" t="s">
        <v>220</v>
      </c>
      <c r="D83" t="s">
        <v>3216</v>
      </c>
      <c r="E83" s="1">
        <v>44979.8125</v>
      </c>
      <c r="F83" s="1" t="str">
        <f t="shared" si="1"/>
        <v>Wednesday</v>
      </c>
      <c r="G83" t="s">
        <v>316</v>
      </c>
      <c r="H83" t="s">
        <v>3516</v>
      </c>
      <c r="I83" t="s">
        <v>32</v>
      </c>
      <c r="J83" t="s">
        <v>4106</v>
      </c>
      <c r="K83" t="s">
        <v>317</v>
      </c>
      <c r="L83">
        <v>22</v>
      </c>
      <c r="M83">
        <v>45</v>
      </c>
      <c r="N83" t="s">
        <v>79</v>
      </c>
      <c r="O83" t="s">
        <v>3401</v>
      </c>
      <c r="P83">
        <v>2023</v>
      </c>
      <c r="Q83">
        <v>2</v>
      </c>
      <c r="R83">
        <v>22</v>
      </c>
      <c r="S83">
        <v>19</v>
      </c>
      <c r="T83" t="str">
        <f>TEXT(Table1[[#This Row],[Month]],"MMMM")</f>
        <v>January</v>
      </c>
    </row>
    <row r="84" spans="1:20" x14ac:dyDescent="0.25">
      <c r="A84" t="s">
        <v>318</v>
      </c>
      <c r="B84" t="s">
        <v>2582</v>
      </c>
      <c r="C84" t="s">
        <v>224</v>
      </c>
      <c r="D84" t="s">
        <v>3217</v>
      </c>
      <c r="E84" s="1">
        <v>44980.354166666664</v>
      </c>
      <c r="F84" s="1" t="str">
        <f t="shared" si="1"/>
        <v>Thursday</v>
      </c>
      <c r="G84" t="s">
        <v>319</v>
      </c>
      <c r="H84" t="s">
        <v>3517</v>
      </c>
      <c r="I84" t="s">
        <v>17</v>
      </c>
      <c r="J84" t="s">
        <v>4104</v>
      </c>
      <c r="K84" t="s">
        <v>226</v>
      </c>
      <c r="L84">
        <v>15</v>
      </c>
      <c r="M84">
        <v>30</v>
      </c>
      <c r="N84" t="s">
        <v>227</v>
      </c>
      <c r="O84" t="s">
        <v>3402</v>
      </c>
      <c r="P84">
        <v>2023</v>
      </c>
      <c r="Q84">
        <v>2</v>
      </c>
      <c r="R84">
        <v>23</v>
      </c>
      <c r="S84">
        <v>8</v>
      </c>
      <c r="T84" t="str">
        <f>TEXT(Table1[[#This Row],[Month]],"MMMM")</f>
        <v>January</v>
      </c>
    </row>
    <row r="85" spans="1:20" x14ac:dyDescent="0.25">
      <c r="A85" t="s">
        <v>320</v>
      </c>
      <c r="B85" t="s">
        <v>2583</v>
      </c>
      <c r="C85" t="s">
        <v>229</v>
      </c>
      <c r="D85" t="s">
        <v>3218</v>
      </c>
      <c r="E85" s="1">
        <v>44980.597222222219</v>
      </c>
      <c r="F85" s="1" t="str">
        <f t="shared" si="1"/>
        <v>Thursday</v>
      </c>
      <c r="G85" t="s">
        <v>321</v>
      </c>
      <c r="H85" t="s">
        <v>3518</v>
      </c>
      <c r="I85" t="s">
        <v>27</v>
      </c>
      <c r="J85" t="s">
        <v>4105</v>
      </c>
      <c r="K85" t="s">
        <v>322</v>
      </c>
      <c r="L85">
        <v>18</v>
      </c>
      <c r="M85">
        <v>35</v>
      </c>
      <c r="N85" t="s">
        <v>232</v>
      </c>
      <c r="O85" t="s">
        <v>3432</v>
      </c>
      <c r="P85">
        <v>2023</v>
      </c>
      <c r="Q85">
        <v>2</v>
      </c>
      <c r="R85">
        <v>23</v>
      </c>
      <c r="S85">
        <v>14</v>
      </c>
      <c r="T85" t="str">
        <f>TEXT(Table1[[#This Row],[Month]],"MMMM")</f>
        <v>January</v>
      </c>
    </row>
    <row r="86" spans="1:20" x14ac:dyDescent="0.25">
      <c r="A86" t="s">
        <v>323</v>
      </c>
      <c r="B86" t="s">
        <v>2584</v>
      </c>
      <c r="C86" t="s">
        <v>234</v>
      </c>
      <c r="D86" t="s">
        <v>3219</v>
      </c>
      <c r="E86" s="1">
        <v>44980.822916666664</v>
      </c>
      <c r="F86" s="1" t="str">
        <f t="shared" si="1"/>
        <v>Thursday</v>
      </c>
      <c r="G86" t="s">
        <v>324</v>
      </c>
      <c r="H86" t="s">
        <v>3519</v>
      </c>
      <c r="I86" t="s">
        <v>32</v>
      </c>
      <c r="J86" t="s">
        <v>4106</v>
      </c>
      <c r="K86" t="s">
        <v>325</v>
      </c>
      <c r="L86">
        <v>25</v>
      </c>
      <c r="M86">
        <v>50</v>
      </c>
      <c r="N86" t="s">
        <v>99</v>
      </c>
      <c r="O86" t="s">
        <v>60</v>
      </c>
      <c r="P86">
        <v>2023</v>
      </c>
      <c r="Q86">
        <v>2</v>
      </c>
      <c r="R86">
        <v>23</v>
      </c>
      <c r="S86">
        <v>19</v>
      </c>
      <c r="T86" t="str">
        <f>TEXT(Table1[[#This Row],[Month]],"MMMM")</f>
        <v>January</v>
      </c>
    </row>
    <row r="87" spans="1:20" x14ac:dyDescent="0.25">
      <c r="A87" t="s">
        <v>326</v>
      </c>
      <c r="B87" t="s">
        <v>2585</v>
      </c>
      <c r="C87" t="s">
        <v>239</v>
      </c>
      <c r="D87" t="s">
        <v>3220</v>
      </c>
      <c r="E87" s="1">
        <v>44981.479166666664</v>
      </c>
      <c r="F87" s="1" t="str">
        <f t="shared" si="1"/>
        <v>Friday</v>
      </c>
      <c r="G87" t="s">
        <v>327</v>
      </c>
      <c r="H87" t="s">
        <v>3520</v>
      </c>
      <c r="I87" t="s">
        <v>17</v>
      </c>
      <c r="J87" t="s">
        <v>4104</v>
      </c>
      <c r="K87" t="s">
        <v>328</v>
      </c>
      <c r="L87">
        <v>20</v>
      </c>
      <c r="M87">
        <v>40</v>
      </c>
      <c r="N87" t="s">
        <v>29</v>
      </c>
      <c r="O87" t="s">
        <v>60</v>
      </c>
      <c r="P87">
        <v>2023</v>
      </c>
      <c r="Q87">
        <v>2</v>
      </c>
      <c r="R87">
        <v>24</v>
      </c>
      <c r="S87">
        <v>11</v>
      </c>
      <c r="T87" t="str">
        <f>TEXT(Table1[[#This Row],[Month]],"MMMM")</f>
        <v>January</v>
      </c>
    </row>
    <row r="88" spans="1:20" x14ac:dyDescent="0.25">
      <c r="A88" t="s">
        <v>329</v>
      </c>
      <c r="B88" t="s">
        <v>2586</v>
      </c>
      <c r="C88" t="s">
        <v>243</v>
      </c>
      <c r="D88" t="s">
        <v>3221</v>
      </c>
      <c r="E88" s="1">
        <v>44981.666666666664</v>
      </c>
      <c r="F88" s="1" t="str">
        <f t="shared" si="1"/>
        <v>Friday</v>
      </c>
      <c r="G88" t="s">
        <v>330</v>
      </c>
      <c r="H88" t="s">
        <v>3521</v>
      </c>
      <c r="I88" t="s">
        <v>27</v>
      </c>
      <c r="J88" t="s">
        <v>4105</v>
      </c>
      <c r="K88" t="s">
        <v>331</v>
      </c>
      <c r="L88">
        <v>15</v>
      </c>
      <c r="M88">
        <v>30</v>
      </c>
      <c r="N88" t="s">
        <v>60</v>
      </c>
      <c r="O88" t="s">
        <v>60</v>
      </c>
      <c r="P88">
        <v>2023</v>
      </c>
      <c r="Q88">
        <v>2</v>
      </c>
      <c r="R88">
        <v>24</v>
      </c>
      <c r="S88">
        <v>16</v>
      </c>
      <c r="T88" t="str">
        <f>TEXT(Table1[[#This Row],[Month]],"MMMM")</f>
        <v>January</v>
      </c>
    </row>
    <row r="89" spans="1:20" x14ac:dyDescent="0.25">
      <c r="A89" t="s">
        <v>332</v>
      </c>
      <c r="B89" t="s">
        <v>2587</v>
      </c>
      <c r="C89" t="s">
        <v>247</v>
      </c>
      <c r="D89" t="s">
        <v>3222</v>
      </c>
      <c r="E89" s="1">
        <v>44981.854166666664</v>
      </c>
      <c r="F89" s="1" t="str">
        <f t="shared" si="1"/>
        <v>Friday</v>
      </c>
      <c r="G89" t="s">
        <v>333</v>
      </c>
      <c r="H89" t="s">
        <v>3522</v>
      </c>
      <c r="I89" t="s">
        <v>32</v>
      </c>
      <c r="J89" t="s">
        <v>4106</v>
      </c>
      <c r="K89" t="s">
        <v>334</v>
      </c>
      <c r="L89">
        <v>22</v>
      </c>
      <c r="M89">
        <v>45</v>
      </c>
      <c r="N89" t="s">
        <v>39</v>
      </c>
      <c r="O89" t="s">
        <v>3402</v>
      </c>
      <c r="P89">
        <v>2023</v>
      </c>
      <c r="Q89">
        <v>2</v>
      </c>
      <c r="R89">
        <v>24</v>
      </c>
      <c r="S89">
        <v>20</v>
      </c>
      <c r="T89" t="str">
        <f>TEXT(Table1[[#This Row],[Month]],"MMMM")</f>
        <v>January</v>
      </c>
    </row>
    <row r="90" spans="1:20" x14ac:dyDescent="0.25">
      <c r="A90" t="s">
        <v>335</v>
      </c>
      <c r="B90" t="s">
        <v>2588</v>
      </c>
      <c r="C90" t="s">
        <v>252</v>
      </c>
      <c r="D90" t="s">
        <v>3223</v>
      </c>
      <c r="E90" s="1">
        <v>44982.375</v>
      </c>
      <c r="F90" s="1" t="str">
        <f t="shared" si="1"/>
        <v>Saturday</v>
      </c>
      <c r="G90" t="s">
        <v>336</v>
      </c>
      <c r="H90" t="s">
        <v>3523</v>
      </c>
      <c r="I90" t="s">
        <v>17</v>
      </c>
      <c r="J90" t="s">
        <v>4104</v>
      </c>
      <c r="K90" t="s">
        <v>337</v>
      </c>
      <c r="L90">
        <v>18</v>
      </c>
      <c r="M90">
        <v>35</v>
      </c>
      <c r="N90" t="s">
        <v>210</v>
      </c>
      <c r="O90" t="s">
        <v>3403</v>
      </c>
      <c r="P90">
        <v>2023</v>
      </c>
      <c r="Q90">
        <v>2</v>
      </c>
      <c r="R90">
        <v>25</v>
      </c>
      <c r="S90">
        <v>9</v>
      </c>
      <c r="T90" t="str">
        <f>TEXT(Table1[[#This Row],[Month]],"MMMM")</f>
        <v>January</v>
      </c>
    </row>
    <row r="91" spans="1:20" x14ac:dyDescent="0.25">
      <c r="A91" t="s">
        <v>338</v>
      </c>
      <c r="B91" t="s">
        <v>2589</v>
      </c>
      <c r="C91" t="s">
        <v>256</v>
      </c>
      <c r="D91" t="s">
        <v>3224</v>
      </c>
      <c r="E91" s="1">
        <v>44982.614583333336</v>
      </c>
      <c r="F91" s="1" t="str">
        <f t="shared" si="1"/>
        <v>Saturday</v>
      </c>
      <c r="G91" t="s">
        <v>339</v>
      </c>
      <c r="H91" t="s">
        <v>3293</v>
      </c>
      <c r="I91" t="s">
        <v>27</v>
      </c>
      <c r="J91" t="s">
        <v>4105</v>
      </c>
      <c r="K91" t="s">
        <v>340</v>
      </c>
      <c r="L91">
        <v>25</v>
      </c>
      <c r="M91">
        <v>50</v>
      </c>
      <c r="N91" t="s">
        <v>205</v>
      </c>
      <c r="O91" t="s">
        <v>60</v>
      </c>
      <c r="P91">
        <v>2023</v>
      </c>
      <c r="Q91">
        <v>2</v>
      </c>
      <c r="R91">
        <v>25</v>
      </c>
      <c r="S91">
        <v>14</v>
      </c>
      <c r="T91" t="str">
        <f>TEXT(Table1[[#This Row],[Month]],"MMMM")</f>
        <v>January</v>
      </c>
    </row>
    <row r="92" spans="1:20" x14ac:dyDescent="0.25">
      <c r="A92" t="s">
        <v>341</v>
      </c>
      <c r="B92" t="s">
        <v>2590</v>
      </c>
      <c r="C92" t="s">
        <v>260</v>
      </c>
      <c r="D92" t="s">
        <v>3225</v>
      </c>
      <c r="E92" s="1">
        <v>44982.763888888891</v>
      </c>
      <c r="F92" s="1" t="str">
        <f t="shared" si="1"/>
        <v>Saturday</v>
      </c>
      <c r="G92" t="s">
        <v>342</v>
      </c>
      <c r="H92" t="s">
        <v>3524</v>
      </c>
      <c r="I92" t="s">
        <v>32</v>
      </c>
      <c r="J92" t="s">
        <v>4106</v>
      </c>
      <c r="K92" t="s">
        <v>343</v>
      </c>
      <c r="L92">
        <v>15</v>
      </c>
      <c r="M92">
        <v>30</v>
      </c>
      <c r="N92" t="s">
        <v>200</v>
      </c>
      <c r="O92" t="s">
        <v>3401</v>
      </c>
      <c r="P92">
        <v>2023</v>
      </c>
      <c r="Q92">
        <v>2</v>
      </c>
      <c r="R92">
        <v>25</v>
      </c>
      <c r="S92">
        <v>18</v>
      </c>
      <c r="T92" t="str">
        <f>TEXT(Table1[[#This Row],[Month]],"MMMM")</f>
        <v>January</v>
      </c>
    </row>
    <row r="93" spans="1:20" x14ac:dyDescent="0.25">
      <c r="A93" t="s">
        <v>344</v>
      </c>
      <c r="B93" t="s">
        <v>2591</v>
      </c>
      <c r="C93" t="s">
        <v>264</v>
      </c>
      <c r="D93" t="s">
        <v>3226</v>
      </c>
      <c r="E93" s="1">
        <v>44983.447916666664</v>
      </c>
      <c r="F93" s="1" t="str">
        <f t="shared" si="1"/>
        <v>Sunday</v>
      </c>
      <c r="G93" t="s">
        <v>345</v>
      </c>
      <c r="H93" t="s">
        <v>3525</v>
      </c>
      <c r="I93" t="s">
        <v>17</v>
      </c>
      <c r="J93" t="s">
        <v>4104</v>
      </c>
      <c r="K93" t="s">
        <v>346</v>
      </c>
      <c r="L93">
        <v>22</v>
      </c>
      <c r="M93">
        <v>45</v>
      </c>
      <c r="N93" t="s">
        <v>191</v>
      </c>
      <c r="O93" t="s">
        <v>3432</v>
      </c>
      <c r="P93">
        <v>2023</v>
      </c>
      <c r="Q93">
        <v>2</v>
      </c>
      <c r="R93">
        <v>26</v>
      </c>
      <c r="S93">
        <v>10</v>
      </c>
      <c r="T93" t="str">
        <f>TEXT(Table1[[#This Row],[Month]],"MMMM")</f>
        <v>January</v>
      </c>
    </row>
    <row r="94" spans="1:20" x14ac:dyDescent="0.25">
      <c r="A94" t="s">
        <v>347</v>
      </c>
      <c r="B94" t="s">
        <v>2592</v>
      </c>
      <c r="C94" t="s">
        <v>268</v>
      </c>
      <c r="D94" t="s">
        <v>3227</v>
      </c>
      <c r="E94" s="1">
        <v>44983.3125</v>
      </c>
      <c r="F94" s="1" t="str">
        <f t="shared" si="1"/>
        <v>Sunday</v>
      </c>
      <c r="G94" t="s">
        <v>348</v>
      </c>
      <c r="H94" t="s">
        <v>3526</v>
      </c>
      <c r="I94" t="s">
        <v>27</v>
      </c>
      <c r="J94" t="s">
        <v>4105</v>
      </c>
      <c r="K94" t="s">
        <v>349</v>
      </c>
      <c r="L94">
        <v>20</v>
      </c>
      <c r="M94">
        <v>40</v>
      </c>
      <c r="N94" t="s">
        <v>295</v>
      </c>
      <c r="O94" t="s">
        <v>3402</v>
      </c>
      <c r="P94">
        <v>2023</v>
      </c>
      <c r="Q94">
        <v>2</v>
      </c>
      <c r="R94">
        <v>26</v>
      </c>
      <c r="S94">
        <v>7</v>
      </c>
      <c r="T94" t="str">
        <f>TEXT(Table1[[#This Row],[Month]],"MMMM")</f>
        <v>January</v>
      </c>
    </row>
    <row r="95" spans="1:20" x14ac:dyDescent="0.25">
      <c r="A95" t="s">
        <v>350</v>
      </c>
      <c r="B95" t="s">
        <v>2593</v>
      </c>
      <c r="C95" t="s">
        <v>272</v>
      </c>
      <c r="D95" t="s">
        <v>3228</v>
      </c>
      <c r="E95" s="1">
        <v>44983.625</v>
      </c>
      <c r="F95" s="1" t="str">
        <f t="shared" si="1"/>
        <v>Sunday</v>
      </c>
      <c r="G95" t="s">
        <v>351</v>
      </c>
      <c r="H95" t="s">
        <v>3527</v>
      </c>
      <c r="I95" t="s">
        <v>32</v>
      </c>
      <c r="J95" t="s">
        <v>4106</v>
      </c>
      <c r="K95" t="s">
        <v>352</v>
      </c>
      <c r="L95">
        <v>18</v>
      </c>
      <c r="M95">
        <v>35</v>
      </c>
      <c r="N95" t="s">
        <v>89</v>
      </c>
      <c r="O95" t="s">
        <v>60</v>
      </c>
      <c r="P95">
        <v>2023</v>
      </c>
      <c r="Q95">
        <v>2</v>
      </c>
      <c r="R95">
        <v>26</v>
      </c>
      <c r="S95">
        <v>15</v>
      </c>
      <c r="T95" t="str">
        <f>TEXT(Table1[[#This Row],[Month]],"MMMM")</f>
        <v>January</v>
      </c>
    </row>
    <row r="96" spans="1:20" x14ac:dyDescent="0.25">
      <c r="A96" t="s">
        <v>353</v>
      </c>
      <c r="B96" t="s">
        <v>2594</v>
      </c>
      <c r="C96" t="s">
        <v>276</v>
      </c>
      <c r="D96" t="s">
        <v>3229</v>
      </c>
      <c r="E96" s="1">
        <v>44984.395833333336</v>
      </c>
      <c r="F96" s="1" t="str">
        <f t="shared" si="1"/>
        <v>Monday</v>
      </c>
      <c r="G96" t="s">
        <v>354</v>
      </c>
      <c r="H96" t="s">
        <v>3528</v>
      </c>
      <c r="I96" t="s">
        <v>17</v>
      </c>
      <c r="J96" t="s">
        <v>4104</v>
      </c>
      <c r="K96" t="s">
        <v>355</v>
      </c>
      <c r="L96">
        <v>15</v>
      </c>
      <c r="M96">
        <v>30</v>
      </c>
      <c r="N96" t="s">
        <v>114</v>
      </c>
      <c r="O96" t="s">
        <v>3403</v>
      </c>
      <c r="P96">
        <v>2023</v>
      </c>
      <c r="Q96">
        <v>2</v>
      </c>
      <c r="R96">
        <v>27</v>
      </c>
      <c r="S96">
        <v>9</v>
      </c>
      <c r="T96" t="str">
        <f>TEXT(Table1[[#This Row],[Month]],"MMMM")</f>
        <v>January</v>
      </c>
    </row>
    <row r="97" spans="1:20" x14ac:dyDescent="0.25">
      <c r="A97" t="s">
        <v>356</v>
      </c>
      <c r="B97" t="s">
        <v>2595</v>
      </c>
      <c r="C97" t="s">
        <v>280</v>
      </c>
      <c r="D97" t="s">
        <v>3230</v>
      </c>
      <c r="E97" s="1">
        <v>44984.597222222219</v>
      </c>
      <c r="F97" s="1" t="str">
        <f t="shared" si="1"/>
        <v>Monday</v>
      </c>
      <c r="G97" t="s">
        <v>357</v>
      </c>
      <c r="H97" t="s">
        <v>3529</v>
      </c>
      <c r="I97" t="s">
        <v>27</v>
      </c>
      <c r="J97" t="s">
        <v>4105</v>
      </c>
      <c r="K97" t="s">
        <v>358</v>
      </c>
      <c r="L97">
        <v>25</v>
      </c>
      <c r="M97">
        <v>50</v>
      </c>
      <c r="N97" t="s">
        <v>175</v>
      </c>
      <c r="O97" t="s">
        <v>3432</v>
      </c>
      <c r="P97">
        <v>2023</v>
      </c>
      <c r="Q97">
        <v>2</v>
      </c>
      <c r="R97">
        <v>27</v>
      </c>
      <c r="S97">
        <v>14</v>
      </c>
      <c r="T97" t="str">
        <f>TEXT(Table1[[#This Row],[Month]],"MMMM")</f>
        <v>January</v>
      </c>
    </row>
    <row r="98" spans="1:20" x14ac:dyDescent="0.25">
      <c r="A98" t="s">
        <v>359</v>
      </c>
      <c r="B98" t="s">
        <v>2596</v>
      </c>
      <c r="C98" t="s">
        <v>284</v>
      </c>
      <c r="D98" t="s">
        <v>3231</v>
      </c>
      <c r="E98" s="1">
        <v>44984.78125</v>
      </c>
      <c r="F98" s="1" t="str">
        <f t="shared" si="1"/>
        <v>Monday</v>
      </c>
      <c r="G98" t="s">
        <v>360</v>
      </c>
      <c r="H98" t="s">
        <v>3530</v>
      </c>
      <c r="I98" t="s">
        <v>32</v>
      </c>
      <c r="J98" t="s">
        <v>4106</v>
      </c>
      <c r="K98" t="s">
        <v>361</v>
      </c>
      <c r="L98">
        <v>22</v>
      </c>
      <c r="M98">
        <v>45</v>
      </c>
      <c r="N98" t="s">
        <v>124</v>
      </c>
      <c r="O98" t="s">
        <v>3401</v>
      </c>
      <c r="P98">
        <v>2023</v>
      </c>
      <c r="Q98">
        <v>2</v>
      </c>
      <c r="R98">
        <v>27</v>
      </c>
      <c r="S98">
        <v>18</v>
      </c>
      <c r="T98" t="str">
        <f>TEXT(Table1[[#This Row],[Month]],"MMMM")</f>
        <v>January</v>
      </c>
    </row>
    <row r="99" spans="1:20" x14ac:dyDescent="0.25">
      <c r="A99" t="s">
        <v>362</v>
      </c>
      <c r="B99" t="s">
        <v>2597</v>
      </c>
      <c r="C99" t="s">
        <v>288</v>
      </c>
      <c r="D99" t="s">
        <v>3232</v>
      </c>
      <c r="E99" s="1">
        <v>44985.479166666664</v>
      </c>
      <c r="F99" s="1" t="str">
        <f t="shared" si="1"/>
        <v>Tuesday</v>
      </c>
      <c r="G99" t="s">
        <v>363</v>
      </c>
      <c r="H99" t="s">
        <v>3531</v>
      </c>
      <c r="I99" t="s">
        <v>17</v>
      </c>
      <c r="J99" t="s">
        <v>4104</v>
      </c>
      <c r="K99" t="s">
        <v>364</v>
      </c>
      <c r="L99">
        <v>20</v>
      </c>
      <c r="M99">
        <v>40</v>
      </c>
      <c r="N99" t="s">
        <v>89</v>
      </c>
      <c r="O99" t="s">
        <v>60</v>
      </c>
      <c r="P99">
        <v>2023</v>
      </c>
      <c r="Q99">
        <v>2</v>
      </c>
      <c r="R99">
        <v>28</v>
      </c>
      <c r="S99">
        <v>11</v>
      </c>
      <c r="T99" t="str">
        <f>TEXT(Table1[[#This Row],[Month]],"MMMM")</f>
        <v>January</v>
      </c>
    </row>
    <row r="100" spans="1:20" x14ac:dyDescent="0.25">
      <c r="A100" t="s">
        <v>365</v>
      </c>
      <c r="B100" t="s">
        <v>2598</v>
      </c>
      <c r="C100" t="s">
        <v>292</v>
      </c>
      <c r="D100" t="s">
        <v>3233</v>
      </c>
      <c r="E100" s="1">
        <v>44985.666666666664</v>
      </c>
      <c r="F100" s="1" t="str">
        <f t="shared" si="1"/>
        <v>Tuesday</v>
      </c>
      <c r="G100" t="s">
        <v>366</v>
      </c>
      <c r="H100" t="s">
        <v>3532</v>
      </c>
      <c r="I100" t="s">
        <v>27</v>
      </c>
      <c r="J100" t="s">
        <v>4105</v>
      </c>
      <c r="K100" t="s">
        <v>367</v>
      </c>
      <c r="L100">
        <v>30</v>
      </c>
      <c r="M100">
        <v>60</v>
      </c>
      <c r="N100" t="s">
        <v>368</v>
      </c>
      <c r="O100" t="s">
        <v>3432</v>
      </c>
      <c r="P100">
        <v>2023</v>
      </c>
      <c r="Q100">
        <v>2</v>
      </c>
      <c r="R100">
        <v>28</v>
      </c>
      <c r="S100">
        <v>16</v>
      </c>
      <c r="T100" t="str">
        <f>TEXT(Table1[[#This Row],[Month]],"MMMM")</f>
        <v>January</v>
      </c>
    </row>
    <row r="101" spans="1:20" x14ac:dyDescent="0.25">
      <c r="A101" t="s">
        <v>369</v>
      </c>
      <c r="B101" t="s">
        <v>2599</v>
      </c>
      <c r="C101" t="s">
        <v>297</v>
      </c>
      <c r="D101" t="s">
        <v>3234</v>
      </c>
      <c r="E101" s="1">
        <v>44985.822916666664</v>
      </c>
      <c r="F101" s="1" t="str">
        <f t="shared" si="1"/>
        <v>Tuesday</v>
      </c>
      <c r="G101" t="s">
        <v>370</v>
      </c>
      <c r="H101" t="s">
        <v>3533</v>
      </c>
      <c r="I101" t="s">
        <v>32</v>
      </c>
      <c r="J101" t="s">
        <v>4106</v>
      </c>
      <c r="K101" t="s">
        <v>299</v>
      </c>
      <c r="L101">
        <v>15</v>
      </c>
      <c r="M101">
        <v>30</v>
      </c>
      <c r="N101" t="s">
        <v>114</v>
      </c>
      <c r="O101" t="s">
        <v>3403</v>
      </c>
      <c r="P101">
        <v>2023</v>
      </c>
      <c r="Q101">
        <v>2</v>
      </c>
      <c r="R101">
        <v>28</v>
      </c>
      <c r="S101">
        <v>19</v>
      </c>
      <c r="T101" t="str">
        <f>TEXT(Table1[[#This Row],[Month]],"MMMM")</f>
        <v>January</v>
      </c>
    </row>
    <row r="102" spans="1:20" x14ac:dyDescent="0.25">
      <c r="A102" t="s">
        <v>371</v>
      </c>
      <c r="B102" t="s">
        <v>2600</v>
      </c>
      <c r="C102" t="s">
        <v>260</v>
      </c>
      <c r="D102" t="s">
        <v>3225</v>
      </c>
      <c r="E102" s="1">
        <v>44986.447916666664</v>
      </c>
      <c r="F102" s="1" t="str">
        <f t="shared" si="1"/>
        <v>Wednesday</v>
      </c>
      <c r="G102" t="s">
        <v>372</v>
      </c>
      <c r="H102" t="s">
        <v>3534</v>
      </c>
      <c r="I102" t="s">
        <v>17</v>
      </c>
      <c r="J102" t="s">
        <v>4104</v>
      </c>
      <c r="K102" t="s">
        <v>373</v>
      </c>
      <c r="L102">
        <v>22</v>
      </c>
      <c r="M102">
        <v>45</v>
      </c>
      <c r="N102" t="s">
        <v>39</v>
      </c>
      <c r="O102" t="s">
        <v>3402</v>
      </c>
      <c r="P102">
        <v>2023</v>
      </c>
      <c r="Q102">
        <v>3</v>
      </c>
      <c r="R102">
        <v>1</v>
      </c>
      <c r="S102">
        <v>10</v>
      </c>
      <c r="T102" t="str">
        <f>TEXT(Table1[[#This Row],[Month]],"MMMM")</f>
        <v>January</v>
      </c>
    </row>
    <row r="103" spans="1:20" x14ac:dyDescent="0.25">
      <c r="A103" t="s">
        <v>374</v>
      </c>
      <c r="B103" t="s">
        <v>2601</v>
      </c>
      <c r="C103" t="s">
        <v>284</v>
      </c>
      <c r="D103" t="s">
        <v>3231</v>
      </c>
      <c r="E103" s="1">
        <v>44986.5625</v>
      </c>
      <c r="F103" s="1" t="str">
        <f t="shared" si="1"/>
        <v>Wednesday</v>
      </c>
      <c r="G103" t="s">
        <v>375</v>
      </c>
      <c r="H103" t="s">
        <v>3535</v>
      </c>
      <c r="I103" t="s">
        <v>27</v>
      </c>
      <c r="J103" t="s">
        <v>4105</v>
      </c>
      <c r="K103" t="s">
        <v>376</v>
      </c>
      <c r="L103">
        <v>18</v>
      </c>
      <c r="M103">
        <v>35</v>
      </c>
      <c r="N103" t="s">
        <v>205</v>
      </c>
      <c r="O103" t="s">
        <v>60</v>
      </c>
      <c r="P103">
        <v>2023</v>
      </c>
      <c r="Q103">
        <v>3</v>
      </c>
      <c r="R103">
        <v>1</v>
      </c>
      <c r="S103">
        <v>13</v>
      </c>
      <c r="T103" t="str">
        <f>TEXT(Table1[[#This Row],[Month]],"MMMM")</f>
        <v>January</v>
      </c>
    </row>
    <row r="104" spans="1:20" x14ac:dyDescent="0.25">
      <c r="A104" t="s">
        <v>377</v>
      </c>
      <c r="B104" t="s">
        <v>2602</v>
      </c>
      <c r="C104" t="s">
        <v>272</v>
      </c>
      <c r="D104" t="s">
        <v>3228</v>
      </c>
      <c r="E104" s="1">
        <v>44986.739583333336</v>
      </c>
      <c r="F104" s="1" t="str">
        <f t="shared" si="1"/>
        <v>Wednesday</v>
      </c>
      <c r="G104" t="s">
        <v>378</v>
      </c>
      <c r="H104" t="s">
        <v>3536</v>
      </c>
      <c r="I104" t="s">
        <v>17</v>
      </c>
      <c r="J104" t="s">
        <v>4104</v>
      </c>
      <c r="K104" t="s">
        <v>379</v>
      </c>
      <c r="L104">
        <v>15</v>
      </c>
      <c r="M104">
        <v>30</v>
      </c>
      <c r="N104" t="s">
        <v>79</v>
      </c>
      <c r="O104" t="s">
        <v>3401</v>
      </c>
      <c r="P104">
        <v>2023</v>
      </c>
      <c r="Q104">
        <v>3</v>
      </c>
      <c r="R104">
        <v>1</v>
      </c>
      <c r="S104">
        <v>17</v>
      </c>
      <c r="T104" t="str">
        <f>TEXT(Table1[[#This Row],[Month]],"MMMM")</f>
        <v>January</v>
      </c>
    </row>
    <row r="105" spans="1:20" x14ac:dyDescent="0.25">
      <c r="A105" t="s">
        <v>380</v>
      </c>
      <c r="B105" t="s">
        <v>2603</v>
      </c>
      <c r="C105" t="s">
        <v>276</v>
      </c>
      <c r="D105" t="s">
        <v>3229</v>
      </c>
      <c r="E105" s="1">
        <v>44987.75</v>
      </c>
      <c r="F105" s="1" t="str">
        <f t="shared" si="1"/>
        <v>Thursday</v>
      </c>
      <c r="G105" t="s">
        <v>381</v>
      </c>
      <c r="H105" t="s">
        <v>3537</v>
      </c>
      <c r="I105" t="s">
        <v>32</v>
      </c>
      <c r="J105" t="s">
        <v>4106</v>
      </c>
      <c r="K105" t="s">
        <v>382</v>
      </c>
      <c r="L105">
        <v>15</v>
      </c>
      <c r="M105">
        <v>30</v>
      </c>
      <c r="N105" t="s">
        <v>128</v>
      </c>
      <c r="O105" t="s">
        <v>3432</v>
      </c>
      <c r="P105">
        <v>2023</v>
      </c>
      <c r="Q105">
        <v>3</v>
      </c>
      <c r="R105">
        <v>2</v>
      </c>
      <c r="S105">
        <v>18</v>
      </c>
      <c r="T105" t="str">
        <f>TEXT(Table1[[#This Row],[Month]],"MMMM")</f>
        <v>January</v>
      </c>
    </row>
    <row r="106" spans="1:20" x14ac:dyDescent="0.25">
      <c r="A106" t="s">
        <v>383</v>
      </c>
      <c r="B106" t="s">
        <v>2604</v>
      </c>
      <c r="C106" t="s">
        <v>384</v>
      </c>
      <c r="D106" t="s">
        <v>3230</v>
      </c>
      <c r="E106" s="1">
        <v>44987.552083333336</v>
      </c>
      <c r="F106" s="1" t="str">
        <f t="shared" si="1"/>
        <v>Thursday</v>
      </c>
      <c r="G106" t="s">
        <v>385</v>
      </c>
      <c r="H106" t="s">
        <v>3538</v>
      </c>
      <c r="I106" t="s">
        <v>27</v>
      </c>
      <c r="J106" t="s">
        <v>4105</v>
      </c>
      <c r="K106" t="s">
        <v>386</v>
      </c>
      <c r="L106">
        <v>30</v>
      </c>
      <c r="M106">
        <v>60</v>
      </c>
      <c r="N106" t="s">
        <v>387</v>
      </c>
      <c r="O106" t="s">
        <v>60</v>
      </c>
      <c r="P106">
        <v>2023</v>
      </c>
      <c r="Q106">
        <v>3</v>
      </c>
      <c r="R106">
        <v>2</v>
      </c>
      <c r="S106">
        <v>13</v>
      </c>
      <c r="T106" t="str">
        <f>TEXT(Table1[[#This Row],[Month]],"MMMM")</f>
        <v>January</v>
      </c>
    </row>
    <row r="107" spans="1:20" x14ac:dyDescent="0.25">
      <c r="A107" t="s">
        <v>388</v>
      </c>
      <c r="B107" t="s">
        <v>2605</v>
      </c>
      <c r="C107" t="s">
        <v>389</v>
      </c>
      <c r="D107" t="s">
        <v>3231</v>
      </c>
      <c r="E107" s="1">
        <v>44987.697916666664</v>
      </c>
      <c r="F107" s="1" t="str">
        <f t="shared" si="1"/>
        <v>Thursday</v>
      </c>
      <c r="G107" t="s">
        <v>390</v>
      </c>
      <c r="H107" t="s">
        <v>3539</v>
      </c>
      <c r="I107" t="s">
        <v>17</v>
      </c>
      <c r="J107" t="s">
        <v>4104</v>
      </c>
      <c r="K107" t="s">
        <v>391</v>
      </c>
      <c r="L107">
        <v>25</v>
      </c>
      <c r="M107">
        <v>50</v>
      </c>
      <c r="N107" t="s">
        <v>114</v>
      </c>
      <c r="O107" t="s">
        <v>3403</v>
      </c>
      <c r="P107">
        <v>2023</v>
      </c>
      <c r="Q107">
        <v>3</v>
      </c>
      <c r="R107">
        <v>2</v>
      </c>
      <c r="S107">
        <v>16</v>
      </c>
      <c r="T107" t="str">
        <f>TEXT(Table1[[#This Row],[Month]],"MMMM")</f>
        <v>January</v>
      </c>
    </row>
    <row r="108" spans="1:20" x14ac:dyDescent="0.25">
      <c r="A108" t="s">
        <v>392</v>
      </c>
      <c r="B108" t="s">
        <v>2606</v>
      </c>
      <c r="C108" t="s">
        <v>288</v>
      </c>
      <c r="D108" t="s">
        <v>3232</v>
      </c>
      <c r="E108" s="1">
        <v>44988.479166666664</v>
      </c>
      <c r="F108" s="1" t="str">
        <f t="shared" si="1"/>
        <v>Friday</v>
      </c>
      <c r="G108" t="s">
        <v>393</v>
      </c>
      <c r="H108" t="s">
        <v>3540</v>
      </c>
      <c r="I108" t="s">
        <v>32</v>
      </c>
      <c r="J108" t="s">
        <v>4106</v>
      </c>
      <c r="K108" t="s">
        <v>394</v>
      </c>
      <c r="L108">
        <v>22</v>
      </c>
      <c r="M108">
        <v>45</v>
      </c>
      <c r="N108" t="s">
        <v>89</v>
      </c>
      <c r="O108" t="s">
        <v>60</v>
      </c>
      <c r="P108">
        <v>2023</v>
      </c>
      <c r="Q108">
        <v>3</v>
      </c>
      <c r="R108">
        <v>3</v>
      </c>
      <c r="S108">
        <v>11</v>
      </c>
      <c r="T108" t="str">
        <f>TEXT(Table1[[#This Row],[Month]],"MMMM")</f>
        <v>January</v>
      </c>
    </row>
    <row r="109" spans="1:20" x14ac:dyDescent="0.25">
      <c r="A109" t="s">
        <v>395</v>
      </c>
      <c r="B109" t="s">
        <v>2607</v>
      </c>
      <c r="C109" t="s">
        <v>292</v>
      </c>
      <c r="D109" t="s">
        <v>3233</v>
      </c>
      <c r="E109" s="1">
        <v>44988.604166666664</v>
      </c>
      <c r="F109" s="1" t="str">
        <f t="shared" si="1"/>
        <v>Friday</v>
      </c>
      <c r="G109" t="s">
        <v>396</v>
      </c>
      <c r="H109" t="s">
        <v>3541</v>
      </c>
      <c r="I109" t="s">
        <v>27</v>
      </c>
      <c r="J109" t="s">
        <v>4105</v>
      </c>
      <c r="K109" t="s">
        <v>397</v>
      </c>
      <c r="L109">
        <v>12</v>
      </c>
      <c r="M109">
        <v>25</v>
      </c>
      <c r="N109" t="s">
        <v>124</v>
      </c>
      <c r="O109" t="s">
        <v>3401</v>
      </c>
      <c r="P109">
        <v>2023</v>
      </c>
      <c r="Q109">
        <v>3</v>
      </c>
      <c r="R109">
        <v>3</v>
      </c>
      <c r="S109">
        <v>14</v>
      </c>
      <c r="T109" t="str">
        <f>TEXT(Table1[[#This Row],[Month]],"MMMM")</f>
        <v>January</v>
      </c>
    </row>
    <row r="110" spans="1:20" x14ac:dyDescent="0.25">
      <c r="A110" t="s">
        <v>398</v>
      </c>
      <c r="B110" t="s">
        <v>2608</v>
      </c>
      <c r="C110" t="s">
        <v>399</v>
      </c>
      <c r="D110" t="s">
        <v>3234</v>
      </c>
      <c r="E110" s="1">
        <v>44988.5</v>
      </c>
      <c r="F110" s="1" t="str">
        <f t="shared" si="1"/>
        <v>Friday</v>
      </c>
      <c r="G110" t="s">
        <v>400</v>
      </c>
      <c r="H110" t="s">
        <v>3542</v>
      </c>
      <c r="I110" t="s">
        <v>17</v>
      </c>
      <c r="J110" t="s">
        <v>4104</v>
      </c>
      <c r="K110" t="s">
        <v>401</v>
      </c>
      <c r="L110">
        <v>15</v>
      </c>
      <c r="M110">
        <v>30</v>
      </c>
      <c r="N110" t="s">
        <v>128</v>
      </c>
      <c r="O110" t="s">
        <v>3432</v>
      </c>
      <c r="P110">
        <v>2023</v>
      </c>
      <c r="Q110">
        <v>3</v>
      </c>
      <c r="R110">
        <v>3</v>
      </c>
      <c r="S110">
        <v>12</v>
      </c>
      <c r="T110" t="str">
        <f>TEXT(Table1[[#This Row],[Month]],"MMMM")</f>
        <v>January</v>
      </c>
    </row>
    <row r="111" spans="1:20" x14ac:dyDescent="0.25">
      <c r="A111" t="s">
        <v>402</v>
      </c>
      <c r="B111" t="s">
        <v>2609</v>
      </c>
      <c r="C111" t="s">
        <v>403</v>
      </c>
      <c r="D111" t="s">
        <v>3235</v>
      </c>
      <c r="E111" s="1">
        <v>40313.645833333336</v>
      </c>
      <c r="F111" s="1" t="str">
        <f t="shared" si="1"/>
        <v>Saturday</v>
      </c>
      <c r="G111" t="s">
        <v>404</v>
      </c>
      <c r="H111" t="s">
        <v>3543</v>
      </c>
      <c r="I111" t="s">
        <v>17</v>
      </c>
      <c r="J111" t="s">
        <v>4104</v>
      </c>
      <c r="K111" t="s">
        <v>405</v>
      </c>
      <c r="L111">
        <v>20</v>
      </c>
      <c r="M111">
        <v>40</v>
      </c>
      <c r="N111" t="s">
        <v>79</v>
      </c>
      <c r="O111" t="s">
        <v>3401</v>
      </c>
      <c r="P111">
        <v>2010</v>
      </c>
      <c r="Q111">
        <v>5</v>
      </c>
      <c r="R111">
        <v>15</v>
      </c>
      <c r="S111">
        <v>15</v>
      </c>
      <c r="T111" t="str">
        <f>TEXT(Table1[[#This Row],[Month]],"MMMM")</f>
        <v>January</v>
      </c>
    </row>
    <row r="112" spans="1:20" x14ac:dyDescent="0.25">
      <c r="A112" t="s">
        <v>406</v>
      </c>
      <c r="B112" t="s">
        <v>2610</v>
      </c>
      <c r="C112" t="s">
        <v>407</v>
      </c>
      <c r="D112" t="s">
        <v>3236</v>
      </c>
      <c r="E112" s="1">
        <v>44418.885416666664</v>
      </c>
      <c r="F112" s="1" t="str">
        <f t="shared" si="1"/>
        <v>Tuesday</v>
      </c>
      <c r="G112" t="s">
        <v>408</v>
      </c>
      <c r="H112" t="s">
        <v>3544</v>
      </c>
      <c r="I112" t="s">
        <v>27</v>
      </c>
      <c r="J112" t="s">
        <v>4105</v>
      </c>
      <c r="K112" t="s">
        <v>409</v>
      </c>
      <c r="L112">
        <v>15</v>
      </c>
      <c r="M112">
        <v>30</v>
      </c>
      <c r="N112" t="s">
        <v>19</v>
      </c>
      <c r="O112" t="s">
        <v>60</v>
      </c>
      <c r="P112">
        <v>2021</v>
      </c>
      <c r="Q112">
        <v>8</v>
      </c>
      <c r="R112">
        <v>10</v>
      </c>
      <c r="S112">
        <v>21</v>
      </c>
      <c r="T112" t="str">
        <f>TEXT(Table1[[#This Row],[Month]],"MMMM")</f>
        <v>January</v>
      </c>
    </row>
    <row r="113" spans="1:20" x14ac:dyDescent="0.25">
      <c r="A113" t="s">
        <v>410</v>
      </c>
      <c r="B113" t="s">
        <v>2611</v>
      </c>
      <c r="C113" t="s">
        <v>411</v>
      </c>
      <c r="D113" t="s">
        <v>3237</v>
      </c>
      <c r="E113" s="1">
        <v>40714.614583333336</v>
      </c>
      <c r="F113" s="1" t="str">
        <f t="shared" si="1"/>
        <v>Monday</v>
      </c>
      <c r="G113" t="s">
        <v>412</v>
      </c>
      <c r="H113" t="s">
        <v>3545</v>
      </c>
      <c r="I113" t="s">
        <v>32</v>
      </c>
      <c r="J113" t="s">
        <v>4106</v>
      </c>
      <c r="K113" t="s">
        <v>413</v>
      </c>
      <c r="L113">
        <v>25</v>
      </c>
      <c r="M113">
        <v>50</v>
      </c>
      <c r="N113" t="s">
        <v>414</v>
      </c>
      <c r="O113" t="s">
        <v>3403</v>
      </c>
      <c r="P113">
        <v>2011</v>
      </c>
      <c r="Q113">
        <v>6</v>
      </c>
      <c r="R113">
        <v>20</v>
      </c>
      <c r="S113">
        <v>14</v>
      </c>
      <c r="T113" t="str">
        <f>TEXT(Table1[[#This Row],[Month]],"MMMM")</f>
        <v>January</v>
      </c>
    </row>
    <row r="114" spans="1:20" x14ac:dyDescent="0.25">
      <c r="A114" t="s">
        <v>415</v>
      </c>
      <c r="B114" t="s">
        <v>2612</v>
      </c>
      <c r="C114" t="s">
        <v>416</v>
      </c>
      <c r="D114" t="s">
        <v>3238</v>
      </c>
      <c r="E114" s="1">
        <v>44604.763888888891</v>
      </c>
      <c r="F114" s="1" t="str">
        <f t="shared" si="1"/>
        <v>Saturday</v>
      </c>
      <c r="G114" t="s">
        <v>417</v>
      </c>
      <c r="H114" t="s">
        <v>3546</v>
      </c>
      <c r="I114" t="s">
        <v>17</v>
      </c>
      <c r="J114" t="s">
        <v>4104</v>
      </c>
      <c r="K114" t="s">
        <v>418</v>
      </c>
      <c r="L114">
        <v>18</v>
      </c>
      <c r="M114">
        <v>35</v>
      </c>
      <c r="N114" t="s">
        <v>419</v>
      </c>
      <c r="O114" t="s">
        <v>3432</v>
      </c>
      <c r="P114">
        <v>2022</v>
      </c>
      <c r="Q114">
        <v>2</v>
      </c>
      <c r="R114">
        <v>12</v>
      </c>
      <c r="S114">
        <v>18</v>
      </c>
      <c r="T114" t="str">
        <f>TEXT(Table1[[#This Row],[Month]],"MMMM")</f>
        <v>January</v>
      </c>
    </row>
    <row r="115" spans="1:20" x14ac:dyDescent="0.25">
      <c r="A115" t="s">
        <v>420</v>
      </c>
      <c r="B115" t="s">
        <v>2613</v>
      </c>
      <c r="C115" t="s">
        <v>421</v>
      </c>
      <c r="D115" t="s">
        <v>3239</v>
      </c>
      <c r="E115" s="1">
        <v>41238.416666666664</v>
      </c>
      <c r="F115" s="1" t="str">
        <f t="shared" si="1"/>
        <v>Sunday</v>
      </c>
      <c r="G115" t="s">
        <v>422</v>
      </c>
      <c r="H115" t="s">
        <v>3547</v>
      </c>
      <c r="I115" t="s">
        <v>27</v>
      </c>
      <c r="J115" t="s">
        <v>4105</v>
      </c>
      <c r="K115" t="s">
        <v>423</v>
      </c>
      <c r="L115">
        <v>30</v>
      </c>
      <c r="M115">
        <v>60</v>
      </c>
      <c r="N115" t="s">
        <v>250</v>
      </c>
      <c r="O115" t="s">
        <v>3402</v>
      </c>
      <c r="P115">
        <v>2012</v>
      </c>
      <c r="Q115">
        <v>11</v>
      </c>
      <c r="R115">
        <v>25</v>
      </c>
      <c r="S115">
        <v>10</v>
      </c>
      <c r="T115" t="str">
        <f>TEXT(Table1[[#This Row],[Month]],"MMMM")</f>
        <v>January</v>
      </c>
    </row>
    <row r="116" spans="1:20" x14ac:dyDescent="0.25">
      <c r="A116" t="s">
        <v>424</v>
      </c>
      <c r="B116" t="s">
        <v>2614</v>
      </c>
      <c r="C116" t="s">
        <v>425</v>
      </c>
      <c r="D116" t="s">
        <v>3240</v>
      </c>
      <c r="E116" s="1">
        <v>41369.8125</v>
      </c>
      <c r="F116" s="1" t="str">
        <f t="shared" si="1"/>
        <v>Friday</v>
      </c>
      <c r="G116" t="s">
        <v>426</v>
      </c>
      <c r="H116" t="s">
        <v>3548</v>
      </c>
      <c r="I116" t="s">
        <v>32</v>
      </c>
      <c r="J116" t="s">
        <v>4106</v>
      </c>
      <c r="K116" t="s">
        <v>427</v>
      </c>
      <c r="L116">
        <v>22</v>
      </c>
      <c r="M116">
        <v>45</v>
      </c>
      <c r="N116" t="s">
        <v>19</v>
      </c>
      <c r="O116" t="s">
        <v>60</v>
      </c>
      <c r="P116">
        <v>2013</v>
      </c>
      <c r="Q116">
        <v>4</v>
      </c>
      <c r="R116">
        <v>5</v>
      </c>
      <c r="S116">
        <v>19</v>
      </c>
      <c r="T116" t="str">
        <f>TEXT(Table1[[#This Row],[Month]],"MMMM")</f>
        <v>January</v>
      </c>
    </row>
    <row r="117" spans="1:20" x14ac:dyDescent="0.25">
      <c r="A117" t="s">
        <v>428</v>
      </c>
      <c r="B117" t="s">
        <v>2615</v>
      </c>
      <c r="C117" t="s">
        <v>429</v>
      </c>
      <c r="D117" t="s">
        <v>3241</v>
      </c>
      <c r="E117" s="1">
        <v>41896.354166666664</v>
      </c>
      <c r="F117" s="1" t="str">
        <f t="shared" si="1"/>
        <v>Sunday</v>
      </c>
      <c r="G117" t="s">
        <v>430</v>
      </c>
      <c r="H117" t="s">
        <v>3549</v>
      </c>
      <c r="I117" t="s">
        <v>17</v>
      </c>
      <c r="J117" t="s">
        <v>4104</v>
      </c>
      <c r="K117" t="s">
        <v>431</v>
      </c>
      <c r="L117">
        <v>15</v>
      </c>
      <c r="M117">
        <v>30</v>
      </c>
      <c r="N117" t="s">
        <v>34</v>
      </c>
      <c r="O117" t="s">
        <v>3432</v>
      </c>
      <c r="P117">
        <v>2014</v>
      </c>
      <c r="Q117">
        <v>9</v>
      </c>
      <c r="R117">
        <v>14</v>
      </c>
      <c r="S117">
        <v>8</v>
      </c>
      <c r="T117" t="str">
        <f>TEXT(Table1[[#This Row],[Month]],"MMMM")</f>
        <v>January</v>
      </c>
    </row>
    <row r="118" spans="1:20" x14ac:dyDescent="0.25">
      <c r="A118" t="s">
        <v>432</v>
      </c>
      <c r="B118" t="s">
        <v>2616</v>
      </c>
      <c r="C118" t="s">
        <v>433</v>
      </c>
      <c r="D118" t="s">
        <v>3242</v>
      </c>
      <c r="E118" s="1">
        <v>42203.597222222219</v>
      </c>
      <c r="F118" s="1" t="str">
        <f t="shared" si="1"/>
        <v>Saturday</v>
      </c>
      <c r="G118" t="s">
        <v>434</v>
      </c>
      <c r="H118" t="s">
        <v>3550</v>
      </c>
      <c r="I118" t="s">
        <v>27</v>
      </c>
      <c r="J118" t="s">
        <v>4105</v>
      </c>
      <c r="K118" t="s">
        <v>435</v>
      </c>
      <c r="L118">
        <v>18</v>
      </c>
      <c r="M118">
        <v>35</v>
      </c>
      <c r="N118" t="s">
        <v>124</v>
      </c>
      <c r="O118" t="s">
        <v>3401</v>
      </c>
      <c r="P118">
        <v>2015</v>
      </c>
      <c r="Q118">
        <v>7</v>
      </c>
      <c r="R118">
        <v>18</v>
      </c>
      <c r="S118">
        <v>14</v>
      </c>
      <c r="T118" t="str">
        <f>TEXT(Table1[[#This Row],[Month]],"MMMM")</f>
        <v>January</v>
      </c>
    </row>
    <row r="119" spans="1:20" x14ac:dyDescent="0.25">
      <c r="A119" t="s">
        <v>436</v>
      </c>
      <c r="B119" t="s">
        <v>2617</v>
      </c>
      <c r="C119" t="s">
        <v>437</v>
      </c>
      <c r="D119" t="s">
        <v>3243</v>
      </c>
      <c r="E119" s="1">
        <v>42423.822916666664</v>
      </c>
      <c r="F119" s="1" t="str">
        <f t="shared" si="1"/>
        <v>Tuesday</v>
      </c>
      <c r="G119" t="s">
        <v>438</v>
      </c>
      <c r="H119" t="s">
        <v>3551</v>
      </c>
      <c r="I119" t="s">
        <v>32</v>
      </c>
      <c r="J119" t="s">
        <v>4106</v>
      </c>
      <c r="K119" t="s">
        <v>439</v>
      </c>
      <c r="L119">
        <v>25</v>
      </c>
      <c r="M119">
        <v>50</v>
      </c>
      <c r="N119" t="s">
        <v>419</v>
      </c>
      <c r="O119" t="s">
        <v>3432</v>
      </c>
      <c r="P119">
        <v>2016</v>
      </c>
      <c r="Q119">
        <v>2</v>
      </c>
      <c r="R119">
        <v>23</v>
      </c>
      <c r="S119">
        <v>19</v>
      </c>
      <c r="T119" t="str">
        <f>TEXT(Table1[[#This Row],[Month]],"MMMM")</f>
        <v>January</v>
      </c>
    </row>
    <row r="120" spans="1:20" x14ac:dyDescent="0.25">
      <c r="A120" t="s">
        <v>440</v>
      </c>
      <c r="B120" t="s">
        <v>2618</v>
      </c>
      <c r="C120" t="s">
        <v>441</v>
      </c>
      <c r="D120" t="s">
        <v>3244</v>
      </c>
      <c r="E120" s="1">
        <v>43038.479166666664</v>
      </c>
      <c r="F120" s="1" t="str">
        <f t="shared" si="1"/>
        <v>Monday</v>
      </c>
      <c r="G120" t="s">
        <v>442</v>
      </c>
      <c r="H120" t="s">
        <v>3552</v>
      </c>
      <c r="I120" t="s">
        <v>17</v>
      </c>
      <c r="J120" t="s">
        <v>4104</v>
      </c>
      <c r="K120" t="s">
        <v>443</v>
      </c>
      <c r="L120">
        <v>20</v>
      </c>
      <c r="M120">
        <v>40</v>
      </c>
      <c r="N120" t="s">
        <v>39</v>
      </c>
      <c r="O120" t="s">
        <v>3402</v>
      </c>
      <c r="P120">
        <v>2017</v>
      </c>
      <c r="Q120">
        <v>10</v>
      </c>
      <c r="R120">
        <v>30</v>
      </c>
      <c r="S120">
        <v>11</v>
      </c>
      <c r="T120" t="str">
        <f>TEXT(Table1[[#This Row],[Month]],"MMMM")</f>
        <v>January</v>
      </c>
    </row>
    <row r="121" spans="1:20" x14ac:dyDescent="0.25">
      <c r="A121" t="s">
        <v>444</v>
      </c>
      <c r="B121" t="s">
        <v>2619</v>
      </c>
      <c r="C121" t="s">
        <v>445</v>
      </c>
      <c r="D121" t="s">
        <v>3245</v>
      </c>
      <c r="E121" s="1">
        <v>43266.666666666664</v>
      </c>
      <c r="F121" s="1" t="str">
        <f t="shared" si="1"/>
        <v>Friday</v>
      </c>
      <c r="G121" t="s">
        <v>446</v>
      </c>
      <c r="H121" t="s">
        <v>3553</v>
      </c>
      <c r="I121" t="s">
        <v>27</v>
      </c>
      <c r="J121" t="s">
        <v>4105</v>
      </c>
      <c r="K121" t="s">
        <v>447</v>
      </c>
      <c r="L121">
        <v>15</v>
      </c>
      <c r="M121">
        <v>30</v>
      </c>
      <c r="N121" t="s">
        <v>448</v>
      </c>
      <c r="O121" t="s">
        <v>60</v>
      </c>
      <c r="P121">
        <v>2018</v>
      </c>
      <c r="Q121">
        <v>6</v>
      </c>
      <c r="R121">
        <v>15</v>
      </c>
      <c r="S121">
        <v>16</v>
      </c>
      <c r="T121" t="str">
        <f>TEXT(Table1[[#This Row],[Month]],"MMMM")</f>
        <v>January</v>
      </c>
    </row>
    <row r="122" spans="1:20" x14ac:dyDescent="0.25">
      <c r="A122" t="s">
        <v>449</v>
      </c>
      <c r="B122" t="s">
        <v>2620</v>
      </c>
      <c r="C122" t="s">
        <v>450</v>
      </c>
      <c r="D122" t="s">
        <v>3246</v>
      </c>
      <c r="E122" s="1">
        <v>43552.763888888891</v>
      </c>
      <c r="F122" s="1" t="str">
        <f t="shared" si="1"/>
        <v>Thursday</v>
      </c>
      <c r="G122" t="s">
        <v>451</v>
      </c>
      <c r="H122" t="s">
        <v>3554</v>
      </c>
      <c r="I122" t="s">
        <v>32</v>
      </c>
      <c r="J122" t="s">
        <v>4106</v>
      </c>
      <c r="K122" t="s">
        <v>452</v>
      </c>
      <c r="L122">
        <v>22</v>
      </c>
      <c r="M122">
        <v>45</v>
      </c>
      <c r="N122" t="s">
        <v>114</v>
      </c>
      <c r="O122" t="s">
        <v>3403</v>
      </c>
      <c r="P122">
        <v>2019</v>
      </c>
      <c r="Q122">
        <v>3</v>
      </c>
      <c r="R122">
        <v>28</v>
      </c>
      <c r="S122">
        <v>18</v>
      </c>
      <c r="T122" t="str">
        <f>TEXT(Table1[[#This Row],[Month]],"MMMM")</f>
        <v>January</v>
      </c>
    </row>
    <row r="123" spans="1:20" x14ac:dyDescent="0.25">
      <c r="A123" t="s">
        <v>453</v>
      </c>
      <c r="B123" t="s">
        <v>2621</v>
      </c>
      <c r="C123" t="s">
        <v>454</v>
      </c>
      <c r="D123" t="s">
        <v>3247</v>
      </c>
      <c r="E123" s="1">
        <v>43780.625</v>
      </c>
      <c r="F123" s="1" t="str">
        <f t="shared" si="1"/>
        <v>Monday</v>
      </c>
      <c r="G123" t="s">
        <v>455</v>
      </c>
      <c r="H123" t="s">
        <v>3555</v>
      </c>
      <c r="I123" t="s">
        <v>17</v>
      </c>
      <c r="J123" t="s">
        <v>4104</v>
      </c>
      <c r="K123" t="s">
        <v>456</v>
      </c>
      <c r="L123">
        <v>18</v>
      </c>
      <c r="M123">
        <v>35</v>
      </c>
      <c r="N123" t="s">
        <v>457</v>
      </c>
      <c r="O123" t="s">
        <v>3432</v>
      </c>
      <c r="P123">
        <v>2019</v>
      </c>
      <c r="Q123">
        <v>11</v>
      </c>
      <c r="R123">
        <v>11</v>
      </c>
      <c r="S123">
        <v>15</v>
      </c>
      <c r="T123" t="str">
        <f>TEXT(Table1[[#This Row],[Month]],"MMMM")</f>
        <v>January</v>
      </c>
    </row>
    <row r="124" spans="1:20" x14ac:dyDescent="0.25">
      <c r="A124" t="s">
        <v>458</v>
      </c>
      <c r="B124" t="s">
        <v>2622</v>
      </c>
      <c r="C124" t="s">
        <v>403</v>
      </c>
      <c r="D124" t="s">
        <v>3235</v>
      </c>
      <c r="E124" s="1">
        <v>43923.395833333336</v>
      </c>
      <c r="F124" s="1" t="str">
        <f t="shared" si="1"/>
        <v>Thursday</v>
      </c>
      <c r="G124" t="s">
        <v>459</v>
      </c>
      <c r="H124" t="s">
        <v>3556</v>
      </c>
      <c r="I124" t="s">
        <v>27</v>
      </c>
      <c r="J124" t="s">
        <v>4105</v>
      </c>
      <c r="K124" t="s">
        <v>460</v>
      </c>
      <c r="L124">
        <v>25</v>
      </c>
      <c r="M124">
        <v>50</v>
      </c>
      <c r="N124" t="s">
        <v>461</v>
      </c>
      <c r="O124" t="s">
        <v>3401</v>
      </c>
      <c r="P124">
        <v>2020</v>
      </c>
      <c r="Q124">
        <v>4</v>
      </c>
      <c r="R124">
        <v>2</v>
      </c>
      <c r="S124">
        <v>9</v>
      </c>
      <c r="T124" t="str">
        <f>TEXT(Table1[[#This Row],[Month]],"MMMM")</f>
        <v>January</v>
      </c>
    </row>
    <row r="125" spans="1:20" x14ac:dyDescent="0.25">
      <c r="A125" t="s">
        <v>462</v>
      </c>
      <c r="B125" t="s">
        <v>2623</v>
      </c>
      <c r="C125" t="s">
        <v>407</v>
      </c>
      <c r="D125" t="s">
        <v>3236</v>
      </c>
      <c r="E125" s="1">
        <v>44366.614583333336</v>
      </c>
      <c r="F125" s="1" t="str">
        <f t="shared" si="1"/>
        <v>Saturday</v>
      </c>
      <c r="G125" t="s">
        <v>463</v>
      </c>
      <c r="H125" t="s">
        <v>3557</v>
      </c>
      <c r="I125" t="s">
        <v>32</v>
      </c>
      <c r="J125" t="s">
        <v>4106</v>
      </c>
      <c r="K125" t="s">
        <v>464</v>
      </c>
      <c r="L125">
        <v>15</v>
      </c>
      <c r="M125">
        <v>30</v>
      </c>
      <c r="N125" t="s">
        <v>99</v>
      </c>
      <c r="O125" t="s">
        <v>60</v>
      </c>
      <c r="P125">
        <v>2021</v>
      </c>
      <c r="Q125">
        <v>6</v>
      </c>
      <c r="R125">
        <v>19</v>
      </c>
      <c r="S125">
        <v>14</v>
      </c>
      <c r="T125" t="str">
        <f>TEXT(Table1[[#This Row],[Month]],"MMMM")</f>
        <v>January</v>
      </c>
    </row>
    <row r="126" spans="1:20" x14ac:dyDescent="0.25">
      <c r="A126" t="s">
        <v>465</v>
      </c>
      <c r="B126" t="s">
        <v>2624</v>
      </c>
      <c r="C126" t="s">
        <v>411</v>
      </c>
      <c r="D126" t="s">
        <v>3237</v>
      </c>
      <c r="E126" s="1">
        <v>40405.416666666664</v>
      </c>
      <c r="F126" s="1" t="str">
        <f t="shared" si="1"/>
        <v>Sunday</v>
      </c>
      <c r="G126" t="s">
        <v>466</v>
      </c>
      <c r="H126" t="s">
        <v>3558</v>
      </c>
      <c r="I126" t="s">
        <v>17</v>
      </c>
      <c r="J126" t="s">
        <v>4104</v>
      </c>
      <c r="K126" t="s">
        <v>467</v>
      </c>
      <c r="L126">
        <v>30</v>
      </c>
      <c r="M126">
        <v>60</v>
      </c>
      <c r="N126" t="s">
        <v>39</v>
      </c>
      <c r="O126" t="s">
        <v>3402</v>
      </c>
      <c r="P126">
        <v>2010</v>
      </c>
      <c r="Q126">
        <v>8</v>
      </c>
      <c r="R126">
        <v>15</v>
      </c>
      <c r="S126">
        <v>10</v>
      </c>
      <c r="T126" t="str">
        <f>TEXT(Table1[[#This Row],[Month]],"MMMM")</f>
        <v>January</v>
      </c>
    </row>
    <row r="127" spans="1:20" x14ac:dyDescent="0.25">
      <c r="A127" t="s">
        <v>468</v>
      </c>
      <c r="B127" t="s">
        <v>2625</v>
      </c>
      <c r="C127" t="s">
        <v>416</v>
      </c>
      <c r="D127" t="s">
        <v>3238</v>
      </c>
      <c r="E127" s="1">
        <v>40808.8125</v>
      </c>
      <c r="F127" s="1" t="str">
        <f t="shared" si="1"/>
        <v>Thursday</v>
      </c>
      <c r="G127" t="s">
        <v>469</v>
      </c>
      <c r="H127" t="s">
        <v>3559</v>
      </c>
      <c r="I127" t="s">
        <v>27</v>
      </c>
      <c r="J127" t="s">
        <v>4105</v>
      </c>
      <c r="K127" t="s">
        <v>470</v>
      </c>
      <c r="L127">
        <v>22</v>
      </c>
      <c r="M127">
        <v>45</v>
      </c>
      <c r="N127" t="s">
        <v>419</v>
      </c>
      <c r="O127" t="s">
        <v>3432</v>
      </c>
      <c r="P127">
        <v>2011</v>
      </c>
      <c r="Q127">
        <v>9</v>
      </c>
      <c r="R127">
        <v>22</v>
      </c>
      <c r="S127">
        <v>19</v>
      </c>
      <c r="T127" t="str">
        <f>TEXT(Table1[[#This Row],[Month]],"MMMM")</f>
        <v>January</v>
      </c>
    </row>
    <row r="128" spans="1:20" x14ac:dyDescent="0.25">
      <c r="A128" t="s">
        <v>471</v>
      </c>
      <c r="B128" t="s">
        <v>2626</v>
      </c>
      <c r="C128" t="s">
        <v>421</v>
      </c>
      <c r="D128" t="s">
        <v>3239</v>
      </c>
      <c r="E128" s="1">
        <v>40978.354166666664</v>
      </c>
      <c r="F128" s="1" t="str">
        <f t="shared" si="1"/>
        <v>Saturday</v>
      </c>
      <c r="G128" t="s">
        <v>472</v>
      </c>
      <c r="H128" t="s">
        <v>3560</v>
      </c>
      <c r="I128" t="s">
        <v>32</v>
      </c>
      <c r="J128" t="s">
        <v>4106</v>
      </c>
      <c r="K128" t="s">
        <v>473</v>
      </c>
      <c r="L128">
        <v>15</v>
      </c>
      <c r="M128">
        <v>30</v>
      </c>
      <c r="N128" t="s">
        <v>114</v>
      </c>
      <c r="O128" t="s">
        <v>3403</v>
      </c>
      <c r="P128">
        <v>2012</v>
      </c>
      <c r="Q128">
        <v>3</v>
      </c>
      <c r="R128">
        <v>10</v>
      </c>
      <c r="S128">
        <v>8</v>
      </c>
      <c r="T128" t="str">
        <f>TEXT(Table1[[#This Row],[Month]],"MMMM")</f>
        <v>January</v>
      </c>
    </row>
    <row r="129" spans="1:20" x14ac:dyDescent="0.25">
      <c r="A129" t="s">
        <v>474</v>
      </c>
      <c r="B129" t="s">
        <v>2627</v>
      </c>
      <c r="C129" t="s">
        <v>425</v>
      </c>
      <c r="D129" t="s">
        <v>3240</v>
      </c>
      <c r="E129" s="1">
        <v>41613.666666666664</v>
      </c>
      <c r="F129" s="1" t="str">
        <f t="shared" si="1"/>
        <v>Thursday</v>
      </c>
      <c r="G129" t="s">
        <v>475</v>
      </c>
      <c r="H129" t="s">
        <v>3561</v>
      </c>
      <c r="I129" t="s">
        <v>17</v>
      </c>
      <c r="J129" t="s">
        <v>4104</v>
      </c>
      <c r="K129" t="s">
        <v>476</v>
      </c>
      <c r="L129">
        <v>18</v>
      </c>
      <c r="M129">
        <v>35</v>
      </c>
      <c r="N129" t="s">
        <v>79</v>
      </c>
      <c r="O129" t="s">
        <v>3401</v>
      </c>
      <c r="P129">
        <v>2013</v>
      </c>
      <c r="Q129">
        <v>12</v>
      </c>
      <c r="R129">
        <v>5</v>
      </c>
      <c r="S129">
        <v>16</v>
      </c>
      <c r="T129" t="str">
        <f>TEXT(Table1[[#This Row],[Month]],"MMMM")</f>
        <v>January</v>
      </c>
    </row>
    <row r="130" spans="1:20" x14ac:dyDescent="0.25">
      <c r="A130" t="s">
        <v>477</v>
      </c>
      <c r="B130" t="s">
        <v>2628</v>
      </c>
      <c r="C130" t="s">
        <v>429</v>
      </c>
      <c r="D130" t="s">
        <v>3241</v>
      </c>
      <c r="E130" s="1">
        <v>41840.479166666664</v>
      </c>
      <c r="F130" s="1" t="str">
        <f t="shared" si="1"/>
        <v>Sunday</v>
      </c>
      <c r="G130" t="s">
        <v>478</v>
      </c>
      <c r="H130" t="s">
        <v>3562</v>
      </c>
      <c r="I130" t="s">
        <v>27</v>
      </c>
      <c r="J130" t="s">
        <v>4105</v>
      </c>
      <c r="K130" t="s">
        <v>479</v>
      </c>
      <c r="L130">
        <v>25</v>
      </c>
      <c r="M130">
        <v>50</v>
      </c>
      <c r="N130" t="s">
        <v>60</v>
      </c>
      <c r="O130" t="s">
        <v>60</v>
      </c>
      <c r="P130">
        <v>2014</v>
      </c>
      <c r="Q130">
        <v>7</v>
      </c>
      <c r="R130">
        <v>20</v>
      </c>
      <c r="S130">
        <v>11</v>
      </c>
      <c r="T130" t="str">
        <f>TEXT(Table1[[#This Row],[Month]],"MMMM")</f>
        <v>January</v>
      </c>
    </row>
    <row r="131" spans="1:20" x14ac:dyDescent="0.25">
      <c r="A131" t="s">
        <v>480</v>
      </c>
      <c r="B131" t="s">
        <v>2629</v>
      </c>
      <c r="C131" t="s">
        <v>433</v>
      </c>
      <c r="D131" t="s">
        <v>3242</v>
      </c>
      <c r="E131" s="1">
        <v>42360.597222222219</v>
      </c>
      <c r="F131" s="1" t="str">
        <f t="shared" ref="F131:F194" si="2">TEXT(E131,"DDDD")</f>
        <v>Tuesday</v>
      </c>
      <c r="G131" t="s">
        <v>481</v>
      </c>
      <c r="H131" t="s">
        <v>3563</v>
      </c>
      <c r="I131" t="s">
        <v>32</v>
      </c>
      <c r="J131" t="s">
        <v>4106</v>
      </c>
      <c r="K131" t="s">
        <v>482</v>
      </c>
      <c r="L131">
        <v>18</v>
      </c>
      <c r="M131">
        <v>35</v>
      </c>
      <c r="N131" t="s">
        <v>19</v>
      </c>
      <c r="O131" t="s">
        <v>60</v>
      </c>
      <c r="P131">
        <v>2015</v>
      </c>
      <c r="Q131">
        <v>12</v>
      </c>
      <c r="R131">
        <v>22</v>
      </c>
      <c r="S131">
        <v>14</v>
      </c>
      <c r="T131" t="str">
        <f>TEXT(Table1[[#This Row],[Month]],"MMMM")</f>
        <v>January</v>
      </c>
    </row>
    <row r="132" spans="1:20" x14ac:dyDescent="0.25">
      <c r="A132" t="s">
        <v>483</v>
      </c>
      <c r="B132" t="s">
        <v>2630</v>
      </c>
      <c r="C132" t="s">
        <v>437</v>
      </c>
      <c r="D132" t="s">
        <v>3243</v>
      </c>
      <c r="E132" s="1">
        <v>42410.822916666664</v>
      </c>
      <c r="F132" s="1" t="str">
        <f t="shared" si="2"/>
        <v>Wednesday</v>
      </c>
      <c r="G132" t="s">
        <v>484</v>
      </c>
      <c r="H132" t="s">
        <v>3564</v>
      </c>
      <c r="I132" t="s">
        <v>17</v>
      </c>
      <c r="J132" t="s">
        <v>4104</v>
      </c>
      <c r="K132" t="s">
        <v>485</v>
      </c>
      <c r="L132">
        <v>25</v>
      </c>
      <c r="M132">
        <v>50</v>
      </c>
      <c r="N132" t="s">
        <v>34</v>
      </c>
      <c r="O132" t="s">
        <v>3432</v>
      </c>
      <c r="P132">
        <v>2016</v>
      </c>
      <c r="Q132">
        <v>2</v>
      </c>
      <c r="R132">
        <v>10</v>
      </c>
      <c r="S132">
        <v>19</v>
      </c>
      <c r="T132" t="str">
        <f>TEXT(Table1[[#This Row],[Month]],"MMMM")</f>
        <v>January</v>
      </c>
    </row>
    <row r="133" spans="1:20" x14ac:dyDescent="0.25">
      <c r="A133" t="s">
        <v>486</v>
      </c>
      <c r="B133" t="s">
        <v>2631</v>
      </c>
      <c r="C133" t="s">
        <v>441</v>
      </c>
      <c r="D133" t="s">
        <v>3244</v>
      </c>
      <c r="E133" s="1">
        <v>42855.479166666664</v>
      </c>
      <c r="F133" s="1" t="str">
        <f t="shared" si="2"/>
        <v>Sunday</v>
      </c>
      <c r="G133" t="s">
        <v>487</v>
      </c>
      <c r="H133" t="s">
        <v>3503</v>
      </c>
      <c r="I133" t="s">
        <v>27</v>
      </c>
      <c r="J133" t="s">
        <v>4105</v>
      </c>
      <c r="K133" t="s">
        <v>488</v>
      </c>
      <c r="L133">
        <v>20</v>
      </c>
      <c r="M133">
        <v>40</v>
      </c>
      <c r="N133" t="s">
        <v>39</v>
      </c>
      <c r="O133" t="s">
        <v>3402</v>
      </c>
      <c r="P133">
        <v>2017</v>
      </c>
      <c r="Q133">
        <v>4</v>
      </c>
      <c r="R133">
        <v>30</v>
      </c>
      <c r="S133">
        <v>11</v>
      </c>
      <c r="T133" t="str">
        <f>TEXT(Table1[[#This Row],[Month]],"MMMM")</f>
        <v>January</v>
      </c>
    </row>
    <row r="134" spans="1:20" x14ac:dyDescent="0.25">
      <c r="A134" t="s">
        <v>489</v>
      </c>
      <c r="B134" t="s">
        <v>2632</v>
      </c>
      <c r="C134" t="s">
        <v>445</v>
      </c>
      <c r="D134" t="s">
        <v>3245</v>
      </c>
      <c r="E134" s="1">
        <v>43358.666666666664</v>
      </c>
      <c r="F134" s="1" t="str">
        <f t="shared" si="2"/>
        <v>Saturday</v>
      </c>
      <c r="G134" t="s">
        <v>490</v>
      </c>
      <c r="H134" t="s">
        <v>3565</v>
      </c>
      <c r="I134" t="s">
        <v>32</v>
      </c>
      <c r="J134" t="s">
        <v>4106</v>
      </c>
      <c r="K134" t="s">
        <v>491</v>
      </c>
      <c r="L134">
        <v>15</v>
      </c>
      <c r="M134">
        <v>30</v>
      </c>
      <c r="N134" t="s">
        <v>79</v>
      </c>
      <c r="O134" t="s">
        <v>3401</v>
      </c>
      <c r="P134">
        <v>2018</v>
      </c>
      <c r="Q134">
        <v>9</v>
      </c>
      <c r="R134">
        <v>15</v>
      </c>
      <c r="S134">
        <v>16</v>
      </c>
      <c r="T134" t="str">
        <f>TEXT(Table1[[#This Row],[Month]],"MMMM")</f>
        <v>January</v>
      </c>
    </row>
    <row r="135" spans="1:20" x14ac:dyDescent="0.25">
      <c r="A135" t="s">
        <v>492</v>
      </c>
      <c r="B135" t="s">
        <v>2633</v>
      </c>
      <c r="C135" t="s">
        <v>450</v>
      </c>
      <c r="D135" t="s">
        <v>3246</v>
      </c>
      <c r="E135" s="1">
        <v>43644.763888888891</v>
      </c>
      <c r="F135" s="1" t="str">
        <f t="shared" si="2"/>
        <v>Friday</v>
      </c>
      <c r="G135" t="s">
        <v>493</v>
      </c>
      <c r="H135" t="s">
        <v>3566</v>
      </c>
      <c r="I135" t="s">
        <v>17</v>
      </c>
      <c r="J135" t="s">
        <v>4104</v>
      </c>
      <c r="K135" t="s">
        <v>494</v>
      </c>
      <c r="L135">
        <v>22</v>
      </c>
      <c r="M135">
        <v>45</v>
      </c>
      <c r="N135" t="s">
        <v>114</v>
      </c>
      <c r="O135" t="s">
        <v>3403</v>
      </c>
      <c r="P135">
        <v>2019</v>
      </c>
      <c r="Q135">
        <v>6</v>
      </c>
      <c r="R135">
        <v>28</v>
      </c>
      <c r="S135">
        <v>18</v>
      </c>
      <c r="T135" t="str">
        <f>TEXT(Table1[[#This Row],[Month]],"MMMM")</f>
        <v>January</v>
      </c>
    </row>
    <row r="136" spans="1:20" x14ac:dyDescent="0.25">
      <c r="A136" t="s">
        <v>495</v>
      </c>
      <c r="B136" t="s">
        <v>2634</v>
      </c>
      <c r="C136" t="s">
        <v>454</v>
      </c>
      <c r="D136" t="s">
        <v>3247</v>
      </c>
      <c r="E136" s="1">
        <v>44146.625</v>
      </c>
      <c r="F136" s="1" t="str">
        <f t="shared" si="2"/>
        <v>Wednesday</v>
      </c>
      <c r="G136" t="s">
        <v>496</v>
      </c>
      <c r="H136" t="s">
        <v>3567</v>
      </c>
      <c r="I136" t="s">
        <v>27</v>
      </c>
      <c r="J136" t="s">
        <v>4105</v>
      </c>
      <c r="K136" t="s">
        <v>497</v>
      </c>
      <c r="L136">
        <v>18</v>
      </c>
      <c r="M136">
        <v>35</v>
      </c>
      <c r="N136" t="s">
        <v>128</v>
      </c>
      <c r="O136" t="s">
        <v>3432</v>
      </c>
      <c r="P136">
        <v>2020</v>
      </c>
      <c r="Q136">
        <v>11</v>
      </c>
      <c r="R136">
        <v>11</v>
      </c>
      <c r="S136">
        <v>15</v>
      </c>
      <c r="T136" t="str">
        <f>TEXT(Table1[[#This Row],[Month]],"MMMM")</f>
        <v>January</v>
      </c>
    </row>
    <row r="137" spans="1:20" x14ac:dyDescent="0.25">
      <c r="A137" t="s">
        <v>498</v>
      </c>
      <c r="B137" t="s">
        <v>2635</v>
      </c>
      <c r="C137" t="s">
        <v>403</v>
      </c>
      <c r="D137" t="s">
        <v>3235</v>
      </c>
      <c r="E137" s="1">
        <v>44257.395833333336</v>
      </c>
      <c r="F137" s="1" t="str">
        <f t="shared" si="2"/>
        <v>Tuesday</v>
      </c>
      <c r="G137" t="s">
        <v>499</v>
      </c>
      <c r="H137" t="s">
        <v>3568</v>
      </c>
      <c r="I137" t="s">
        <v>32</v>
      </c>
      <c r="J137" t="s">
        <v>4106</v>
      </c>
      <c r="K137" t="s">
        <v>500</v>
      </c>
      <c r="L137">
        <v>25</v>
      </c>
      <c r="M137">
        <v>50</v>
      </c>
      <c r="N137" t="s">
        <v>19</v>
      </c>
      <c r="O137" t="s">
        <v>60</v>
      </c>
      <c r="P137">
        <v>2021</v>
      </c>
      <c r="Q137">
        <v>3</v>
      </c>
      <c r="R137">
        <v>2</v>
      </c>
      <c r="S137">
        <v>9</v>
      </c>
      <c r="T137" t="str">
        <f>TEXT(Table1[[#This Row],[Month]],"MMMM")</f>
        <v>January</v>
      </c>
    </row>
    <row r="138" spans="1:20" x14ac:dyDescent="0.25">
      <c r="A138" t="s">
        <v>501</v>
      </c>
      <c r="B138" t="s">
        <v>2636</v>
      </c>
      <c r="C138" t="s">
        <v>403</v>
      </c>
      <c r="D138" t="s">
        <v>3235</v>
      </c>
      <c r="E138" s="1">
        <v>40957.604166666664</v>
      </c>
      <c r="F138" s="1" t="str">
        <f t="shared" si="2"/>
        <v>Saturday</v>
      </c>
      <c r="G138" t="s">
        <v>502</v>
      </c>
      <c r="H138" t="s">
        <v>3569</v>
      </c>
      <c r="I138" t="s">
        <v>17</v>
      </c>
      <c r="J138" t="s">
        <v>4104</v>
      </c>
      <c r="K138" t="s">
        <v>503</v>
      </c>
      <c r="L138">
        <v>20</v>
      </c>
      <c r="M138">
        <v>40</v>
      </c>
      <c r="N138" t="s">
        <v>19</v>
      </c>
      <c r="O138" t="s">
        <v>60</v>
      </c>
      <c r="P138">
        <v>2012</v>
      </c>
      <c r="Q138">
        <v>2</v>
      </c>
      <c r="R138">
        <v>18</v>
      </c>
      <c r="S138">
        <v>14</v>
      </c>
      <c r="T138" t="str">
        <f>TEXT(Table1[[#This Row],[Month]],"MMMM")</f>
        <v>January</v>
      </c>
    </row>
    <row r="139" spans="1:20" x14ac:dyDescent="0.25">
      <c r="A139" t="s">
        <v>504</v>
      </c>
      <c r="B139" t="s">
        <v>2637</v>
      </c>
      <c r="C139" t="s">
        <v>407</v>
      </c>
      <c r="D139" t="s">
        <v>3236</v>
      </c>
      <c r="E139" s="1">
        <v>43409.90625</v>
      </c>
      <c r="F139" s="1" t="str">
        <f t="shared" si="2"/>
        <v>Monday</v>
      </c>
      <c r="G139" t="s">
        <v>505</v>
      </c>
      <c r="H139" t="s">
        <v>3570</v>
      </c>
      <c r="I139" t="s">
        <v>27</v>
      </c>
      <c r="J139" t="s">
        <v>4105</v>
      </c>
      <c r="K139" t="s">
        <v>506</v>
      </c>
      <c r="L139">
        <v>15</v>
      </c>
      <c r="M139">
        <v>30</v>
      </c>
      <c r="N139" t="s">
        <v>175</v>
      </c>
      <c r="O139" t="s">
        <v>3432</v>
      </c>
      <c r="P139">
        <v>2018</v>
      </c>
      <c r="Q139">
        <v>11</v>
      </c>
      <c r="R139">
        <v>5</v>
      </c>
      <c r="S139">
        <v>21</v>
      </c>
      <c r="T139" t="str">
        <f>TEXT(Table1[[#This Row],[Month]],"MMMM")</f>
        <v>January</v>
      </c>
    </row>
    <row r="140" spans="1:20" x14ac:dyDescent="0.25">
      <c r="A140" t="s">
        <v>507</v>
      </c>
      <c r="B140" t="s">
        <v>2638</v>
      </c>
      <c r="C140" t="s">
        <v>411</v>
      </c>
      <c r="D140" t="s">
        <v>3237</v>
      </c>
      <c r="E140" s="1">
        <v>42259.555555555555</v>
      </c>
      <c r="F140" s="1" t="str">
        <f t="shared" si="2"/>
        <v>Saturday</v>
      </c>
      <c r="G140" t="s">
        <v>508</v>
      </c>
      <c r="H140" t="s">
        <v>3571</v>
      </c>
      <c r="I140" t="s">
        <v>32</v>
      </c>
      <c r="J140" t="s">
        <v>4106</v>
      </c>
      <c r="K140" t="s">
        <v>509</v>
      </c>
      <c r="L140">
        <v>25</v>
      </c>
      <c r="M140">
        <v>50</v>
      </c>
      <c r="N140" t="s">
        <v>43</v>
      </c>
      <c r="O140" t="s">
        <v>3403</v>
      </c>
      <c r="P140">
        <v>2015</v>
      </c>
      <c r="Q140">
        <v>9</v>
      </c>
      <c r="R140">
        <v>12</v>
      </c>
      <c r="S140">
        <v>13</v>
      </c>
      <c r="T140" t="str">
        <f>TEXT(Table1[[#This Row],[Month]],"MMMM")</f>
        <v>January</v>
      </c>
    </row>
    <row r="141" spans="1:20" x14ac:dyDescent="0.25">
      <c r="A141" t="s">
        <v>510</v>
      </c>
      <c r="B141" t="s">
        <v>2639</v>
      </c>
      <c r="C141" t="s">
        <v>416</v>
      </c>
      <c r="D141" t="s">
        <v>3238</v>
      </c>
      <c r="E141" s="1">
        <v>42581.756944444445</v>
      </c>
      <c r="F141" s="1" t="str">
        <f t="shared" si="2"/>
        <v>Saturday</v>
      </c>
      <c r="G141" t="s">
        <v>511</v>
      </c>
      <c r="H141" t="s">
        <v>3572</v>
      </c>
      <c r="I141" t="s">
        <v>17</v>
      </c>
      <c r="J141" t="s">
        <v>4104</v>
      </c>
      <c r="K141" t="s">
        <v>512</v>
      </c>
      <c r="L141">
        <v>18</v>
      </c>
      <c r="M141">
        <v>35</v>
      </c>
      <c r="N141" t="s">
        <v>461</v>
      </c>
      <c r="O141" t="s">
        <v>3401</v>
      </c>
      <c r="P141">
        <v>2016</v>
      </c>
      <c r="Q141">
        <v>7</v>
      </c>
      <c r="R141">
        <v>30</v>
      </c>
      <c r="S141">
        <v>18</v>
      </c>
      <c r="T141" t="str">
        <f>TEXT(Table1[[#This Row],[Month]],"MMMM")</f>
        <v>January</v>
      </c>
    </row>
    <row r="142" spans="1:20" x14ac:dyDescent="0.25">
      <c r="A142" t="s">
        <v>513</v>
      </c>
      <c r="B142" t="s">
        <v>2640</v>
      </c>
      <c r="C142" t="s">
        <v>421</v>
      </c>
      <c r="D142" t="s">
        <v>3239</v>
      </c>
      <c r="E142" s="1">
        <v>41384.4375</v>
      </c>
      <c r="F142" s="1" t="str">
        <f t="shared" si="2"/>
        <v>Saturday</v>
      </c>
      <c r="G142" t="s">
        <v>514</v>
      </c>
      <c r="H142" t="s">
        <v>3573</v>
      </c>
      <c r="I142" t="s">
        <v>27</v>
      </c>
      <c r="J142" t="s">
        <v>4105</v>
      </c>
      <c r="K142" t="s">
        <v>515</v>
      </c>
      <c r="L142">
        <v>30</v>
      </c>
      <c r="M142">
        <v>60</v>
      </c>
      <c r="N142" t="s">
        <v>99</v>
      </c>
      <c r="O142" t="s">
        <v>60</v>
      </c>
      <c r="P142">
        <v>2013</v>
      </c>
      <c r="Q142">
        <v>4</v>
      </c>
      <c r="R142">
        <v>20</v>
      </c>
      <c r="S142">
        <v>10</v>
      </c>
      <c r="T142" t="str">
        <f>TEXT(Table1[[#This Row],[Month]],"MMMM")</f>
        <v>January</v>
      </c>
    </row>
    <row r="143" spans="1:20" x14ac:dyDescent="0.25">
      <c r="A143" t="s">
        <v>516</v>
      </c>
      <c r="B143" t="s">
        <v>2641</v>
      </c>
      <c r="C143" t="s">
        <v>425</v>
      </c>
      <c r="D143" t="s">
        <v>3240</v>
      </c>
      <c r="E143" s="1">
        <v>43077.802083333336</v>
      </c>
      <c r="F143" s="1" t="str">
        <f t="shared" si="2"/>
        <v>Friday</v>
      </c>
      <c r="G143" t="s">
        <v>517</v>
      </c>
      <c r="H143" t="s">
        <v>3574</v>
      </c>
      <c r="I143" t="s">
        <v>32</v>
      </c>
      <c r="J143" t="s">
        <v>4106</v>
      </c>
      <c r="K143" t="s">
        <v>518</v>
      </c>
      <c r="L143">
        <v>22</v>
      </c>
      <c r="M143">
        <v>45</v>
      </c>
      <c r="N143" t="s">
        <v>79</v>
      </c>
      <c r="O143" t="s">
        <v>3401</v>
      </c>
      <c r="P143">
        <v>2017</v>
      </c>
      <c r="Q143">
        <v>12</v>
      </c>
      <c r="R143">
        <v>8</v>
      </c>
      <c r="S143">
        <v>19</v>
      </c>
      <c r="T143" t="str">
        <f>TEXT(Table1[[#This Row],[Month]],"MMMM")</f>
        <v>January</v>
      </c>
    </row>
    <row r="144" spans="1:20" x14ac:dyDescent="0.25">
      <c r="A144" t="s">
        <v>519</v>
      </c>
      <c r="B144" t="s">
        <v>2642</v>
      </c>
      <c r="C144" t="s">
        <v>429</v>
      </c>
      <c r="D144" t="s">
        <v>3241</v>
      </c>
      <c r="E144" s="1">
        <v>41793.347222222219</v>
      </c>
      <c r="F144" s="1" t="str">
        <f t="shared" si="2"/>
        <v>Tuesday</v>
      </c>
      <c r="G144" t="s">
        <v>520</v>
      </c>
      <c r="H144" t="s">
        <v>3575</v>
      </c>
      <c r="I144" t="s">
        <v>17</v>
      </c>
      <c r="J144" t="s">
        <v>4104</v>
      </c>
      <c r="K144" t="s">
        <v>521</v>
      </c>
      <c r="L144">
        <v>15</v>
      </c>
      <c r="M144">
        <v>30</v>
      </c>
      <c r="N144" t="s">
        <v>34</v>
      </c>
      <c r="O144" t="s">
        <v>3432</v>
      </c>
      <c r="P144">
        <v>2014</v>
      </c>
      <c r="Q144">
        <v>6</v>
      </c>
      <c r="R144">
        <v>3</v>
      </c>
      <c r="S144">
        <v>8</v>
      </c>
      <c r="T144" t="str">
        <f>TEXT(Table1[[#This Row],[Month]],"MMMM")</f>
        <v>January</v>
      </c>
    </row>
    <row r="145" spans="1:20" x14ac:dyDescent="0.25">
      <c r="A145" t="s">
        <v>522</v>
      </c>
      <c r="B145" t="s">
        <v>2643</v>
      </c>
      <c r="C145" t="s">
        <v>523</v>
      </c>
      <c r="D145" t="s">
        <v>3242</v>
      </c>
      <c r="E145" s="1">
        <v>43480.618055555555</v>
      </c>
      <c r="F145" s="1" t="str">
        <f t="shared" si="2"/>
        <v>Tuesday</v>
      </c>
      <c r="G145" t="s">
        <v>524</v>
      </c>
      <c r="H145" t="s">
        <v>3576</v>
      </c>
      <c r="I145" t="s">
        <v>27</v>
      </c>
      <c r="J145" t="s">
        <v>4105</v>
      </c>
      <c r="K145" t="s">
        <v>525</v>
      </c>
      <c r="L145">
        <v>18</v>
      </c>
      <c r="M145">
        <v>35</v>
      </c>
      <c r="N145" t="s">
        <v>39</v>
      </c>
      <c r="O145" t="s">
        <v>3402</v>
      </c>
      <c r="P145">
        <v>2019</v>
      </c>
      <c r="Q145">
        <v>1</v>
      </c>
      <c r="R145">
        <v>15</v>
      </c>
      <c r="S145">
        <v>14</v>
      </c>
      <c r="T145" t="str">
        <f>TEXT(Table1[[#This Row],[Month]],"MMMM")</f>
        <v>January</v>
      </c>
    </row>
    <row r="146" spans="1:20" x14ac:dyDescent="0.25">
      <c r="A146" t="s">
        <v>526</v>
      </c>
      <c r="B146" t="s">
        <v>2644</v>
      </c>
      <c r="C146" t="s">
        <v>437</v>
      </c>
      <c r="D146" t="s">
        <v>3243</v>
      </c>
      <c r="E146" s="1">
        <v>42729.8125</v>
      </c>
      <c r="F146" s="1" t="str">
        <f t="shared" si="2"/>
        <v>Sunday</v>
      </c>
      <c r="G146" t="s">
        <v>527</v>
      </c>
      <c r="H146" t="s">
        <v>3577</v>
      </c>
      <c r="I146" t="s">
        <v>32</v>
      </c>
      <c r="J146" t="s">
        <v>4106</v>
      </c>
      <c r="K146" t="s">
        <v>528</v>
      </c>
      <c r="L146">
        <v>25</v>
      </c>
      <c r="M146">
        <v>50</v>
      </c>
      <c r="N146" t="s">
        <v>419</v>
      </c>
      <c r="O146" t="s">
        <v>3432</v>
      </c>
      <c r="P146">
        <v>2016</v>
      </c>
      <c r="Q146">
        <v>12</v>
      </c>
      <c r="R146">
        <v>25</v>
      </c>
      <c r="S146">
        <v>19</v>
      </c>
      <c r="T146" t="str">
        <f>TEXT(Table1[[#This Row],[Month]],"MMMM")</f>
        <v>January</v>
      </c>
    </row>
    <row r="147" spans="1:20" x14ac:dyDescent="0.25">
      <c r="A147" t="s">
        <v>529</v>
      </c>
      <c r="B147" t="s">
        <v>2645</v>
      </c>
      <c r="C147" t="s">
        <v>441</v>
      </c>
      <c r="D147" t="s">
        <v>3244</v>
      </c>
      <c r="E147" s="1">
        <v>43169.40625</v>
      </c>
      <c r="F147" s="1" t="str">
        <f t="shared" si="2"/>
        <v>Saturday</v>
      </c>
      <c r="G147" t="s">
        <v>530</v>
      </c>
      <c r="H147" t="s">
        <v>3578</v>
      </c>
      <c r="I147" t="s">
        <v>17</v>
      </c>
      <c r="J147" t="s">
        <v>4104</v>
      </c>
      <c r="K147" t="s">
        <v>531</v>
      </c>
      <c r="L147">
        <v>20</v>
      </c>
      <c r="M147">
        <v>40</v>
      </c>
      <c r="N147" t="s">
        <v>43</v>
      </c>
      <c r="O147" t="s">
        <v>3403</v>
      </c>
      <c r="P147">
        <v>2018</v>
      </c>
      <c r="Q147">
        <v>3</v>
      </c>
      <c r="R147">
        <v>10</v>
      </c>
      <c r="S147">
        <v>9</v>
      </c>
      <c r="T147" t="str">
        <f>TEXT(Table1[[#This Row],[Month]],"MMMM")</f>
        <v>January</v>
      </c>
    </row>
    <row r="148" spans="1:20" x14ac:dyDescent="0.25">
      <c r="A148" t="s">
        <v>532</v>
      </c>
      <c r="B148" t="s">
        <v>2646</v>
      </c>
      <c r="C148" t="s">
        <v>445</v>
      </c>
      <c r="D148" t="s">
        <v>3245</v>
      </c>
      <c r="E148" s="1">
        <v>44091.6875</v>
      </c>
      <c r="F148" s="1" t="str">
        <f t="shared" si="2"/>
        <v>Thursday</v>
      </c>
      <c r="G148" t="s">
        <v>533</v>
      </c>
      <c r="H148" t="s">
        <v>3579</v>
      </c>
      <c r="I148" t="s">
        <v>27</v>
      </c>
      <c r="J148" t="s">
        <v>4105</v>
      </c>
      <c r="K148" t="s">
        <v>534</v>
      </c>
      <c r="L148">
        <v>15</v>
      </c>
      <c r="M148">
        <v>30</v>
      </c>
      <c r="N148" t="s">
        <v>89</v>
      </c>
      <c r="O148" t="s">
        <v>60</v>
      </c>
      <c r="P148">
        <v>2020</v>
      </c>
      <c r="Q148">
        <v>9</v>
      </c>
      <c r="R148">
        <v>17</v>
      </c>
      <c r="S148">
        <v>16</v>
      </c>
      <c r="T148" t="str">
        <f>TEXT(Table1[[#This Row],[Month]],"MMMM")</f>
        <v>January</v>
      </c>
    </row>
    <row r="149" spans="1:20" x14ac:dyDescent="0.25">
      <c r="A149" t="s">
        <v>535</v>
      </c>
      <c r="B149" t="s">
        <v>2647</v>
      </c>
      <c r="C149" t="s">
        <v>536</v>
      </c>
      <c r="D149" t="s">
        <v>3246</v>
      </c>
      <c r="E149" s="1">
        <v>40783.78125</v>
      </c>
      <c r="F149" s="1" t="str">
        <f t="shared" si="2"/>
        <v>Sunday</v>
      </c>
      <c r="G149" t="s">
        <v>537</v>
      </c>
      <c r="H149" t="s">
        <v>3580</v>
      </c>
      <c r="I149" t="s">
        <v>32</v>
      </c>
      <c r="J149" t="s">
        <v>4106</v>
      </c>
      <c r="K149" t="s">
        <v>538</v>
      </c>
      <c r="L149">
        <v>22</v>
      </c>
      <c r="M149">
        <v>45</v>
      </c>
      <c r="N149" t="s">
        <v>79</v>
      </c>
      <c r="O149" t="s">
        <v>3401</v>
      </c>
      <c r="P149">
        <v>2011</v>
      </c>
      <c r="Q149">
        <v>8</v>
      </c>
      <c r="R149">
        <v>28</v>
      </c>
      <c r="S149">
        <v>18</v>
      </c>
      <c r="T149" t="str">
        <f>TEXT(Table1[[#This Row],[Month]],"MMMM")</f>
        <v>January</v>
      </c>
    </row>
    <row r="150" spans="1:20" x14ac:dyDescent="0.25">
      <c r="A150" t="s">
        <v>539</v>
      </c>
      <c r="B150" t="s">
        <v>2648</v>
      </c>
      <c r="C150" t="s">
        <v>540</v>
      </c>
      <c r="D150" t="s">
        <v>3247</v>
      </c>
      <c r="E150" s="1">
        <v>43040.645833333336</v>
      </c>
      <c r="F150" s="1" t="str">
        <f t="shared" si="2"/>
        <v>Wednesday</v>
      </c>
      <c r="G150" t="s">
        <v>541</v>
      </c>
      <c r="H150" t="s">
        <v>3581</v>
      </c>
      <c r="I150" t="s">
        <v>17</v>
      </c>
      <c r="J150" t="s">
        <v>4104</v>
      </c>
      <c r="K150" t="s">
        <v>542</v>
      </c>
      <c r="L150">
        <v>18</v>
      </c>
      <c r="M150">
        <v>35</v>
      </c>
      <c r="N150" t="s">
        <v>39</v>
      </c>
      <c r="O150" t="s">
        <v>3402</v>
      </c>
      <c r="P150">
        <v>2017</v>
      </c>
      <c r="Q150">
        <v>11</v>
      </c>
      <c r="R150">
        <v>1</v>
      </c>
      <c r="S150">
        <v>15</v>
      </c>
      <c r="T150" t="str">
        <f>TEXT(Table1[[#This Row],[Month]],"MMMM")</f>
        <v>January</v>
      </c>
    </row>
    <row r="151" spans="1:20" x14ac:dyDescent="0.25">
      <c r="A151" t="s">
        <v>543</v>
      </c>
      <c r="B151" t="s">
        <v>2649</v>
      </c>
      <c r="C151" t="s">
        <v>403</v>
      </c>
      <c r="D151" t="s">
        <v>3235</v>
      </c>
      <c r="E151" s="1">
        <v>43631.416666666664</v>
      </c>
      <c r="F151" s="1" t="str">
        <f t="shared" si="2"/>
        <v>Saturday</v>
      </c>
      <c r="G151" t="s">
        <v>544</v>
      </c>
      <c r="H151" t="s">
        <v>3582</v>
      </c>
      <c r="I151" t="s">
        <v>27</v>
      </c>
      <c r="J151" t="s">
        <v>4105</v>
      </c>
      <c r="K151" t="s">
        <v>545</v>
      </c>
      <c r="L151">
        <v>25</v>
      </c>
      <c r="M151">
        <v>50</v>
      </c>
      <c r="N151" t="s">
        <v>232</v>
      </c>
      <c r="O151" t="s">
        <v>3432</v>
      </c>
      <c r="P151">
        <v>2019</v>
      </c>
      <c r="Q151">
        <v>6</v>
      </c>
      <c r="R151">
        <v>15</v>
      </c>
      <c r="S151">
        <v>10</v>
      </c>
      <c r="T151" t="str">
        <f>TEXT(Table1[[#This Row],[Month]],"MMMM")</f>
        <v>January</v>
      </c>
    </row>
    <row r="152" spans="1:20" x14ac:dyDescent="0.25">
      <c r="A152" t="s">
        <v>546</v>
      </c>
      <c r="B152" t="s">
        <v>2650</v>
      </c>
      <c r="C152" t="s">
        <v>407</v>
      </c>
      <c r="D152" t="s">
        <v>3236</v>
      </c>
      <c r="E152" s="1">
        <v>44654.489583333336</v>
      </c>
      <c r="F152" s="1" t="str">
        <f t="shared" si="2"/>
        <v>Sunday</v>
      </c>
      <c r="G152" t="s">
        <v>547</v>
      </c>
      <c r="H152" t="s">
        <v>3583</v>
      </c>
      <c r="I152" t="s">
        <v>32</v>
      </c>
      <c r="J152" t="s">
        <v>4106</v>
      </c>
      <c r="K152" t="s">
        <v>548</v>
      </c>
      <c r="L152">
        <v>15</v>
      </c>
      <c r="M152">
        <v>30</v>
      </c>
      <c r="N152" t="s">
        <v>89</v>
      </c>
      <c r="O152" t="s">
        <v>60</v>
      </c>
      <c r="P152">
        <v>2022</v>
      </c>
      <c r="Q152">
        <v>4</v>
      </c>
      <c r="R152">
        <v>3</v>
      </c>
      <c r="S152">
        <v>11</v>
      </c>
      <c r="T152" t="str">
        <f>TEXT(Table1[[#This Row],[Month]],"MMMM")</f>
        <v>January</v>
      </c>
    </row>
    <row r="153" spans="1:20" x14ac:dyDescent="0.25">
      <c r="A153" t="s">
        <v>549</v>
      </c>
      <c r="B153" t="s">
        <v>2651</v>
      </c>
      <c r="C153" t="s">
        <v>411</v>
      </c>
      <c r="D153" t="s">
        <v>3237</v>
      </c>
      <c r="E153" s="1">
        <v>40494.847222222219</v>
      </c>
      <c r="F153" s="1" t="str">
        <f t="shared" si="2"/>
        <v>Friday</v>
      </c>
      <c r="G153" t="s">
        <v>550</v>
      </c>
      <c r="H153" t="s">
        <v>3584</v>
      </c>
      <c r="I153" t="s">
        <v>17</v>
      </c>
      <c r="J153" t="s">
        <v>4104</v>
      </c>
      <c r="K153" t="s">
        <v>551</v>
      </c>
      <c r="L153">
        <v>30</v>
      </c>
      <c r="M153">
        <v>60</v>
      </c>
      <c r="N153" t="s">
        <v>43</v>
      </c>
      <c r="O153" t="s">
        <v>3403</v>
      </c>
      <c r="P153">
        <v>2010</v>
      </c>
      <c r="Q153">
        <v>11</v>
      </c>
      <c r="R153">
        <v>12</v>
      </c>
      <c r="S153">
        <v>20</v>
      </c>
      <c r="T153" t="str">
        <f>TEXT(Table1[[#This Row],[Month]],"MMMM")</f>
        <v>January</v>
      </c>
    </row>
    <row r="154" spans="1:20" x14ac:dyDescent="0.25">
      <c r="A154" t="s">
        <v>552</v>
      </c>
      <c r="B154" t="s">
        <v>2652</v>
      </c>
      <c r="C154" t="s">
        <v>416</v>
      </c>
      <c r="D154" t="s">
        <v>3238</v>
      </c>
      <c r="E154" s="1">
        <v>40746.770833333336</v>
      </c>
      <c r="F154" s="1" t="str">
        <f t="shared" si="2"/>
        <v>Friday</v>
      </c>
      <c r="G154" t="s">
        <v>553</v>
      </c>
      <c r="H154" t="s">
        <v>3585</v>
      </c>
      <c r="I154" t="s">
        <v>27</v>
      </c>
      <c r="J154" t="s">
        <v>4105</v>
      </c>
      <c r="K154" t="s">
        <v>554</v>
      </c>
      <c r="L154">
        <v>22</v>
      </c>
      <c r="M154">
        <v>45</v>
      </c>
      <c r="N154" t="s">
        <v>200</v>
      </c>
      <c r="O154" t="s">
        <v>3401</v>
      </c>
      <c r="P154">
        <v>2011</v>
      </c>
      <c r="Q154">
        <v>7</v>
      </c>
      <c r="R154">
        <v>22</v>
      </c>
      <c r="S154">
        <v>18</v>
      </c>
      <c r="T154" t="str">
        <f>TEXT(Table1[[#This Row],[Month]],"MMMM")</f>
        <v>January</v>
      </c>
    </row>
    <row r="155" spans="1:20" x14ac:dyDescent="0.25">
      <c r="A155" t="s">
        <v>555</v>
      </c>
      <c r="B155" t="s">
        <v>2653</v>
      </c>
      <c r="C155" t="s">
        <v>421</v>
      </c>
      <c r="D155" t="s">
        <v>3239</v>
      </c>
      <c r="E155" s="1">
        <v>40998.472222222219</v>
      </c>
      <c r="F155" s="1" t="str">
        <f t="shared" si="2"/>
        <v>Friday</v>
      </c>
      <c r="G155" t="s">
        <v>556</v>
      </c>
      <c r="H155" t="s">
        <v>3586</v>
      </c>
      <c r="I155" t="s">
        <v>32</v>
      </c>
      <c r="J155" t="s">
        <v>4106</v>
      </c>
      <c r="K155" t="s">
        <v>557</v>
      </c>
      <c r="L155">
        <v>15</v>
      </c>
      <c r="M155">
        <v>30</v>
      </c>
      <c r="N155" t="s">
        <v>250</v>
      </c>
      <c r="O155" t="s">
        <v>3402</v>
      </c>
      <c r="P155">
        <v>2012</v>
      </c>
      <c r="Q155">
        <v>3</v>
      </c>
      <c r="R155">
        <v>30</v>
      </c>
      <c r="S155">
        <v>11</v>
      </c>
      <c r="T155" t="str">
        <f>TEXT(Table1[[#This Row],[Month]],"MMMM")</f>
        <v>January</v>
      </c>
    </row>
    <row r="156" spans="1:20" x14ac:dyDescent="0.25">
      <c r="A156" t="s">
        <v>558</v>
      </c>
      <c r="B156" t="s">
        <v>2654</v>
      </c>
      <c r="C156" t="s">
        <v>425</v>
      </c>
      <c r="D156" t="s">
        <v>3240</v>
      </c>
      <c r="E156" s="1">
        <v>41552.694444444445</v>
      </c>
      <c r="F156" s="1" t="str">
        <f t="shared" si="2"/>
        <v>Saturday</v>
      </c>
      <c r="G156" t="s">
        <v>559</v>
      </c>
      <c r="H156" t="s">
        <v>3587</v>
      </c>
      <c r="I156" t="s">
        <v>17</v>
      </c>
      <c r="J156" t="s">
        <v>4104</v>
      </c>
      <c r="K156" t="s">
        <v>560</v>
      </c>
      <c r="L156">
        <v>18</v>
      </c>
      <c r="M156">
        <v>35</v>
      </c>
      <c r="N156" t="s">
        <v>34</v>
      </c>
      <c r="O156" t="s">
        <v>3432</v>
      </c>
      <c r="P156">
        <v>2013</v>
      </c>
      <c r="Q156">
        <v>10</v>
      </c>
      <c r="R156">
        <v>5</v>
      </c>
      <c r="S156">
        <v>16</v>
      </c>
      <c r="T156" t="str">
        <f>TEXT(Table1[[#This Row],[Month]],"MMMM")</f>
        <v>January</v>
      </c>
    </row>
    <row r="157" spans="1:20" x14ac:dyDescent="0.25">
      <c r="A157" t="s">
        <v>561</v>
      </c>
      <c r="B157" t="s">
        <v>2655</v>
      </c>
      <c r="C157" t="s">
        <v>429</v>
      </c>
      <c r="D157" t="s">
        <v>3241</v>
      </c>
      <c r="E157" s="1">
        <v>41830.552083333336</v>
      </c>
      <c r="F157" s="1" t="str">
        <f t="shared" si="2"/>
        <v>Thursday</v>
      </c>
      <c r="G157" t="s">
        <v>562</v>
      </c>
      <c r="H157" t="s">
        <v>3588</v>
      </c>
      <c r="I157" t="s">
        <v>27</v>
      </c>
      <c r="J157" t="s">
        <v>4105</v>
      </c>
      <c r="K157" t="s">
        <v>563</v>
      </c>
      <c r="L157">
        <v>25</v>
      </c>
      <c r="M157">
        <v>50</v>
      </c>
      <c r="N157" t="s">
        <v>564</v>
      </c>
      <c r="O157" t="s">
        <v>3403</v>
      </c>
      <c r="P157">
        <v>2014</v>
      </c>
      <c r="Q157">
        <v>7</v>
      </c>
      <c r="R157">
        <v>10</v>
      </c>
      <c r="S157">
        <v>13</v>
      </c>
      <c r="T157" t="str">
        <f>TEXT(Table1[[#This Row],[Month]],"MMMM")</f>
        <v>January</v>
      </c>
    </row>
    <row r="158" spans="1:20" x14ac:dyDescent="0.25">
      <c r="A158" t="s">
        <v>565</v>
      </c>
      <c r="B158" t="s">
        <v>2656</v>
      </c>
      <c r="C158" t="s">
        <v>433</v>
      </c>
      <c r="D158" t="s">
        <v>3242</v>
      </c>
      <c r="E158" s="1">
        <v>42356.597222222219</v>
      </c>
      <c r="F158" s="1" t="str">
        <f t="shared" si="2"/>
        <v>Friday</v>
      </c>
      <c r="G158" t="s">
        <v>566</v>
      </c>
      <c r="H158" t="s">
        <v>3589</v>
      </c>
      <c r="I158" t="s">
        <v>32</v>
      </c>
      <c r="J158" t="s">
        <v>4106</v>
      </c>
      <c r="K158" t="s">
        <v>567</v>
      </c>
      <c r="L158">
        <v>18</v>
      </c>
      <c r="M158">
        <v>35</v>
      </c>
      <c r="N158" t="s">
        <v>19</v>
      </c>
      <c r="O158" t="s">
        <v>60</v>
      </c>
      <c r="P158">
        <v>2015</v>
      </c>
      <c r="Q158">
        <v>12</v>
      </c>
      <c r="R158">
        <v>18</v>
      </c>
      <c r="S158">
        <v>14</v>
      </c>
      <c r="T158" t="str">
        <f>TEXT(Table1[[#This Row],[Month]],"MMMM")</f>
        <v>January</v>
      </c>
    </row>
    <row r="159" spans="1:20" x14ac:dyDescent="0.25">
      <c r="A159" t="s">
        <v>568</v>
      </c>
      <c r="B159" t="s">
        <v>2657</v>
      </c>
      <c r="C159" t="s">
        <v>437</v>
      </c>
      <c r="D159" t="s">
        <v>3243</v>
      </c>
      <c r="E159" s="1">
        <v>42410.822916666664</v>
      </c>
      <c r="F159" s="1" t="str">
        <f t="shared" si="2"/>
        <v>Wednesday</v>
      </c>
      <c r="G159" t="s">
        <v>569</v>
      </c>
      <c r="H159" t="s">
        <v>3590</v>
      </c>
      <c r="I159" t="s">
        <v>17</v>
      </c>
      <c r="J159" t="s">
        <v>4104</v>
      </c>
      <c r="K159" t="s">
        <v>570</v>
      </c>
      <c r="L159">
        <v>25</v>
      </c>
      <c r="M159">
        <v>50</v>
      </c>
      <c r="N159" t="s">
        <v>24</v>
      </c>
      <c r="O159" t="s">
        <v>3401</v>
      </c>
      <c r="P159">
        <v>2016</v>
      </c>
      <c r="Q159">
        <v>2</v>
      </c>
      <c r="R159">
        <v>10</v>
      </c>
      <c r="S159">
        <v>19</v>
      </c>
      <c r="T159" t="str">
        <f>TEXT(Table1[[#This Row],[Month]],"MMMM")</f>
        <v>January</v>
      </c>
    </row>
    <row r="160" spans="1:20" x14ac:dyDescent="0.25">
      <c r="A160" t="s">
        <v>571</v>
      </c>
      <c r="B160" t="s">
        <v>2658</v>
      </c>
      <c r="C160" t="s">
        <v>441</v>
      </c>
      <c r="D160" t="s">
        <v>3244</v>
      </c>
      <c r="E160" s="1">
        <v>43003.479166666664</v>
      </c>
      <c r="F160" s="1" t="str">
        <f t="shared" si="2"/>
        <v>Monday</v>
      </c>
      <c r="G160" t="s">
        <v>572</v>
      </c>
      <c r="H160" t="s">
        <v>3591</v>
      </c>
      <c r="I160" t="s">
        <v>27</v>
      </c>
      <c r="J160" t="s">
        <v>4105</v>
      </c>
      <c r="K160" t="s">
        <v>573</v>
      </c>
      <c r="L160">
        <v>20</v>
      </c>
      <c r="M160">
        <v>40</v>
      </c>
      <c r="N160" t="s">
        <v>110</v>
      </c>
      <c r="O160" t="s">
        <v>3432</v>
      </c>
      <c r="P160">
        <v>2017</v>
      </c>
      <c r="Q160">
        <v>9</v>
      </c>
      <c r="R160">
        <v>25</v>
      </c>
      <c r="S160">
        <v>11</v>
      </c>
      <c r="T160" t="str">
        <f>TEXT(Table1[[#This Row],[Month]],"MMMM")</f>
        <v>January</v>
      </c>
    </row>
    <row r="161" spans="1:20" x14ac:dyDescent="0.25">
      <c r="A161" t="s">
        <v>574</v>
      </c>
      <c r="B161" t="s">
        <v>2659</v>
      </c>
      <c r="C161" t="s">
        <v>445</v>
      </c>
      <c r="D161" t="s">
        <v>3245</v>
      </c>
      <c r="E161" s="1">
        <v>43205.666666666664</v>
      </c>
      <c r="F161" s="1" t="str">
        <f t="shared" si="2"/>
        <v>Sunday</v>
      </c>
      <c r="G161" t="s">
        <v>575</v>
      </c>
      <c r="H161" t="s">
        <v>3592</v>
      </c>
      <c r="I161" t="s">
        <v>32</v>
      </c>
      <c r="J161" t="s">
        <v>4106</v>
      </c>
      <c r="K161" t="s">
        <v>576</v>
      </c>
      <c r="L161">
        <v>15</v>
      </c>
      <c r="M161">
        <v>30</v>
      </c>
      <c r="N161" t="s">
        <v>250</v>
      </c>
      <c r="O161" t="s">
        <v>3402</v>
      </c>
      <c r="P161">
        <v>2018</v>
      </c>
      <c r="Q161">
        <v>4</v>
      </c>
      <c r="R161">
        <v>15</v>
      </c>
      <c r="S161">
        <v>16</v>
      </c>
      <c r="T161" t="str">
        <f>TEXT(Table1[[#This Row],[Month]],"MMMM")</f>
        <v>January</v>
      </c>
    </row>
    <row r="162" spans="1:20" x14ac:dyDescent="0.25">
      <c r="A162" t="s">
        <v>577</v>
      </c>
      <c r="B162" t="s">
        <v>2660</v>
      </c>
      <c r="C162" t="s">
        <v>536</v>
      </c>
      <c r="D162" t="s">
        <v>3246</v>
      </c>
      <c r="E162" s="1">
        <v>43797.763888888891</v>
      </c>
      <c r="F162" s="1" t="str">
        <f t="shared" si="2"/>
        <v>Thursday</v>
      </c>
      <c r="G162" t="s">
        <v>578</v>
      </c>
      <c r="H162" t="s">
        <v>3593</v>
      </c>
      <c r="I162" t="s">
        <v>17</v>
      </c>
      <c r="J162" t="s">
        <v>4104</v>
      </c>
      <c r="K162" t="s">
        <v>579</v>
      </c>
      <c r="L162">
        <v>22</v>
      </c>
      <c r="M162">
        <v>45</v>
      </c>
      <c r="N162" t="s">
        <v>43</v>
      </c>
      <c r="O162" t="s">
        <v>3403</v>
      </c>
      <c r="P162">
        <v>2019</v>
      </c>
      <c r="Q162">
        <v>11</v>
      </c>
      <c r="R162">
        <v>28</v>
      </c>
      <c r="S162">
        <v>18</v>
      </c>
      <c r="T162" t="str">
        <f>TEXT(Table1[[#This Row],[Month]],"MMMM")</f>
        <v>January</v>
      </c>
    </row>
    <row r="163" spans="1:20" x14ac:dyDescent="0.25">
      <c r="A163" t="s">
        <v>580</v>
      </c>
      <c r="B163" t="s">
        <v>2661</v>
      </c>
      <c r="C163" t="s">
        <v>540</v>
      </c>
      <c r="D163" t="s">
        <v>3247</v>
      </c>
      <c r="E163" s="1">
        <v>43962.625</v>
      </c>
      <c r="F163" s="1" t="str">
        <f t="shared" si="2"/>
        <v>Monday</v>
      </c>
      <c r="G163" t="s">
        <v>240</v>
      </c>
      <c r="H163" t="s">
        <v>3496</v>
      </c>
      <c r="I163" t="s">
        <v>27</v>
      </c>
      <c r="J163" t="s">
        <v>4105</v>
      </c>
      <c r="K163" t="s">
        <v>581</v>
      </c>
      <c r="L163">
        <v>18</v>
      </c>
      <c r="M163">
        <v>35</v>
      </c>
      <c r="N163" t="s">
        <v>29</v>
      </c>
      <c r="O163" t="s">
        <v>60</v>
      </c>
      <c r="P163">
        <v>2020</v>
      </c>
      <c r="Q163">
        <v>5</v>
      </c>
      <c r="R163">
        <v>11</v>
      </c>
      <c r="S163">
        <v>15</v>
      </c>
      <c r="T163" t="str">
        <f>TEXT(Table1[[#This Row],[Month]],"MMMM")</f>
        <v>January</v>
      </c>
    </row>
    <row r="164" spans="1:20" x14ac:dyDescent="0.25">
      <c r="A164" t="s">
        <v>582</v>
      </c>
      <c r="B164" t="s">
        <v>2662</v>
      </c>
      <c r="C164" t="s">
        <v>583</v>
      </c>
      <c r="D164" t="s">
        <v>3235</v>
      </c>
      <c r="E164" s="1">
        <v>44232.395833333336</v>
      </c>
      <c r="F164" s="1" t="str">
        <f t="shared" si="2"/>
        <v>Friday</v>
      </c>
      <c r="G164" t="s">
        <v>584</v>
      </c>
      <c r="H164" t="s">
        <v>3594</v>
      </c>
      <c r="I164" t="s">
        <v>32</v>
      </c>
      <c r="J164" t="s">
        <v>4106</v>
      </c>
      <c r="K164" t="s">
        <v>585</v>
      </c>
      <c r="L164">
        <v>25</v>
      </c>
      <c r="M164">
        <v>50</v>
      </c>
      <c r="N164" t="s">
        <v>461</v>
      </c>
      <c r="O164" t="s">
        <v>3401</v>
      </c>
      <c r="P164">
        <v>2021</v>
      </c>
      <c r="Q164">
        <v>2</v>
      </c>
      <c r="R164">
        <v>5</v>
      </c>
      <c r="S164">
        <v>9</v>
      </c>
      <c r="T164" t="str">
        <f>TEXT(Table1[[#This Row],[Month]],"MMMM")</f>
        <v>January</v>
      </c>
    </row>
    <row r="165" spans="1:20" x14ac:dyDescent="0.25">
      <c r="A165" t="s">
        <v>586</v>
      </c>
      <c r="B165" t="s">
        <v>2663</v>
      </c>
      <c r="C165" t="s">
        <v>587</v>
      </c>
      <c r="D165" t="s">
        <v>3248</v>
      </c>
      <c r="E165" s="1">
        <v>44265.354166666664</v>
      </c>
      <c r="F165" s="1" t="str">
        <f t="shared" si="2"/>
        <v>Wednesday</v>
      </c>
      <c r="G165" t="s">
        <v>588</v>
      </c>
      <c r="H165" t="s">
        <v>3595</v>
      </c>
      <c r="I165" t="s">
        <v>17</v>
      </c>
      <c r="J165" t="s">
        <v>4104</v>
      </c>
      <c r="K165" t="s">
        <v>589</v>
      </c>
      <c r="L165">
        <v>5</v>
      </c>
      <c r="M165">
        <v>10</v>
      </c>
      <c r="N165" t="s">
        <v>205</v>
      </c>
      <c r="O165" t="s">
        <v>60</v>
      </c>
      <c r="P165">
        <v>2021</v>
      </c>
      <c r="Q165">
        <v>3</v>
      </c>
      <c r="R165">
        <v>10</v>
      </c>
      <c r="S165">
        <v>8</v>
      </c>
      <c r="T165" t="str">
        <f>TEXT(Table1[[#This Row],[Month]],"MMMM")</f>
        <v>January</v>
      </c>
    </row>
    <row r="166" spans="1:20" x14ac:dyDescent="0.25">
      <c r="A166" t="s">
        <v>590</v>
      </c>
      <c r="B166" t="s">
        <v>2664</v>
      </c>
      <c r="C166" t="s">
        <v>591</v>
      </c>
      <c r="D166" t="s">
        <v>3249</v>
      </c>
      <c r="E166" s="1">
        <v>44747.65625</v>
      </c>
      <c r="F166" s="1" t="str">
        <f t="shared" si="2"/>
        <v>Tuesday</v>
      </c>
      <c r="G166" t="s">
        <v>592</v>
      </c>
      <c r="H166" t="s">
        <v>3596</v>
      </c>
      <c r="I166" t="s">
        <v>27</v>
      </c>
      <c r="J166" t="s">
        <v>4105</v>
      </c>
      <c r="K166" t="s">
        <v>593</v>
      </c>
      <c r="L166">
        <v>8</v>
      </c>
      <c r="M166">
        <v>15</v>
      </c>
      <c r="N166" t="s">
        <v>594</v>
      </c>
      <c r="O166" t="s">
        <v>3401</v>
      </c>
      <c r="P166">
        <v>2022</v>
      </c>
      <c r="Q166">
        <v>7</v>
      </c>
      <c r="R166">
        <v>5</v>
      </c>
      <c r="S166">
        <v>15</v>
      </c>
      <c r="T166" t="str">
        <f>TEXT(Table1[[#This Row],[Month]],"MMMM")</f>
        <v>January</v>
      </c>
    </row>
    <row r="167" spans="1:20" x14ac:dyDescent="0.25">
      <c r="A167" t="s">
        <v>595</v>
      </c>
      <c r="B167" t="s">
        <v>2665</v>
      </c>
      <c r="C167" t="s">
        <v>596</v>
      </c>
      <c r="D167" t="s">
        <v>3250</v>
      </c>
      <c r="E167" s="1">
        <v>43787.888888888891</v>
      </c>
      <c r="F167" s="1" t="str">
        <f t="shared" si="2"/>
        <v>Monday</v>
      </c>
      <c r="G167" t="s">
        <v>597</v>
      </c>
      <c r="H167" t="s">
        <v>3597</v>
      </c>
      <c r="I167" t="s">
        <v>32</v>
      </c>
      <c r="J167" t="s">
        <v>4106</v>
      </c>
      <c r="K167" t="s">
        <v>598</v>
      </c>
      <c r="L167">
        <v>10</v>
      </c>
      <c r="M167">
        <v>20</v>
      </c>
      <c r="N167" t="s">
        <v>232</v>
      </c>
      <c r="O167" t="s">
        <v>3432</v>
      </c>
      <c r="P167">
        <v>2019</v>
      </c>
      <c r="Q167">
        <v>11</v>
      </c>
      <c r="R167">
        <v>18</v>
      </c>
      <c r="S167">
        <v>21</v>
      </c>
      <c r="T167" t="str">
        <f>TEXT(Table1[[#This Row],[Month]],"MMMM")</f>
        <v>January</v>
      </c>
    </row>
    <row r="168" spans="1:20" x14ac:dyDescent="0.25">
      <c r="A168" t="s">
        <v>599</v>
      </c>
      <c r="B168" t="s">
        <v>2666</v>
      </c>
      <c r="C168" t="s">
        <v>600</v>
      </c>
      <c r="D168" t="s">
        <v>3251</v>
      </c>
      <c r="E168" s="1">
        <v>44055.479166666664</v>
      </c>
      <c r="F168" s="1" t="str">
        <f t="shared" si="2"/>
        <v>Wednesday</v>
      </c>
      <c r="G168" t="s">
        <v>601</v>
      </c>
      <c r="H168" t="s">
        <v>3598</v>
      </c>
      <c r="I168" t="s">
        <v>17</v>
      </c>
      <c r="J168" t="s">
        <v>4104</v>
      </c>
      <c r="K168" t="s">
        <v>602</v>
      </c>
      <c r="L168">
        <v>12</v>
      </c>
      <c r="M168">
        <v>25</v>
      </c>
      <c r="N168" t="s">
        <v>603</v>
      </c>
      <c r="O168" t="s">
        <v>3403</v>
      </c>
      <c r="P168">
        <v>2020</v>
      </c>
      <c r="Q168">
        <v>8</v>
      </c>
      <c r="R168">
        <v>12</v>
      </c>
      <c r="S168">
        <v>11</v>
      </c>
      <c r="T168" t="str">
        <f>TEXT(Table1[[#This Row],[Month]],"MMMM")</f>
        <v>January</v>
      </c>
    </row>
    <row r="169" spans="1:20" x14ac:dyDescent="0.25">
      <c r="A169" t="s">
        <v>604</v>
      </c>
      <c r="B169" t="s">
        <v>2667</v>
      </c>
      <c r="C169" t="s">
        <v>605</v>
      </c>
      <c r="D169" t="s">
        <v>3252</v>
      </c>
      <c r="E169" s="1">
        <v>43242.614583333336</v>
      </c>
      <c r="F169" s="1" t="str">
        <f t="shared" si="2"/>
        <v>Tuesday</v>
      </c>
      <c r="G169" t="s">
        <v>606</v>
      </c>
      <c r="H169" t="s">
        <v>3599</v>
      </c>
      <c r="I169" t="s">
        <v>27</v>
      </c>
      <c r="J169" t="s">
        <v>4105</v>
      </c>
      <c r="K169" t="s">
        <v>607</v>
      </c>
      <c r="L169">
        <v>7</v>
      </c>
      <c r="M169">
        <v>15</v>
      </c>
      <c r="N169" t="s">
        <v>608</v>
      </c>
      <c r="O169" t="s">
        <v>3402</v>
      </c>
      <c r="P169">
        <v>2018</v>
      </c>
      <c r="Q169">
        <v>5</v>
      </c>
      <c r="R169">
        <v>22</v>
      </c>
      <c r="S169">
        <v>14</v>
      </c>
      <c r="T169" t="str">
        <f>TEXT(Table1[[#This Row],[Month]],"MMMM")</f>
        <v>January</v>
      </c>
    </row>
    <row r="170" spans="1:20" x14ac:dyDescent="0.25">
      <c r="A170" t="s">
        <v>609</v>
      </c>
      <c r="B170" t="s">
        <v>2668</v>
      </c>
      <c r="C170" t="s">
        <v>610</v>
      </c>
      <c r="D170" t="s">
        <v>3253</v>
      </c>
      <c r="E170" s="1">
        <v>42765.673611111109</v>
      </c>
      <c r="F170" s="1" t="str">
        <f t="shared" si="2"/>
        <v>Monday</v>
      </c>
      <c r="G170" t="s">
        <v>611</v>
      </c>
      <c r="H170" t="s">
        <v>3600</v>
      </c>
      <c r="I170" t="s">
        <v>32</v>
      </c>
      <c r="J170" t="s">
        <v>4106</v>
      </c>
      <c r="K170" t="s">
        <v>612</v>
      </c>
      <c r="L170">
        <v>10</v>
      </c>
      <c r="M170">
        <v>20</v>
      </c>
      <c r="N170" t="s">
        <v>205</v>
      </c>
      <c r="O170" t="s">
        <v>60</v>
      </c>
      <c r="P170">
        <v>2017</v>
      </c>
      <c r="Q170">
        <v>1</v>
      </c>
      <c r="R170">
        <v>30</v>
      </c>
      <c r="S170">
        <v>16</v>
      </c>
      <c r="T170" t="str">
        <f>TEXT(Table1[[#This Row],[Month]],"MMMM")</f>
        <v>January</v>
      </c>
    </row>
    <row r="171" spans="1:20" x14ac:dyDescent="0.25">
      <c r="A171" t="s">
        <v>613</v>
      </c>
      <c r="B171" t="s">
        <v>2669</v>
      </c>
      <c r="C171" t="s">
        <v>614</v>
      </c>
      <c r="D171" t="s">
        <v>3254</v>
      </c>
      <c r="E171" s="1">
        <v>42641.822916666664</v>
      </c>
      <c r="F171" s="1" t="str">
        <f t="shared" si="2"/>
        <v>Wednesday</v>
      </c>
      <c r="G171" t="s">
        <v>615</v>
      </c>
      <c r="H171" t="s">
        <v>3601</v>
      </c>
      <c r="I171" t="s">
        <v>17</v>
      </c>
      <c r="J171" t="s">
        <v>4104</v>
      </c>
      <c r="K171" t="s">
        <v>616</v>
      </c>
      <c r="L171">
        <v>8</v>
      </c>
      <c r="M171">
        <v>15</v>
      </c>
      <c r="N171" t="s">
        <v>617</v>
      </c>
      <c r="O171" t="s">
        <v>3401</v>
      </c>
      <c r="P171">
        <v>2016</v>
      </c>
      <c r="Q171">
        <v>9</v>
      </c>
      <c r="R171">
        <v>28</v>
      </c>
      <c r="S171">
        <v>19</v>
      </c>
      <c r="T171" t="str">
        <f>TEXT(Table1[[#This Row],[Month]],"MMMM")</f>
        <v>January</v>
      </c>
    </row>
    <row r="172" spans="1:20" x14ac:dyDescent="0.25">
      <c r="A172" t="s">
        <v>618</v>
      </c>
      <c r="B172" t="s">
        <v>2670</v>
      </c>
      <c r="C172" t="s">
        <v>619</v>
      </c>
      <c r="D172" t="s">
        <v>3255</v>
      </c>
      <c r="E172" s="1">
        <v>43570.375</v>
      </c>
      <c r="F172" s="1" t="str">
        <f t="shared" si="2"/>
        <v>Monday</v>
      </c>
      <c r="G172" t="s">
        <v>620</v>
      </c>
      <c r="H172" t="s">
        <v>3602</v>
      </c>
      <c r="I172" t="s">
        <v>27</v>
      </c>
      <c r="J172" t="s">
        <v>4105</v>
      </c>
      <c r="K172" t="s">
        <v>621</v>
      </c>
      <c r="L172">
        <v>12</v>
      </c>
      <c r="M172">
        <v>25</v>
      </c>
      <c r="N172" t="s">
        <v>232</v>
      </c>
      <c r="O172" t="s">
        <v>3432</v>
      </c>
      <c r="P172">
        <v>2019</v>
      </c>
      <c r="Q172">
        <v>4</v>
      </c>
      <c r="R172">
        <v>15</v>
      </c>
      <c r="S172">
        <v>9</v>
      </c>
      <c r="T172" t="str">
        <f>TEXT(Table1[[#This Row],[Month]],"MMMM")</f>
        <v>January</v>
      </c>
    </row>
    <row r="173" spans="1:20" x14ac:dyDescent="0.25">
      <c r="A173" t="s">
        <v>622</v>
      </c>
      <c r="B173" t="s">
        <v>2671</v>
      </c>
      <c r="C173" t="s">
        <v>623</v>
      </c>
      <c r="D173" t="s">
        <v>3256</v>
      </c>
      <c r="E173" s="1">
        <v>44533.770833333336</v>
      </c>
      <c r="F173" s="1" t="str">
        <f t="shared" si="2"/>
        <v>Friday</v>
      </c>
      <c r="G173" t="s">
        <v>624</v>
      </c>
      <c r="H173" t="s">
        <v>3603</v>
      </c>
      <c r="I173" t="s">
        <v>32</v>
      </c>
      <c r="J173" t="s">
        <v>4106</v>
      </c>
      <c r="K173" t="s">
        <v>625</v>
      </c>
      <c r="L173">
        <v>15</v>
      </c>
      <c r="M173">
        <v>30</v>
      </c>
      <c r="N173" t="s">
        <v>603</v>
      </c>
      <c r="O173" t="s">
        <v>3403</v>
      </c>
      <c r="P173">
        <v>2021</v>
      </c>
      <c r="Q173">
        <v>12</v>
      </c>
      <c r="R173">
        <v>3</v>
      </c>
      <c r="S173">
        <v>18</v>
      </c>
      <c r="T173" t="str">
        <f>TEXT(Table1[[#This Row],[Month]],"MMMM")</f>
        <v>January</v>
      </c>
    </row>
    <row r="174" spans="1:20" x14ac:dyDescent="0.25">
      <c r="A174" t="s">
        <v>626</v>
      </c>
      <c r="B174" t="s">
        <v>2672</v>
      </c>
      <c r="C174" t="s">
        <v>627</v>
      </c>
      <c r="D174" t="s">
        <v>3257</v>
      </c>
      <c r="E174" s="1">
        <v>44002.597222222219</v>
      </c>
      <c r="F174" s="1" t="str">
        <f t="shared" si="2"/>
        <v>Saturday</v>
      </c>
      <c r="G174" t="s">
        <v>628</v>
      </c>
      <c r="H174" t="s">
        <v>3604</v>
      </c>
      <c r="I174" t="s">
        <v>17</v>
      </c>
      <c r="J174" t="s">
        <v>4104</v>
      </c>
      <c r="K174" t="s">
        <v>629</v>
      </c>
      <c r="L174">
        <v>8</v>
      </c>
      <c r="M174">
        <v>15</v>
      </c>
      <c r="N174" t="s">
        <v>295</v>
      </c>
      <c r="O174" t="s">
        <v>3402</v>
      </c>
      <c r="P174">
        <v>2020</v>
      </c>
      <c r="Q174">
        <v>6</v>
      </c>
      <c r="R174">
        <v>20</v>
      </c>
      <c r="S174">
        <v>14</v>
      </c>
      <c r="T174" t="str">
        <f>TEXT(Table1[[#This Row],[Month]],"MMMM")</f>
        <v>January</v>
      </c>
    </row>
    <row r="175" spans="1:20" x14ac:dyDescent="0.25">
      <c r="A175" t="s">
        <v>630</v>
      </c>
      <c r="B175" t="s">
        <v>2673</v>
      </c>
      <c r="C175" t="s">
        <v>631</v>
      </c>
      <c r="D175" t="s">
        <v>3258</v>
      </c>
      <c r="E175" s="1">
        <v>43411.479166666664</v>
      </c>
      <c r="F175" s="1" t="str">
        <f t="shared" si="2"/>
        <v>Wednesday</v>
      </c>
      <c r="G175" t="s">
        <v>632</v>
      </c>
      <c r="H175" t="s">
        <v>3605</v>
      </c>
      <c r="I175" t="s">
        <v>27</v>
      </c>
      <c r="J175" t="s">
        <v>4105</v>
      </c>
      <c r="K175" t="s">
        <v>633</v>
      </c>
      <c r="L175">
        <v>10</v>
      </c>
      <c r="M175">
        <v>20</v>
      </c>
      <c r="N175" t="s">
        <v>617</v>
      </c>
      <c r="O175" t="s">
        <v>3401</v>
      </c>
      <c r="P175">
        <v>2018</v>
      </c>
      <c r="Q175">
        <v>11</v>
      </c>
      <c r="R175">
        <v>7</v>
      </c>
      <c r="S175">
        <v>11</v>
      </c>
      <c r="T175" t="str">
        <f>TEXT(Table1[[#This Row],[Month]],"MMMM")</f>
        <v>January</v>
      </c>
    </row>
    <row r="176" spans="1:20" x14ac:dyDescent="0.25">
      <c r="A176" t="s">
        <v>634</v>
      </c>
      <c r="B176" t="s">
        <v>2674</v>
      </c>
      <c r="C176" t="s">
        <v>635</v>
      </c>
      <c r="D176" t="s">
        <v>3259</v>
      </c>
      <c r="E176" s="1">
        <v>42972.666666666664</v>
      </c>
      <c r="F176" s="1" t="str">
        <f t="shared" si="2"/>
        <v>Friday</v>
      </c>
      <c r="G176" t="s">
        <v>636</v>
      </c>
      <c r="H176" t="s">
        <v>3606</v>
      </c>
      <c r="I176" t="s">
        <v>32</v>
      </c>
      <c r="J176" t="s">
        <v>4106</v>
      </c>
      <c r="K176" t="s">
        <v>637</v>
      </c>
      <c r="L176">
        <v>12</v>
      </c>
      <c r="M176">
        <v>25</v>
      </c>
      <c r="N176" t="s">
        <v>232</v>
      </c>
      <c r="O176" t="s">
        <v>3432</v>
      </c>
      <c r="P176">
        <v>2017</v>
      </c>
      <c r="Q176">
        <v>8</v>
      </c>
      <c r="R176">
        <v>25</v>
      </c>
      <c r="S176">
        <v>16</v>
      </c>
      <c r="T176" t="str">
        <f>TEXT(Table1[[#This Row],[Month]],"MMMM")</f>
        <v>January</v>
      </c>
    </row>
    <row r="177" spans="1:20" x14ac:dyDescent="0.25">
      <c r="A177" t="s">
        <v>638</v>
      </c>
      <c r="B177" t="s">
        <v>2675</v>
      </c>
      <c r="C177" t="s">
        <v>639</v>
      </c>
      <c r="D177" t="s">
        <v>3214</v>
      </c>
      <c r="E177" s="1">
        <v>43507.40625</v>
      </c>
      <c r="F177" s="1" t="str">
        <f t="shared" si="2"/>
        <v>Monday</v>
      </c>
      <c r="G177" t="s">
        <v>640</v>
      </c>
      <c r="H177" t="s">
        <v>3607</v>
      </c>
      <c r="I177" t="s">
        <v>17</v>
      </c>
      <c r="J177" t="s">
        <v>4104</v>
      </c>
      <c r="K177" t="s">
        <v>641</v>
      </c>
      <c r="L177">
        <v>7</v>
      </c>
      <c r="M177">
        <v>15</v>
      </c>
      <c r="N177" t="s">
        <v>603</v>
      </c>
      <c r="O177" t="s">
        <v>3403</v>
      </c>
      <c r="P177">
        <v>2019</v>
      </c>
      <c r="Q177">
        <v>2</v>
      </c>
      <c r="R177">
        <v>11</v>
      </c>
      <c r="S177">
        <v>9</v>
      </c>
      <c r="T177" t="str">
        <f>TEXT(Table1[[#This Row],[Month]],"MMMM")</f>
        <v>January</v>
      </c>
    </row>
    <row r="178" spans="1:20" x14ac:dyDescent="0.25">
      <c r="A178" t="s">
        <v>642</v>
      </c>
      <c r="B178" t="s">
        <v>2676</v>
      </c>
      <c r="C178" t="s">
        <v>643</v>
      </c>
      <c r="D178" t="s">
        <v>3248</v>
      </c>
      <c r="E178" s="1">
        <v>42462.847222222219</v>
      </c>
      <c r="F178" s="1" t="str">
        <f t="shared" si="2"/>
        <v>Saturday</v>
      </c>
      <c r="G178" t="s">
        <v>644</v>
      </c>
      <c r="H178" t="s">
        <v>3608</v>
      </c>
      <c r="I178" t="s">
        <v>27</v>
      </c>
      <c r="J178" t="s">
        <v>4105</v>
      </c>
      <c r="K178" t="s">
        <v>645</v>
      </c>
      <c r="L178">
        <v>10</v>
      </c>
      <c r="M178">
        <v>20</v>
      </c>
      <c r="N178" t="s">
        <v>205</v>
      </c>
      <c r="O178" t="s">
        <v>60</v>
      </c>
      <c r="P178">
        <v>2016</v>
      </c>
      <c r="Q178">
        <v>4</v>
      </c>
      <c r="R178">
        <v>2</v>
      </c>
      <c r="S178">
        <v>20</v>
      </c>
      <c r="T178" t="str">
        <f>TEXT(Table1[[#This Row],[Month]],"MMMM")</f>
        <v>January</v>
      </c>
    </row>
    <row r="179" spans="1:20" x14ac:dyDescent="0.25">
      <c r="A179" t="s">
        <v>646</v>
      </c>
      <c r="B179" t="s">
        <v>2677</v>
      </c>
      <c r="C179" t="s">
        <v>591</v>
      </c>
      <c r="D179" t="s">
        <v>3249</v>
      </c>
      <c r="E179" s="1">
        <v>42295.645833333336</v>
      </c>
      <c r="F179" s="1" t="str">
        <f t="shared" si="2"/>
        <v>Sunday</v>
      </c>
      <c r="G179" t="s">
        <v>647</v>
      </c>
      <c r="H179" t="s">
        <v>3609</v>
      </c>
      <c r="I179" t="s">
        <v>32</v>
      </c>
      <c r="J179" t="s">
        <v>4106</v>
      </c>
      <c r="K179" t="s">
        <v>648</v>
      </c>
      <c r="L179">
        <v>12</v>
      </c>
      <c r="M179">
        <v>25</v>
      </c>
      <c r="N179" t="s">
        <v>617</v>
      </c>
      <c r="O179" t="s">
        <v>3401</v>
      </c>
      <c r="P179">
        <v>2015</v>
      </c>
      <c r="Q179">
        <v>10</v>
      </c>
      <c r="R179">
        <v>18</v>
      </c>
      <c r="S179">
        <v>15</v>
      </c>
      <c r="T179" t="str">
        <f>TEXT(Table1[[#This Row],[Month]],"MMMM")</f>
        <v>January</v>
      </c>
    </row>
    <row r="180" spans="1:20" x14ac:dyDescent="0.25">
      <c r="A180" t="s">
        <v>649</v>
      </c>
      <c r="B180" t="s">
        <v>2678</v>
      </c>
      <c r="C180" t="s">
        <v>650</v>
      </c>
      <c r="D180" t="s">
        <v>3250</v>
      </c>
      <c r="E180" s="1">
        <v>43658.756944444445</v>
      </c>
      <c r="F180" s="1" t="str">
        <f t="shared" si="2"/>
        <v>Friday</v>
      </c>
      <c r="G180" t="s">
        <v>651</v>
      </c>
      <c r="H180" t="s">
        <v>3610</v>
      </c>
      <c r="I180" t="s">
        <v>17</v>
      </c>
      <c r="J180" t="s">
        <v>4104</v>
      </c>
      <c r="K180" t="s">
        <v>652</v>
      </c>
      <c r="L180">
        <v>15</v>
      </c>
      <c r="M180">
        <v>30</v>
      </c>
      <c r="N180" t="s">
        <v>368</v>
      </c>
      <c r="O180" t="s">
        <v>3432</v>
      </c>
      <c r="P180">
        <v>2019</v>
      </c>
      <c r="Q180">
        <v>7</v>
      </c>
      <c r="R180">
        <v>12</v>
      </c>
      <c r="S180">
        <v>18</v>
      </c>
      <c r="T180" t="str">
        <f>TEXT(Table1[[#This Row],[Month]],"MMMM")</f>
        <v>January</v>
      </c>
    </row>
    <row r="181" spans="1:20" x14ac:dyDescent="0.25">
      <c r="A181" t="s">
        <v>653</v>
      </c>
      <c r="B181" t="s">
        <v>2679</v>
      </c>
      <c r="C181" t="s">
        <v>600</v>
      </c>
      <c r="D181" t="s">
        <v>3251</v>
      </c>
      <c r="E181" s="1">
        <v>43254.6875</v>
      </c>
      <c r="F181" s="1" t="str">
        <f t="shared" si="2"/>
        <v>Sunday</v>
      </c>
      <c r="G181" t="s">
        <v>654</v>
      </c>
      <c r="H181" t="s">
        <v>3611</v>
      </c>
      <c r="I181" t="s">
        <v>27</v>
      </c>
      <c r="J181" t="s">
        <v>4105</v>
      </c>
      <c r="K181" t="s">
        <v>655</v>
      </c>
      <c r="L181">
        <v>8</v>
      </c>
      <c r="M181">
        <v>15</v>
      </c>
      <c r="N181" t="s">
        <v>656</v>
      </c>
      <c r="O181" t="s">
        <v>3403</v>
      </c>
      <c r="P181">
        <v>2018</v>
      </c>
      <c r="Q181">
        <v>6</v>
      </c>
      <c r="R181">
        <v>3</v>
      </c>
      <c r="S181">
        <v>16</v>
      </c>
      <c r="T181" t="str">
        <f>TEXT(Table1[[#This Row],[Month]],"MMMM")</f>
        <v>January</v>
      </c>
    </row>
    <row r="182" spans="1:20" x14ac:dyDescent="0.25">
      <c r="A182" t="s">
        <v>657</v>
      </c>
      <c r="B182" t="s">
        <v>2680</v>
      </c>
      <c r="C182" t="s">
        <v>605</v>
      </c>
      <c r="D182" t="s">
        <v>3252</v>
      </c>
      <c r="E182" s="1">
        <v>44576.5</v>
      </c>
      <c r="F182" s="1" t="str">
        <f t="shared" si="2"/>
        <v>Saturday</v>
      </c>
      <c r="G182" t="s">
        <v>658</v>
      </c>
      <c r="H182" t="s">
        <v>3612</v>
      </c>
      <c r="I182" t="s">
        <v>32</v>
      </c>
      <c r="J182" t="s">
        <v>4106</v>
      </c>
      <c r="K182" t="s">
        <v>659</v>
      </c>
      <c r="L182">
        <v>10</v>
      </c>
      <c r="M182">
        <v>20</v>
      </c>
      <c r="N182" t="s">
        <v>295</v>
      </c>
      <c r="O182" t="s">
        <v>3402</v>
      </c>
      <c r="P182">
        <v>2022</v>
      </c>
      <c r="Q182">
        <v>1</v>
      </c>
      <c r="R182">
        <v>15</v>
      </c>
      <c r="S182">
        <v>12</v>
      </c>
      <c r="T182" t="str">
        <f>TEXT(Table1[[#This Row],[Month]],"MMMM")</f>
        <v>January</v>
      </c>
    </row>
    <row r="183" spans="1:20" x14ac:dyDescent="0.25">
      <c r="A183" t="s">
        <v>660</v>
      </c>
      <c r="B183" t="s">
        <v>2681</v>
      </c>
      <c r="C183" t="s">
        <v>661</v>
      </c>
      <c r="D183" t="s">
        <v>3253</v>
      </c>
      <c r="E183" s="1">
        <v>42835.614583333336</v>
      </c>
      <c r="F183" s="1" t="str">
        <f t="shared" si="2"/>
        <v>Monday</v>
      </c>
      <c r="G183" t="s">
        <v>662</v>
      </c>
      <c r="H183" t="s">
        <v>3613</v>
      </c>
      <c r="I183" t="s">
        <v>17</v>
      </c>
      <c r="J183" t="s">
        <v>4104</v>
      </c>
      <c r="K183" t="s">
        <v>663</v>
      </c>
      <c r="L183">
        <v>12</v>
      </c>
      <c r="M183">
        <v>25</v>
      </c>
      <c r="N183" t="s">
        <v>205</v>
      </c>
      <c r="O183" t="s">
        <v>60</v>
      </c>
      <c r="P183">
        <v>2017</v>
      </c>
      <c r="Q183">
        <v>4</v>
      </c>
      <c r="R183">
        <v>10</v>
      </c>
      <c r="S183">
        <v>14</v>
      </c>
      <c r="T183" t="str">
        <f>TEXT(Table1[[#This Row],[Month]],"MMMM")</f>
        <v>January</v>
      </c>
    </row>
    <row r="184" spans="1:20" x14ac:dyDescent="0.25">
      <c r="A184" t="s">
        <v>664</v>
      </c>
      <c r="B184" t="s">
        <v>2682</v>
      </c>
      <c r="C184" t="s">
        <v>614</v>
      </c>
      <c r="D184" t="s">
        <v>3254</v>
      </c>
      <c r="E184" s="1">
        <v>42702.791666666664</v>
      </c>
      <c r="F184" s="1" t="str">
        <f t="shared" si="2"/>
        <v>Monday</v>
      </c>
      <c r="G184" t="s">
        <v>665</v>
      </c>
      <c r="H184" t="s">
        <v>3614</v>
      </c>
      <c r="I184" t="s">
        <v>27</v>
      </c>
      <c r="J184" t="s">
        <v>4105</v>
      </c>
      <c r="K184" t="s">
        <v>666</v>
      </c>
      <c r="L184">
        <v>7</v>
      </c>
      <c r="M184">
        <v>15</v>
      </c>
      <c r="N184" t="s">
        <v>617</v>
      </c>
      <c r="O184" t="s">
        <v>3401</v>
      </c>
      <c r="P184">
        <v>2016</v>
      </c>
      <c r="Q184">
        <v>11</v>
      </c>
      <c r="R184">
        <v>28</v>
      </c>
      <c r="S184">
        <v>19</v>
      </c>
      <c r="T184" t="str">
        <f>TEXT(Table1[[#This Row],[Month]],"MMMM")</f>
        <v>January</v>
      </c>
    </row>
    <row r="185" spans="1:20" x14ac:dyDescent="0.25">
      <c r="A185" t="s">
        <v>667</v>
      </c>
      <c r="B185" t="s">
        <v>2683</v>
      </c>
      <c r="C185" t="s">
        <v>668</v>
      </c>
      <c r="D185" t="s">
        <v>3255</v>
      </c>
      <c r="E185" s="1">
        <v>43348.395833333336</v>
      </c>
      <c r="F185" s="1" t="str">
        <f t="shared" si="2"/>
        <v>Wednesday</v>
      </c>
      <c r="G185" t="s">
        <v>669</v>
      </c>
      <c r="H185" t="s">
        <v>3615</v>
      </c>
      <c r="I185" t="s">
        <v>32</v>
      </c>
      <c r="J185" t="s">
        <v>4106</v>
      </c>
      <c r="K185" t="s">
        <v>670</v>
      </c>
      <c r="L185">
        <v>10</v>
      </c>
      <c r="M185">
        <v>20</v>
      </c>
      <c r="N185" t="s">
        <v>368</v>
      </c>
      <c r="O185" t="s">
        <v>3432</v>
      </c>
      <c r="P185">
        <v>2018</v>
      </c>
      <c r="Q185">
        <v>9</v>
      </c>
      <c r="R185">
        <v>5</v>
      </c>
      <c r="S185">
        <v>9</v>
      </c>
      <c r="T185" t="str">
        <f>TEXT(Table1[[#This Row],[Month]],"MMMM")</f>
        <v>January</v>
      </c>
    </row>
    <row r="186" spans="1:20" x14ac:dyDescent="0.25">
      <c r="A186" t="s">
        <v>671</v>
      </c>
      <c r="B186" t="s">
        <v>2684</v>
      </c>
      <c r="C186" t="s">
        <v>672</v>
      </c>
      <c r="D186" t="s">
        <v>3256</v>
      </c>
      <c r="E186" s="1">
        <v>44491.770833333336</v>
      </c>
      <c r="F186" s="1" t="str">
        <f t="shared" si="2"/>
        <v>Friday</v>
      </c>
      <c r="G186" t="s">
        <v>673</v>
      </c>
      <c r="H186" t="s">
        <v>3616</v>
      </c>
      <c r="I186" t="s">
        <v>17</v>
      </c>
      <c r="J186" t="s">
        <v>4104</v>
      </c>
      <c r="K186" t="s">
        <v>674</v>
      </c>
      <c r="L186">
        <v>15</v>
      </c>
      <c r="M186">
        <v>30</v>
      </c>
      <c r="N186" t="s">
        <v>656</v>
      </c>
      <c r="O186" t="s">
        <v>3403</v>
      </c>
      <c r="P186">
        <v>2021</v>
      </c>
      <c r="Q186">
        <v>10</v>
      </c>
      <c r="R186">
        <v>22</v>
      </c>
      <c r="S186">
        <v>18</v>
      </c>
      <c r="T186" t="str">
        <f>TEXT(Table1[[#This Row],[Month]],"MMMM")</f>
        <v>January</v>
      </c>
    </row>
    <row r="187" spans="1:20" x14ac:dyDescent="0.25">
      <c r="A187" t="s">
        <v>675</v>
      </c>
      <c r="B187" t="s">
        <v>2685</v>
      </c>
      <c r="C187" t="s">
        <v>676</v>
      </c>
      <c r="D187" t="s">
        <v>3257</v>
      </c>
      <c r="E187" s="1">
        <v>43593.597222222219</v>
      </c>
      <c r="F187" s="1" t="str">
        <f t="shared" si="2"/>
        <v>Wednesday</v>
      </c>
      <c r="G187" t="s">
        <v>677</v>
      </c>
      <c r="H187" t="s">
        <v>3617</v>
      </c>
      <c r="I187" t="s">
        <v>27</v>
      </c>
      <c r="J187" t="s">
        <v>4105</v>
      </c>
      <c r="K187" t="s">
        <v>678</v>
      </c>
      <c r="L187">
        <v>8</v>
      </c>
      <c r="M187">
        <v>15</v>
      </c>
      <c r="N187" t="s">
        <v>295</v>
      </c>
      <c r="O187" t="s">
        <v>3402</v>
      </c>
      <c r="P187">
        <v>2019</v>
      </c>
      <c r="Q187">
        <v>5</v>
      </c>
      <c r="R187">
        <v>8</v>
      </c>
      <c r="S187">
        <v>14</v>
      </c>
      <c r="T187" t="str">
        <f>TEXT(Table1[[#This Row],[Month]],"MMMM")</f>
        <v>January</v>
      </c>
    </row>
    <row r="188" spans="1:20" x14ac:dyDescent="0.25">
      <c r="A188" t="s">
        <v>679</v>
      </c>
      <c r="B188" t="s">
        <v>2686</v>
      </c>
      <c r="C188" t="s">
        <v>631</v>
      </c>
      <c r="D188" t="s">
        <v>3258</v>
      </c>
      <c r="E188" s="1">
        <v>42814.479166666664</v>
      </c>
      <c r="F188" s="1" t="str">
        <f t="shared" si="2"/>
        <v>Monday</v>
      </c>
      <c r="G188" t="s">
        <v>680</v>
      </c>
      <c r="H188" t="s">
        <v>3618</v>
      </c>
      <c r="I188" t="s">
        <v>32</v>
      </c>
      <c r="J188" t="s">
        <v>4106</v>
      </c>
      <c r="K188" t="s">
        <v>681</v>
      </c>
      <c r="L188">
        <v>10</v>
      </c>
      <c r="M188">
        <v>20</v>
      </c>
      <c r="N188" t="s">
        <v>617</v>
      </c>
      <c r="O188" t="s">
        <v>3401</v>
      </c>
      <c r="P188">
        <v>2017</v>
      </c>
      <c r="Q188">
        <v>3</v>
      </c>
      <c r="R188">
        <v>20</v>
      </c>
      <c r="S188">
        <v>11</v>
      </c>
      <c r="T188" t="str">
        <f>TEXT(Table1[[#This Row],[Month]],"MMMM")</f>
        <v>January</v>
      </c>
    </row>
    <row r="189" spans="1:20" x14ac:dyDescent="0.25">
      <c r="A189" t="s">
        <v>682</v>
      </c>
      <c r="B189" t="s">
        <v>2687</v>
      </c>
      <c r="C189" t="s">
        <v>635</v>
      </c>
      <c r="D189" t="s">
        <v>3259</v>
      </c>
      <c r="E189" s="1">
        <v>43449.666666666664</v>
      </c>
      <c r="F189" s="1" t="str">
        <f t="shared" si="2"/>
        <v>Saturday</v>
      </c>
      <c r="G189" t="s">
        <v>683</v>
      </c>
      <c r="H189" t="s">
        <v>3619</v>
      </c>
      <c r="I189" t="s">
        <v>17</v>
      </c>
      <c r="J189" t="s">
        <v>4104</v>
      </c>
      <c r="K189" t="s">
        <v>684</v>
      </c>
      <c r="L189">
        <v>12</v>
      </c>
      <c r="M189">
        <v>25</v>
      </c>
      <c r="N189" t="s">
        <v>205</v>
      </c>
      <c r="O189" t="s">
        <v>60</v>
      </c>
      <c r="P189">
        <v>2018</v>
      </c>
      <c r="Q189">
        <v>12</v>
      </c>
      <c r="R189">
        <v>15</v>
      </c>
      <c r="S189">
        <v>16</v>
      </c>
      <c r="T189" t="str">
        <f>TEXT(Table1[[#This Row],[Month]],"MMMM")</f>
        <v>January</v>
      </c>
    </row>
    <row r="190" spans="1:20" x14ac:dyDescent="0.25">
      <c r="A190" t="s">
        <v>685</v>
      </c>
      <c r="B190" t="s">
        <v>2688</v>
      </c>
      <c r="C190" t="s">
        <v>639</v>
      </c>
      <c r="D190" t="s">
        <v>3214</v>
      </c>
      <c r="E190" s="1">
        <v>42552.40625</v>
      </c>
      <c r="F190" s="1" t="str">
        <f t="shared" si="2"/>
        <v>Friday</v>
      </c>
      <c r="G190" t="s">
        <v>686</v>
      </c>
      <c r="H190" t="s">
        <v>3620</v>
      </c>
      <c r="I190" t="s">
        <v>27</v>
      </c>
      <c r="J190" t="s">
        <v>4105</v>
      </c>
      <c r="K190" t="s">
        <v>687</v>
      </c>
      <c r="L190">
        <v>7</v>
      </c>
      <c r="M190">
        <v>15</v>
      </c>
      <c r="N190" t="s">
        <v>368</v>
      </c>
      <c r="O190" t="s">
        <v>3432</v>
      </c>
      <c r="P190">
        <v>2016</v>
      </c>
      <c r="Q190">
        <v>7</v>
      </c>
      <c r="R190">
        <v>1</v>
      </c>
      <c r="S190">
        <v>9</v>
      </c>
      <c r="T190" t="str">
        <f>TEXT(Table1[[#This Row],[Month]],"MMMM")</f>
        <v>January</v>
      </c>
    </row>
    <row r="191" spans="1:20" x14ac:dyDescent="0.25">
      <c r="A191" t="s">
        <v>688</v>
      </c>
      <c r="B191" t="s">
        <v>2689</v>
      </c>
      <c r="C191" t="s">
        <v>587</v>
      </c>
      <c r="D191" t="s">
        <v>3248</v>
      </c>
      <c r="E191" s="1">
        <v>44063.847222222219</v>
      </c>
      <c r="F191" s="1" t="str">
        <f t="shared" si="2"/>
        <v>Thursday</v>
      </c>
      <c r="G191" t="s">
        <v>689</v>
      </c>
      <c r="H191" t="s">
        <v>3621</v>
      </c>
      <c r="I191" t="s">
        <v>32</v>
      </c>
      <c r="J191" t="s">
        <v>4106</v>
      </c>
      <c r="K191" t="s">
        <v>690</v>
      </c>
      <c r="L191">
        <v>10</v>
      </c>
      <c r="M191">
        <v>20</v>
      </c>
      <c r="N191" t="s">
        <v>656</v>
      </c>
      <c r="O191" t="s">
        <v>3403</v>
      </c>
      <c r="P191">
        <v>2020</v>
      </c>
      <c r="Q191">
        <v>8</v>
      </c>
      <c r="R191">
        <v>20</v>
      </c>
      <c r="S191">
        <v>20</v>
      </c>
      <c r="T191" t="str">
        <f>TEXT(Table1[[#This Row],[Month]],"MMMM")</f>
        <v>January</v>
      </c>
    </row>
    <row r="192" spans="1:20" x14ac:dyDescent="0.25">
      <c r="A192" t="s">
        <v>691</v>
      </c>
      <c r="B192" t="s">
        <v>2690</v>
      </c>
      <c r="C192" t="s">
        <v>591</v>
      </c>
      <c r="D192" t="s">
        <v>3249</v>
      </c>
      <c r="E192" s="1">
        <v>44252.645833333336</v>
      </c>
      <c r="F192" s="1" t="str">
        <f t="shared" si="2"/>
        <v>Thursday</v>
      </c>
      <c r="G192" t="s">
        <v>692</v>
      </c>
      <c r="H192" t="s">
        <v>3622</v>
      </c>
      <c r="I192" t="s">
        <v>17</v>
      </c>
      <c r="J192" t="s">
        <v>4104</v>
      </c>
      <c r="K192" t="s">
        <v>693</v>
      </c>
      <c r="L192">
        <v>12</v>
      </c>
      <c r="M192">
        <v>25</v>
      </c>
      <c r="N192" t="s">
        <v>617</v>
      </c>
      <c r="O192" t="s">
        <v>3401</v>
      </c>
      <c r="P192">
        <v>2021</v>
      </c>
      <c r="Q192">
        <v>2</v>
      </c>
      <c r="R192">
        <v>25</v>
      </c>
      <c r="S192">
        <v>15</v>
      </c>
      <c r="T192" t="str">
        <f>TEXT(Table1[[#This Row],[Month]],"MMMM")</f>
        <v>January</v>
      </c>
    </row>
    <row r="193" spans="1:20" x14ac:dyDescent="0.25">
      <c r="A193" t="s">
        <v>694</v>
      </c>
      <c r="B193" t="s">
        <v>2691</v>
      </c>
      <c r="C193" t="s">
        <v>650</v>
      </c>
      <c r="D193" t="s">
        <v>3250</v>
      </c>
      <c r="E193" s="1">
        <v>43720.756944444445</v>
      </c>
      <c r="F193" s="1" t="str">
        <f t="shared" si="2"/>
        <v>Thursday</v>
      </c>
      <c r="G193" t="s">
        <v>695</v>
      </c>
      <c r="H193" t="s">
        <v>3623</v>
      </c>
      <c r="I193" t="s">
        <v>27</v>
      </c>
      <c r="J193" t="s">
        <v>4105</v>
      </c>
      <c r="K193" t="s">
        <v>696</v>
      </c>
      <c r="L193">
        <v>15</v>
      </c>
      <c r="M193">
        <v>30</v>
      </c>
      <c r="N193" t="s">
        <v>608</v>
      </c>
      <c r="O193" t="s">
        <v>3402</v>
      </c>
      <c r="P193">
        <v>2019</v>
      </c>
      <c r="Q193">
        <v>9</v>
      </c>
      <c r="R193">
        <v>12</v>
      </c>
      <c r="S193">
        <v>18</v>
      </c>
      <c r="T193" t="str">
        <f>TEXT(Table1[[#This Row],[Month]],"MMMM")</f>
        <v>January</v>
      </c>
    </row>
    <row r="194" spans="1:20" x14ac:dyDescent="0.25">
      <c r="A194" t="s">
        <v>697</v>
      </c>
      <c r="B194" t="s">
        <v>2692</v>
      </c>
      <c r="C194" t="s">
        <v>698</v>
      </c>
      <c r="D194" t="s">
        <v>3251</v>
      </c>
      <c r="E194" s="1">
        <v>43317.6875</v>
      </c>
      <c r="F194" s="1" t="str">
        <f t="shared" si="2"/>
        <v>Sunday</v>
      </c>
      <c r="G194" t="s">
        <v>699</v>
      </c>
      <c r="H194" t="s">
        <v>3624</v>
      </c>
      <c r="I194" t="s">
        <v>32</v>
      </c>
      <c r="J194" t="s">
        <v>4106</v>
      </c>
      <c r="K194" t="s">
        <v>700</v>
      </c>
      <c r="L194">
        <v>8</v>
      </c>
      <c r="M194">
        <v>15</v>
      </c>
      <c r="N194" t="s">
        <v>701</v>
      </c>
      <c r="O194" t="s">
        <v>60</v>
      </c>
      <c r="P194">
        <v>2018</v>
      </c>
      <c r="Q194">
        <v>8</v>
      </c>
      <c r="R194">
        <v>5</v>
      </c>
      <c r="S194">
        <v>16</v>
      </c>
      <c r="T194" t="str">
        <f>TEXT(Table1[[#This Row],[Month]],"MMMM")</f>
        <v>January</v>
      </c>
    </row>
    <row r="195" spans="1:20" x14ac:dyDescent="0.25">
      <c r="A195" t="s">
        <v>702</v>
      </c>
      <c r="B195" t="s">
        <v>2693</v>
      </c>
      <c r="C195" t="s">
        <v>605</v>
      </c>
      <c r="D195" t="s">
        <v>3252</v>
      </c>
      <c r="E195" s="1">
        <v>42747.5</v>
      </c>
      <c r="F195" s="1" t="str">
        <f t="shared" ref="F195:F258" si="3">TEXT(E195,"DDDD")</f>
        <v>Thursday</v>
      </c>
      <c r="G195" t="s">
        <v>703</v>
      </c>
      <c r="H195" t="s">
        <v>3625</v>
      </c>
      <c r="I195" t="s">
        <v>17</v>
      </c>
      <c r="J195" t="s">
        <v>4104</v>
      </c>
      <c r="K195" t="s">
        <v>704</v>
      </c>
      <c r="L195">
        <v>10</v>
      </c>
      <c r="M195">
        <v>20</v>
      </c>
      <c r="N195" t="s">
        <v>656</v>
      </c>
      <c r="O195" t="s">
        <v>3403</v>
      </c>
      <c r="P195">
        <v>2017</v>
      </c>
      <c r="Q195">
        <v>1</v>
      </c>
      <c r="R195">
        <v>12</v>
      </c>
      <c r="S195">
        <v>12</v>
      </c>
      <c r="T195" t="str">
        <f>TEXT(Table1[[#This Row],[Month]],"MMMM")</f>
        <v>January</v>
      </c>
    </row>
    <row r="196" spans="1:20" x14ac:dyDescent="0.25">
      <c r="A196" t="s">
        <v>705</v>
      </c>
      <c r="B196" t="s">
        <v>2694</v>
      </c>
      <c r="C196" t="s">
        <v>610</v>
      </c>
      <c r="D196" t="s">
        <v>3253</v>
      </c>
      <c r="E196" s="1">
        <v>44656.614583333336</v>
      </c>
      <c r="F196" s="1" t="str">
        <f t="shared" si="3"/>
        <v>Tuesday</v>
      </c>
      <c r="G196" t="s">
        <v>706</v>
      </c>
      <c r="H196" t="s">
        <v>3626</v>
      </c>
      <c r="I196" t="s">
        <v>27</v>
      </c>
      <c r="J196" t="s">
        <v>4105</v>
      </c>
      <c r="K196" t="s">
        <v>707</v>
      </c>
      <c r="L196">
        <v>12</v>
      </c>
      <c r="M196">
        <v>25</v>
      </c>
      <c r="N196" t="s">
        <v>368</v>
      </c>
      <c r="O196" t="s">
        <v>3432</v>
      </c>
      <c r="P196">
        <v>2022</v>
      </c>
      <c r="Q196">
        <v>4</v>
      </c>
      <c r="R196">
        <v>5</v>
      </c>
      <c r="S196">
        <v>14</v>
      </c>
      <c r="T196" t="str">
        <f>TEXT(Table1[[#This Row],[Month]],"MMMM")</f>
        <v>January</v>
      </c>
    </row>
    <row r="197" spans="1:20" x14ac:dyDescent="0.25">
      <c r="A197" t="s">
        <v>708</v>
      </c>
      <c r="B197" t="s">
        <v>2695</v>
      </c>
      <c r="C197" t="s">
        <v>614</v>
      </c>
      <c r="D197" t="s">
        <v>3254</v>
      </c>
      <c r="E197" s="1">
        <v>44471.791666666664</v>
      </c>
      <c r="F197" s="1" t="str">
        <f t="shared" si="3"/>
        <v>Saturday</v>
      </c>
      <c r="G197" t="s">
        <v>709</v>
      </c>
      <c r="H197" t="s">
        <v>3627</v>
      </c>
      <c r="I197" t="s">
        <v>32</v>
      </c>
      <c r="J197" t="s">
        <v>4106</v>
      </c>
      <c r="K197" t="s">
        <v>710</v>
      </c>
      <c r="L197">
        <v>7</v>
      </c>
      <c r="M197">
        <v>15</v>
      </c>
      <c r="N197" t="s">
        <v>617</v>
      </c>
      <c r="O197" t="s">
        <v>3401</v>
      </c>
      <c r="P197">
        <v>2021</v>
      </c>
      <c r="Q197">
        <v>10</v>
      </c>
      <c r="R197">
        <v>2</v>
      </c>
      <c r="S197">
        <v>19</v>
      </c>
      <c r="T197" t="str">
        <f>TEXT(Table1[[#This Row],[Month]],"MMMM")</f>
        <v>January</v>
      </c>
    </row>
    <row r="198" spans="1:20" x14ac:dyDescent="0.25">
      <c r="A198" t="s">
        <v>711</v>
      </c>
      <c r="B198" t="s">
        <v>2696</v>
      </c>
      <c r="C198" t="s">
        <v>712</v>
      </c>
      <c r="D198" t="s">
        <v>3260</v>
      </c>
      <c r="E198" s="1">
        <v>45031.427083333336</v>
      </c>
      <c r="F198" s="1" t="str">
        <f t="shared" si="3"/>
        <v>Saturday</v>
      </c>
      <c r="G198" t="s">
        <v>713</v>
      </c>
      <c r="H198" t="s">
        <v>3628</v>
      </c>
      <c r="I198" t="s">
        <v>17</v>
      </c>
      <c r="J198" t="s">
        <v>4104</v>
      </c>
      <c r="K198" t="s">
        <v>714</v>
      </c>
      <c r="L198">
        <v>15</v>
      </c>
      <c r="M198">
        <v>30</v>
      </c>
      <c r="N198" t="s">
        <v>205</v>
      </c>
      <c r="O198" t="s">
        <v>60</v>
      </c>
      <c r="P198">
        <v>2023</v>
      </c>
      <c r="Q198">
        <v>4</v>
      </c>
      <c r="R198">
        <v>15</v>
      </c>
      <c r="S198">
        <v>10</v>
      </c>
      <c r="T198" t="str">
        <f>TEXT(Table1[[#This Row],[Month]],"MMMM")</f>
        <v>January</v>
      </c>
    </row>
    <row r="199" spans="1:20" x14ac:dyDescent="0.25">
      <c r="A199" t="s">
        <v>715</v>
      </c>
      <c r="B199" t="s">
        <v>2697</v>
      </c>
      <c r="C199" t="s">
        <v>716</v>
      </c>
      <c r="D199" t="s">
        <v>3261</v>
      </c>
      <c r="E199" s="1">
        <v>44893.729166666664</v>
      </c>
      <c r="F199" s="1" t="str">
        <f t="shared" si="3"/>
        <v>Monday</v>
      </c>
      <c r="G199" t="s">
        <v>717</v>
      </c>
      <c r="H199" t="s">
        <v>3629</v>
      </c>
      <c r="I199" t="s">
        <v>27</v>
      </c>
      <c r="J199" t="s">
        <v>4105</v>
      </c>
      <c r="K199" t="s">
        <v>718</v>
      </c>
      <c r="L199">
        <v>7</v>
      </c>
      <c r="M199">
        <v>15</v>
      </c>
      <c r="N199" t="s">
        <v>594</v>
      </c>
      <c r="O199" t="s">
        <v>3401</v>
      </c>
      <c r="P199">
        <v>2022</v>
      </c>
      <c r="Q199">
        <v>11</v>
      </c>
      <c r="R199">
        <v>28</v>
      </c>
      <c r="S199">
        <v>17</v>
      </c>
      <c r="T199" t="str">
        <f>TEXT(Table1[[#This Row],[Month]],"MMMM")</f>
        <v>January</v>
      </c>
    </row>
    <row r="200" spans="1:20" x14ac:dyDescent="0.25">
      <c r="A200" t="s">
        <v>719</v>
      </c>
      <c r="B200" t="s">
        <v>2698</v>
      </c>
      <c r="C200" t="s">
        <v>720</v>
      </c>
      <c r="D200" t="s">
        <v>3230</v>
      </c>
      <c r="E200" s="1">
        <v>43923.40625</v>
      </c>
      <c r="F200" s="1" t="str">
        <f t="shared" si="3"/>
        <v>Thursday</v>
      </c>
      <c r="G200" t="s">
        <v>721</v>
      </c>
      <c r="H200" t="s">
        <v>3630</v>
      </c>
      <c r="I200" t="s">
        <v>32</v>
      </c>
      <c r="J200" t="s">
        <v>4106</v>
      </c>
      <c r="K200" t="s">
        <v>722</v>
      </c>
      <c r="L200">
        <v>10</v>
      </c>
      <c r="M200">
        <v>20</v>
      </c>
      <c r="N200" t="s">
        <v>232</v>
      </c>
      <c r="O200" t="s">
        <v>3432</v>
      </c>
      <c r="P200">
        <v>2020</v>
      </c>
      <c r="Q200">
        <v>4</v>
      </c>
      <c r="R200">
        <v>2</v>
      </c>
      <c r="S200">
        <v>9</v>
      </c>
      <c r="T200" t="str">
        <f>TEXT(Table1[[#This Row],[Month]],"MMMM")</f>
        <v>January</v>
      </c>
    </row>
    <row r="201" spans="1:20" x14ac:dyDescent="0.25">
      <c r="A201" t="s">
        <v>723</v>
      </c>
      <c r="B201" t="s">
        <v>2699</v>
      </c>
      <c r="C201" t="s">
        <v>724</v>
      </c>
      <c r="D201" t="s">
        <v>3262</v>
      </c>
      <c r="E201" s="1">
        <v>44418.583333333336</v>
      </c>
      <c r="F201" s="1" t="str">
        <f t="shared" si="3"/>
        <v>Tuesday</v>
      </c>
      <c r="G201" t="s">
        <v>725</v>
      </c>
      <c r="H201" t="s">
        <v>3631</v>
      </c>
      <c r="I201" t="s">
        <v>17</v>
      </c>
      <c r="J201" t="s">
        <v>4104</v>
      </c>
      <c r="K201" t="s">
        <v>726</v>
      </c>
      <c r="L201">
        <v>8</v>
      </c>
      <c r="M201">
        <v>15</v>
      </c>
      <c r="N201" t="s">
        <v>603</v>
      </c>
      <c r="O201" t="s">
        <v>3403</v>
      </c>
      <c r="P201">
        <v>2021</v>
      </c>
      <c r="Q201">
        <v>8</v>
      </c>
      <c r="R201">
        <v>10</v>
      </c>
      <c r="S201">
        <v>14</v>
      </c>
      <c r="T201" t="str">
        <f>TEXT(Table1[[#This Row],[Month]],"MMMM")</f>
        <v>January</v>
      </c>
    </row>
    <row r="202" spans="1:20" x14ac:dyDescent="0.25">
      <c r="A202" t="s">
        <v>727</v>
      </c>
      <c r="B202" t="s">
        <v>2700</v>
      </c>
      <c r="C202" t="s">
        <v>728</v>
      </c>
      <c r="D202" t="s">
        <v>3263</v>
      </c>
      <c r="E202" s="1">
        <v>43634.864583333336</v>
      </c>
      <c r="F202" s="1" t="str">
        <f t="shared" si="3"/>
        <v>Tuesday</v>
      </c>
      <c r="G202" t="s">
        <v>729</v>
      </c>
      <c r="H202" t="s">
        <v>3632</v>
      </c>
      <c r="I202" t="s">
        <v>27</v>
      </c>
      <c r="J202" t="s">
        <v>4105</v>
      </c>
      <c r="K202" t="s">
        <v>730</v>
      </c>
      <c r="L202">
        <v>12</v>
      </c>
      <c r="M202">
        <v>25</v>
      </c>
      <c r="N202" t="s">
        <v>608</v>
      </c>
      <c r="O202" t="s">
        <v>3402</v>
      </c>
      <c r="P202">
        <v>2019</v>
      </c>
      <c r="Q202">
        <v>6</v>
      </c>
      <c r="R202">
        <v>18</v>
      </c>
      <c r="S202">
        <v>20</v>
      </c>
      <c r="T202" t="str">
        <f>TEXT(Table1[[#This Row],[Month]],"MMMM")</f>
        <v>January</v>
      </c>
    </row>
    <row r="203" spans="1:20" x14ac:dyDescent="0.25">
      <c r="A203" t="s">
        <v>731</v>
      </c>
      <c r="B203" t="s">
        <v>2701</v>
      </c>
      <c r="C203" t="s">
        <v>732</v>
      </c>
      <c r="D203" t="s">
        <v>3264</v>
      </c>
      <c r="E203" s="1">
        <v>43136.635416666664</v>
      </c>
      <c r="F203" s="1" t="str">
        <f t="shared" si="3"/>
        <v>Monday</v>
      </c>
      <c r="G203" t="s">
        <v>733</v>
      </c>
      <c r="H203" t="s">
        <v>3633</v>
      </c>
      <c r="I203" t="s">
        <v>32</v>
      </c>
      <c r="J203" t="s">
        <v>4106</v>
      </c>
      <c r="K203" t="s">
        <v>734</v>
      </c>
      <c r="L203">
        <v>10</v>
      </c>
      <c r="M203">
        <v>20</v>
      </c>
      <c r="N203" t="s">
        <v>205</v>
      </c>
      <c r="O203" t="s">
        <v>60</v>
      </c>
      <c r="P203">
        <v>2018</v>
      </c>
      <c r="Q203">
        <v>2</v>
      </c>
      <c r="R203">
        <v>5</v>
      </c>
      <c r="S203">
        <v>15</v>
      </c>
      <c r="T203" t="str">
        <f>TEXT(Table1[[#This Row],[Month]],"MMMM")</f>
        <v>January</v>
      </c>
    </row>
    <row r="204" spans="1:20" x14ac:dyDescent="0.25">
      <c r="A204" t="s">
        <v>735</v>
      </c>
      <c r="B204" t="s">
        <v>2702</v>
      </c>
      <c r="C204" t="s">
        <v>736</v>
      </c>
      <c r="D204" t="s">
        <v>3265</v>
      </c>
      <c r="E204" s="1">
        <v>44711.479166666664</v>
      </c>
      <c r="F204" s="1" t="str">
        <f t="shared" si="3"/>
        <v>Monday</v>
      </c>
      <c r="G204" t="s">
        <v>737</v>
      </c>
      <c r="H204" t="s">
        <v>3634</v>
      </c>
      <c r="I204" t="s">
        <v>17</v>
      </c>
      <c r="J204" t="s">
        <v>4104</v>
      </c>
      <c r="K204" t="s">
        <v>738</v>
      </c>
      <c r="L204">
        <v>12</v>
      </c>
      <c r="M204">
        <v>25</v>
      </c>
      <c r="N204" t="s">
        <v>617</v>
      </c>
      <c r="O204" t="s">
        <v>3401</v>
      </c>
      <c r="P204">
        <v>2022</v>
      </c>
      <c r="Q204">
        <v>5</v>
      </c>
      <c r="R204">
        <v>30</v>
      </c>
      <c r="S204">
        <v>11</v>
      </c>
      <c r="T204" t="str">
        <f>TEXT(Table1[[#This Row],[Month]],"MMMM")</f>
        <v>January</v>
      </c>
    </row>
    <row r="205" spans="1:20" x14ac:dyDescent="0.25">
      <c r="A205" t="s">
        <v>739</v>
      </c>
      <c r="B205" t="s">
        <v>2703</v>
      </c>
      <c r="C205" t="s">
        <v>740</v>
      </c>
      <c r="D205" t="s">
        <v>3225</v>
      </c>
      <c r="E205" s="1">
        <v>44936.680555555555</v>
      </c>
      <c r="F205" s="1" t="str">
        <f t="shared" si="3"/>
        <v>Tuesday</v>
      </c>
      <c r="G205" t="s">
        <v>741</v>
      </c>
      <c r="H205" t="s">
        <v>3635</v>
      </c>
      <c r="I205" t="s">
        <v>27</v>
      </c>
      <c r="J205" t="s">
        <v>4105</v>
      </c>
      <c r="K205" t="s">
        <v>343</v>
      </c>
      <c r="L205">
        <v>15</v>
      </c>
      <c r="M205">
        <v>30</v>
      </c>
      <c r="N205" t="s">
        <v>232</v>
      </c>
      <c r="O205" t="s">
        <v>3432</v>
      </c>
      <c r="P205">
        <v>2023</v>
      </c>
      <c r="Q205">
        <v>1</v>
      </c>
      <c r="R205">
        <v>10</v>
      </c>
      <c r="S205">
        <v>16</v>
      </c>
      <c r="T205" t="str">
        <f>TEXT(Table1[[#This Row],[Month]],"MMMM")</f>
        <v>January</v>
      </c>
    </row>
    <row r="206" spans="1:20" x14ac:dyDescent="0.25">
      <c r="A206" t="s">
        <v>742</v>
      </c>
      <c r="B206" t="s">
        <v>2704</v>
      </c>
      <c r="C206" t="s">
        <v>743</v>
      </c>
      <c r="D206" t="s">
        <v>3266</v>
      </c>
      <c r="E206" s="1">
        <v>44092.572916666664</v>
      </c>
      <c r="F206" s="1" t="str">
        <f t="shared" si="3"/>
        <v>Friday</v>
      </c>
      <c r="G206" t="s">
        <v>744</v>
      </c>
      <c r="H206" t="s">
        <v>3636</v>
      </c>
      <c r="I206" t="s">
        <v>32</v>
      </c>
      <c r="J206" t="s">
        <v>4106</v>
      </c>
      <c r="K206" t="s">
        <v>745</v>
      </c>
      <c r="L206">
        <v>10</v>
      </c>
      <c r="M206">
        <v>20</v>
      </c>
      <c r="N206" t="s">
        <v>603</v>
      </c>
      <c r="O206" t="s">
        <v>3403</v>
      </c>
      <c r="P206">
        <v>2020</v>
      </c>
      <c r="Q206">
        <v>9</v>
      </c>
      <c r="R206">
        <v>18</v>
      </c>
      <c r="S206">
        <v>13</v>
      </c>
      <c r="T206" t="str">
        <f>TEXT(Table1[[#This Row],[Month]],"MMMM")</f>
        <v>January</v>
      </c>
    </row>
    <row r="207" spans="1:20" x14ac:dyDescent="0.25">
      <c r="A207" t="s">
        <v>746</v>
      </c>
      <c r="B207" t="s">
        <v>2705</v>
      </c>
      <c r="C207" t="s">
        <v>747</v>
      </c>
      <c r="D207" t="s">
        <v>3238</v>
      </c>
      <c r="E207" s="1">
        <v>44380.791666666664</v>
      </c>
      <c r="F207" s="1" t="str">
        <f t="shared" si="3"/>
        <v>Saturday</v>
      </c>
      <c r="G207" t="s">
        <v>748</v>
      </c>
      <c r="H207" t="s">
        <v>3637</v>
      </c>
      <c r="I207" t="s">
        <v>17</v>
      </c>
      <c r="J207" t="s">
        <v>4104</v>
      </c>
      <c r="K207" t="s">
        <v>749</v>
      </c>
      <c r="L207">
        <v>12</v>
      </c>
      <c r="M207">
        <v>25</v>
      </c>
      <c r="N207" t="s">
        <v>295</v>
      </c>
      <c r="O207" t="s">
        <v>3402</v>
      </c>
      <c r="P207">
        <v>2021</v>
      </c>
      <c r="Q207">
        <v>7</v>
      </c>
      <c r="R207">
        <v>3</v>
      </c>
      <c r="S207">
        <v>19</v>
      </c>
      <c r="T207" t="str">
        <f>TEXT(Table1[[#This Row],[Month]],"MMMM")</f>
        <v>January</v>
      </c>
    </row>
    <row r="208" spans="1:20" x14ac:dyDescent="0.25">
      <c r="A208" t="s">
        <v>750</v>
      </c>
      <c r="B208" t="s">
        <v>2706</v>
      </c>
      <c r="C208" t="s">
        <v>712</v>
      </c>
      <c r="D208" t="s">
        <v>3260</v>
      </c>
      <c r="E208" s="1">
        <v>44842.34375</v>
      </c>
      <c r="F208" s="1" t="str">
        <f t="shared" si="3"/>
        <v>Saturday</v>
      </c>
      <c r="G208" t="s">
        <v>751</v>
      </c>
      <c r="H208" t="s">
        <v>3638</v>
      </c>
      <c r="I208" t="s">
        <v>27</v>
      </c>
      <c r="J208" t="s">
        <v>4105</v>
      </c>
      <c r="K208" t="s">
        <v>752</v>
      </c>
      <c r="L208">
        <v>20</v>
      </c>
      <c r="M208">
        <v>40</v>
      </c>
      <c r="N208" t="s">
        <v>205</v>
      </c>
      <c r="O208" t="s">
        <v>60</v>
      </c>
      <c r="P208">
        <v>2022</v>
      </c>
      <c r="Q208">
        <v>10</v>
      </c>
      <c r="R208">
        <v>8</v>
      </c>
      <c r="S208">
        <v>8</v>
      </c>
      <c r="T208" t="str">
        <f>TEXT(Table1[[#This Row],[Month]],"MMMM")</f>
        <v>January</v>
      </c>
    </row>
    <row r="209" spans="1:20" x14ac:dyDescent="0.25">
      <c r="A209" t="s">
        <v>753</v>
      </c>
      <c r="B209" t="s">
        <v>2707</v>
      </c>
      <c r="C209" t="s">
        <v>716</v>
      </c>
      <c r="D209" t="s">
        <v>3261</v>
      </c>
      <c r="E209" s="1">
        <v>45007.6875</v>
      </c>
      <c r="F209" s="1" t="str">
        <f t="shared" si="3"/>
        <v>Wednesday</v>
      </c>
      <c r="G209" t="s">
        <v>754</v>
      </c>
      <c r="H209" t="s">
        <v>3639</v>
      </c>
      <c r="I209" t="s">
        <v>32</v>
      </c>
      <c r="J209" t="s">
        <v>4106</v>
      </c>
      <c r="K209" t="s">
        <v>755</v>
      </c>
      <c r="L209">
        <v>10</v>
      </c>
      <c r="M209">
        <v>20</v>
      </c>
      <c r="N209" t="s">
        <v>617</v>
      </c>
      <c r="O209" t="s">
        <v>3401</v>
      </c>
      <c r="P209">
        <v>2023</v>
      </c>
      <c r="Q209">
        <v>3</v>
      </c>
      <c r="R209">
        <v>22</v>
      </c>
      <c r="S209">
        <v>16</v>
      </c>
      <c r="T209" t="str">
        <f>TEXT(Table1[[#This Row],[Month]],"MMMM")</f>
        <v>January</v>
      </c>
    </row>
    <row r="210" spans="1:20" x14ac:dyDescent="0.25">
      <c r="A210" t="s">
        <v>756</v>
      </c>
      <c r="B210" t="s">
        <v>2708</v>
      </c>
      <c r="C210" t="s">
        <v>720</v>
      </c>
      <c r="D210" t="s">
        <v>3230</v>
      </c>
      <c r="E210" s="1">
        <v>44331.489583333336</v>
      </c>
      <c r="F210" s="1" t="str">
        <f t="shared" si="3"/>
        <v>Saturday</v>
      </c>
      <c r="G210" t="s">
        <v>757</v>
      </c>
      <c r="H210" t="s">
        <v>3640</v>
      </c>
      <c r="I210" t="s">
        <v>17</v>
      </c>
      <c r="J210" t="s">
        <v>4104</v>
      </c>
      <c r="K210" t="s">
        <v>758</v>
      </c>
      <c r="L210">
        <v>15</v>
      </c>
      <c r="M210">
        <v>30</v>
      </c>
      <c r="N210" t="s">
        <v>368</v>
      </c>
      <c r="O210" t="s">
        <v>3432</v>
      </c>
      <c r="P210">
        <v>2021</v>
      </c>
      <c r="Q210">
        <v>5</v>
      </c>
      <c r="R210">
        <v>15</v>
      </c>
      <c r="S210">
        <v>11</v>
      </c>
      <c r="T210" t="str">
        <f>TEXT(Table1[[#This Row],[Month]],"MMMM")</f>
        <v>January</v>
      </c>
    </row>
    <row r="211" spans="1:20" x14ac:dyDescent="0.25">
      <c r="A211" t="s">
        <v>759</v>
      </c>
      <c r="B211" t="s">
        <v>2709</v>
      </c>
      <c r="C211" t="s">
        <v>724</v>
      </c>
      <c r="D211" t="s">
        <v>3262</v>
      </c>
      <c r="E211" s="1">
        <v>43827.604166666664</v>
      </c>
      <c r="F211" s="1" t="str">
        <f t="shared" si="3"/>
        <v>Saturday</v>
      </c>
      <c r="G211" t="s">
        <v>760</v>
      </c>
      <c r="H211" t="s">
        <v>3641</v>
      </c>
      <c r="I211" t="s">
        <v>27</v>
      </c>
      <c r="J211" t="s">
        <v>4105</v>
      </c>
      <c r="K211" t="s">
        <v>761</v>
      </c>
      <c r="L211">
        <v>8</v>
      </c>
      <c r="M211">
        <v>15</v>
      </c>
      <c r="N211" t="s">
        <v>608</v>
      </c>
      <c r="O211" t="s">
        <v>3402</v>
      </c>
      <c r="P211">
        <v>2019</v>
      </c>
      <c r="Q211">
        <v>12</v>
      </c>
      <c r="R211">
        <v>28</v>
      </c>
      <c r="S211">
        <v>14</v>
      </c>
      <c r="T211" t="str">
        <f>TEXT(Table1[[#This Row],[Month]],"MMMM")</f>
        <v>January</v>
      </c>
    </row>
    <row r="212" spans="1:20" x14ac:dyDescent="0.25">
      <c r="A212" t="s">
        <v>762</v>
      </c>
      <c r="B212" t="s">
        <v>2710</v>
      </c>
      <c r="C212" t="s">
        <v>728</v>
      </c>
      <c r="D212" t="s">
        <v>3263</v>
      </c>
      <c r="E212" s="1">
        <v>43891.791666666664</v>
      </c>
      <c r="F212" s="1" t="str">
        <f t="shared" si="3"/>
        <v>Sunday</v>
      </c>
      <c r="G212" t="s">
        <v>763</v>
      </c>
      <c r="H212" t="s">
        <v>3642</v>
      </c>
      <c r="I212" t="s">
        <v>32</v>
      </c>
      <c r="J212" t="s">
        <v>4106</v>
      </c>
      <c r="K212" t="s">
        <v>764</v>
      </c>
      <c r="L212">
        <v>12</v>
      </c>
      <c r="M212">
        <v>25</v>
      </c>
      <c r="N212" t="s">
        <v>656</v>
      </c>
      <c r="O212" t="s">
        <v>3403</v>
      </c>
      <c r="P212">
        <v>2020</v>
      </c>
      <c r="Q212">
        <v>3</v>
      </c>
      <c r="R212">
        <v>1</v>
      </c>
      <c r="S212">
        <v>19</v>
      </c>
      <c r="T212" t="str">
        <f>TEXT(Table1[[#This Row],[Month]],"MMMM")</f>
        <v>January</v>
      </c>
    </row>
    <row r="213" spans="1:20" x14ac:dyDescent="0.25">
      <c r="A213" t="s">
        <v>765</v>
      </c>
      <c r="B213" t="s">
        <v>2711</v>
      </c>
      <c r="C213" t="s">
        <v>732</v>
      </c>
      <c r="D213" t="s">
        <v>3264</v>
      </c>
      <c r="E213" s="1">
        <v>43291.65625</v>
      </c>
      <c r="F213" s="1" t="str">
        <f t="shared" si="3"/>
        <v>Tuesday</v>
      </c>
      <c r="G213" t="s">
        <v>766</v>
      </c>
      <c r="H213" t="s">
        <v>3643</v>
      </c>
      <c r="I213" t="s">
        <v>17</v>
      </c>
      <c r="J213" t="s">
        <v>4104</v>
      </c>
      <c r="K213" t="s">
        <v>767</v>
      </c>
      <c r="L213">
        <v>10</v>
      </c>
      <c r="M213">
        <v>20</v>
      </c>
      <c r="N213" t="s">
        <v>617</v>
      </c>
      <c r="O213" t="s">
        <v>3401</v>
      </c>
      <c r="P213">
        <v>2018</v>
      </c>
      <c r="Q213">
        <v>7</v>
      </c>
      <c r="R213">
        <v>10</v>
      </c>
      <c r="S213">
        <v>15</v>
      </c>
      <c r="T213" t="str">
        <f>TEXT(Table1[[#This Row],[Month]],"MMMM")</f>
        <v>January</v>
      </c>
    </row>
    <row r="214" spans="1:20" x14ac:dyDescent="0.25">
      <c r="A214" t="s">
        <v>768</v>
      </c>
      <c r="B214" t="s">
        <v>2712</v>
      </c>
      <c r="C214" t="s">
        <v>736</v>
      </c>
      <c r="D214" t="s">
        <v>3265</v>
      </c>
      <c r="E214" s="1">
        <v>44566.4375</v>
      </c>
      <c r="F214" s="1" t="str">
        <f t="shared" si="3"/>
        <v>Wednesday</v>
      </c>
      <c r="G214" t="s">
        <v>769</v>
      </c>
      <c r="H214" t="s">
        <v>3644</v>
      </c>
      <c r="I214" t="s">
        <v>27</v>
      </c>
      <c r="J214" t="s">
        <v>4105</v>
      </c>
      <c r="K214" t="s">
        <v>770</v>
      </c>
      <c r="L214">
        <v>12</v>
      </c>
      <c r="M214">
        <v>25</v>
      </c>
      <c r="N214" t="s">
        <v>368</v>
      </c>
      <c r="O214" t="s">
        <v>3432</v>
      </c>
      <c r="P214">
        <v>2022</v>
      </c>
      <c r="Q214">
        <v>1</v>
      </c>
      <c r="R214">
        <v>5</v>
      </c>
      <c r="S214">
        <v>10</v>
      </c>
      <c r="T214" t="str">
        <f>TEXT(Table1[[#This Row],[Month]],"MMMM")</f>
        <v>January</v>
      </c>
    </row>
    <row r="215" spans="1:20" x14ac:dyDescent="0.25">
      <c r="A215" t="s">
        <v>771</v>
      </c>
      <c r="B215" t="s">
        <v>2713</v>
      </c>
      <c r="C215" t="s">
        <v>740</v>
      </c>
      <c r="D215" t="s">
        <v>3225</v>
      </c>
      <c r="E215" s="1">
        <v>44428.680555555555</v>
      </c>
      <c r="F215" s="1" t="str">
        <f t="shared" si="3"/>
        <v>Friday</v>
      </c>
      <c r="G215" t="s">
        <v>772</v>
      </c>
      <c r="H215" t="s">
        <v>3645</v>
      </c>
      <c r="I215" t="s">
        <v>32</v>
      </c>
      <c r="J215" t="s">
        <v>4106</v>
      </c>
      <c r="K215" t="s">
        <v>773</v>
      </c>
      <c r="L215">
        <v>15</v>
      </c>
      <c r="M215">
        <v>30</v>
      </c>
      <c r="N215" t="s">
        <v>295</v>
      </c>
      <c r="O215" t="s">
        <v>3402</v>
      </c>
      <c r="P215">
        <v>2021</v>
      </c>
      <c r="Q215">
        <v>8</v>
      </c>
      <c r="R215">
        <v>20</v>
      </c>
      <c r="S215">
        <v>16</v>
      </c>
      <c r="T215" t="str">
        <f>TEXT(Table1[[#This Row],[Month]],"MMMM")</f>
        <v>January</v>
      </c>
    </row>
    <row r="216" spans="1:20" x14ac:dyDescent="0.25">
      <c r="A216" t="s">
        <v>774</v>
      </c>
      <c r="B216" t="s">
        <v>2714</v>
      </c>
      <c r="C216" t="s">
        <v>743</v>
      </c>
      <c r="D216" t="s">
        <v>3266</v>
      </c>
      <c r="E216" s="1">
        <v>43772.572916666664</v>
      </c>
      <c r="F216" s="1" t="str">
        <f t="shared" si="3"/>
        <v>Sunday</v>
      </c>
      <c r="G216" t="s">
        <v>775</v>
      </c>
      <c r="H216" t="s">
        <v>3306</v>
      </c>
      <c r="I216" t="s">
        <v>17</v>
      </c>
      <c r="J216" t="s">
        <v>4104</v>
      </c>
      <c r="K216" t="s">
        <v>776</v>
      </c>
      <c r="L216">
        <v>18</v>
      </c>
      <c r="M216">
        <v>35</v>
      </c>
      <c r="N216" t="s">
        <v>205</v>
      </c>
      <c r="O216" t="s">
        <v>60</v>
      </c>
      <c r="P216">
        <v>2019</v>
      </c>
      <c r="Q216">
        <v>11</v>
      </c>
      <c r="R216">
        <v>3</v>
      </c>
      <c r="S216">
        <v>13</v>
      </c>
      <c r="T216" t="str">
        <f>TEXT(Table1[[#This Row],[Month]],"MMMM")</f>
        <v>January</v>
      </c>
    </row>
    <row r="217" spans="1:20" x14ac:dyDescent="0.25">
      <c r="A217" t="s">
        <v>777</v>
      </c>
      <c r="B217" t="s">
        <v>2715</v>
      </c>
      <c r="C217" t="s">
        <v>747</v>
      </c>
      <c r="D217" t="s">
        <v>3238</v>
      </c>
      <c r="E217" s="1">
        <v>43933.8125</v>
      </c>
      <c r="F217" s="1" t="str">
        <f t="shared" si="3"/>
        <v>Sunday</v>
      </c>
      <c r="G217" t="s">
        <v>778</v>
      </c>
      <c r="H217" t="s">
        <v>3646</v>
      </c>
      <c r="I217" t="s">
        <v>27</v>
      </c>
      <c r="J217" t="s">
        <v>4105</v>
      </c>
      <c r="K217" t="s">
        <v>779</v>
      </c>
      <c r="L217">
        <v>25</v>
      </c>
      <c r="M217">
        <v>50</v>
      </c>
      <c r="N217" t="s">
        <v>617</v>
      </c>
      <c r="O217" t="s">
        <v>3401</v>
      </c>
      <c r="P217">
        <v>2020</v>
      </c>
      <c r="Q217">
        <v>4</v>
      </c>
      <c r="R217">
        <v>12</v>
      </c>
      <c r="S217">
        <v>19</v>
      </c>
      <c r="T217" t="str">
        <f>TEXT(Table1[[#This Row],[Month]],"MMMM")</f>
        <v>January</v>
      </c>
    </row>
    <row r="218" spans="1:20" x14ac:dyDescent="0.25">
      <c r="A218" t="s">
        <v>780</v>
      </c>
      <c r="B218" t="s">
        <v>2716</v>
      </c>
      <c r="C218" t="s">
        <v>712</v>
      </c>
      <c r="D218" t="s">
        <v>3260</v>
      </c>
      <c r="E218" s="1">
        <v>44666.364583333336</v>
      </c>
      <c r="F218" s="1" t="str">
        <f t="shared" si="3"/>
        <v>Friday</v>
      </c>
      <c r="G218" t="s">
        <v>781</v>
      </c>
      <c r="H218" t="s">
        <v>3647</v>
      </c>
      <c r="I218" t="s">
        <v>32</v>
      </c>
      <c r="J218" t="s">
        <v>4106</v>
      </c>
      <c r="K218" t="s">
        <v>782</v>
      </c>
      <c r="L218">
        <v>22</v>
      </c>
      <c r="M218">
        <v>45</v>
      </c>
      <c r="N218" t="s">
        <v>656</v>
      </c>
      <c r="O218" t="s">
        <v>3403</v>
      </c>
      <c r="P218">
        <v>2022</v>
      </c>
      <c r="Q218">
        <v>4</v>
      </c>
      <c r="R218">
        <v>15</v>
      </c>
      <c r="S218">
        <v>8</v>
      </c>
      <c r="T218" t="str">
        <f>TEXT(Table1[[#This Row],[Month]],"MMMM")</f>
        <v>January</v>
      </c>
    </row>
    <row r="219" spans="1:20" x14ac:dyDescent="0.25">
      <c r="A219" t="s">
        <v>783</v>
      </c>
      <c r="B219" t="s">
        <v>2717</v>
      </c>
      <c r="C219" t="s">
        <v>716</v>
      </c>
      <c r="D219" t="s">
        <v>3261</v>
      </c>
      <c r="E219" s="1">
        <v>44967.708333333336</v>
      </c>
      <c r="F219" s="1" t="str">
        <f t="shared" si="3"/>
        <v>Friday</v>
      </c>
      <c r="G219" t="s">
        <v>784</v>
      </c>
      <c r="H219" t="s">
        <v>3648</v>
      </c>
      <c r="I219" t="s">
        <v>17</v>
      </c>
      <c r="J219" t="s">
        <v>4104</v>
      </c>
      <c r="K219" t="s">
        <v>785</v>
      </c>
      <c r="L219">
        <v>9</v>
      </c>
      <c r="M219">
        <v>18</v>
      </c>
      <c r="N219" t="s">
        <v>368</v>
      </c>
      <c r="O219" t="s">
        <v>3432</v>
      </c>
      <c r="P219">
        <v>2023</v>
      </c>
      <c r="Q219">
        <v>2</v>
      </c>
      <c r="R219">
        <v>10</v>
      </c>
      <c r="S219">
        <v>17</v>
      </c>
      <c r="T219" t="str">
        <f>TEXT(Table1[[#This Row],[Month]],"MMMM")</f>
        <v>January</v>
      </c>
    </row>
    <row r="220" spans="1:20" x14ac:dyDescent="0.25">
      <c r="A220" t="s">
        <v>786</v>
      </c>
      <c r="B220" t="s">
        <v>2718</v>
      </c>
      <c r="C220" t="s">
        <v>720</v>
      </c>
      <c r="D220" t="s">
        <v>3230</v>
      </c>
      <c r="E220" s="1">
        <v>44048.510416666664</v>
      </c>
      <c r="F220" s="1" t="str">
        <f t="shared" si="3"/>
        <v>Wednesday</v>
      </c>
      <c r="G220" t="s">
        <v>787</v>
      </c>
      <c r="H220" t="s">
        <v>3649</v>
      </c>
      <c r="I220" t="s">
        <v>27</v>
      </c>
      <c r="J220" t="s">
        <v>4105</v>
      </c>
      <c r="K220" t="s">
        <v>788</v>
      </c>
      <c r="L220">
        <v>14</v>
      </c>
      <c r="M220">
        <v>28</v>
      </c>
      <c r="N220" t="s">
        <v>295</v>
      </c>
      <c r="O220" t="s">
        <v>3402</v>
      </c>
      <c r="P220">
        <v>2020</v>
      </c>
      <c r="Q220">
        <v>8</v>
      </c>
      <c r="R220">
        <v>5</v>
      </c>
      <c r="S220">
        <v>12</v>
      </c>
      <c r="T220" t="str">
        <f>TEXT(Table1[[#This Row],[Month]],"MMMM")</f>
        <v>January</v>
      </c>
    </row>
    <row r="221" spans="1:20" x14ac:dyDescent="0.25">
      <c r="A221" t="s">
        <v>789</v>
      </c>
      <c r="B221" t="s">
        <v>2719</v>
      </c>
      <c r="C221" t="s">
        <v>724</v>
      </c>
      <c r="D221" t="s">
        <v>3262</v>
      </c>
      <c r="E221" s="1">
        <v>44531.645833333336</v>
      </c>
      <c r="F221" s="1" t="str">
        <f t="shared" si="3"/>
        <v>Wednesday</v>
      </c>
      <c r="G221" t="s">
        <v>790</v>
      </c>
      <c r="H221" t="s">
        <v>3650</v>
      </c>
      <c r="I221" t="s">
        <v>32</v>
      </c>
      <c r="J221" t="s">
        <v>4106</v>
      </c>
      <c r="K221" t="s">
        <v>791</v>
      </c>
      <c r="L221">
        <v>10</v>
      </c>
      <c r="M221">
        <v>20</v>
      </c>
      <c r="N221" t="s">
        <v>205</v>
      </c>
      <c r="O221" t="s">
        <v>60</v>
      </c>
      <c r="P221">
        <v>2021</v>
      </c>
      <c r="Q221">
        <v>12</v>
      </c>
      <c r="R221">
        <v>1</v>
      </c>
      <c r="S221">
        <v>15</v>
      </c>
      <c r="T221" t="str">
        <f>TEXT(Table1[[#This Row],[Month]],"MMMM")</f>
        <v>January</v>
      </c>
    </row>
    <row r="222" spans="1:20" x14ac:dyDescent="0.25">
      <c r="A222" t="s">
        <v>792</v>
      </c>
      <c r="B222" t="s">
        <v>2720</v>
      </c>
      <c r="C222" t="s">
        <v>728</v>
      </c>
      <c r="D222" t="s">
        <v>3263</v>
      </c>
      <c r="E222" s="1">
        <v>43549.875</v>
      </c>
      <c r="F222" s="1" t="str">
        <f t="shared" si="3"/>
        <v>Monday</v>
      </c>
      <c r="G222" t="s">
        <v>793</v>
      </c>
      <c r="H222" t="s">
        <v>3651</v>
      </c>
      <c r="I222" t="s">
        <v>17</v>
      </c>
      <c r="J222" t="s">
        <v>4104</v>
      </c>
      <c r="K222" t="s">
        <v>794</v>
      </c>
      <c r="L222">
        <v>13</v>
      </c>
      <c r="M222">
        <v>26</v>
      </c>
      <c r="N222" t="s">
        <v>617</v>
      </c>
      <c r="O222" t="s">
        <v>3401</v>
      </c>
      <c r="P222">
        <v>2019</v>
      </c>
      <c r="Q222">
        <v>3</v>
      </c>
      <c r="R222">
        <v>25</v>
      </c>
      <c r="S222">
        <v>21</v>
      </c>
      <c r="T222" t="str">
        <f>TEXT(Table1[[#This Row],[Month]],"MMMM")</f>
        <v>January</v>
      </c>
    </row>
    <row r="223" spans="1:20" x14ac:dyDescent="0.25">
      <c r="A223" t="s">
        <v>795</v>
      </c>
      <c r="B223" t="s">
        <v>2721</v>
      </c>
      <c r="C223" t="s">
        <v>732</v>
      </c>
      <c r="D223" t="s">
        <v>3264</v>
      </c>
      <c r="E223" s="1">
        <v>42904.614583333336</v>
      </c>
      <c r="F223" s="1" t="str">
        <f t="shared" si="3"/>
        <v>Sunday</v>
      </c>
      <c r="G223" t="s">
        <v>796</v>
      </c>
      <c r="H223" t="s">
        <v>3652</v>
      </c>
      <c r="I223" t="s">
        <v>27</v>
      </c>
      <c r="J223" t="s">
        <v>4105</v>
      </c>
      <c r="K223" t="s">
        <v>797</v>
      </c>
      <c r="L223">
        <v>12</v>
      </c>
      <c r="M223">
        <v>25</v>
      </c>
      <c r="N223" t="s">
        <v>656</v>
      </c>
      <c r="O223" t="s">
        <v>3403</v>
      </c>
      <c r="P223">
        <v>2017</v>
      </c>
      <c r="Q223">
        <v>6</v>
      </c>
      <c r="R223">
        <v>18</v>
      </c>
      <c r="S223">
        <v>14</v>
      </c>
      <c r="T223" t="str">
        <f>TEXT(Table1[[#This Row],[Month]],"MMMM")</f>
        <v>January</v>
      </c>
    </row>
    <row r="224" spans="1:20" x14ac:dyDescent="0.25">
      <c r="A224" t="s">
        <v>798</v>
      </c>
      <c r="B224" t="s">
        <v>2722</v>
      </c>
      <c r="C224" t="s">
        <v>736</v>
      </c>
      <c r="D224" t="s">
        <v>3265</v>
      </c>
      <c r="E224" s="1">
        <v>44750.479166666664</v>
      </c>
      <c r="F224" s="1" t="str">
        <f t="shared" si="3"/>
        <v>Friday</v>
      </c>
      <c r="G224" t="s">
        <v>799</v>
      </c>
      <c r="H224" t="s">
        <v>3653</v>
      </c>
      <c r="I224" t="s">
        <v>32</v>
      </c>
      <c r="J224" t="s">
        <v>4106</v>
      </c>
      <c r="K224" t="s">
        <v>800</v>
      </c>
      <c r="L224">
        <v>15</v>
      </c>
      <c r="M224">
        <v>30</v>
      </c>
      <c r="N224" t="s">
        <v>295</v>
      </c>
      <c r="O224" t="s">
        <v>3402</v>
      </c>
      <c r="P224">
        <v>2022</v>
      </c>
      <c r="Q224">
        <v>7</v>
      </c>
      <c r="R224">
        <v>8</v>
      </c>
      <c r="S224">
        <v>11</v>
      </c>
      <c r="T224" t="str">
        <f>TEXT(Table1[[#This Row],[Month]],"MMMM")</f>
        <v>January</v>
      </c>
    </row>
    <row r="225" spans="1:20" x14ac:dyDescent="0.25">
      <c r="A225" t="s">
        <v>801</v>
      </c>
      <c r="B225" t="s">
        <v>2723</v>
      </c>
      <c r="C225" t="s">
        <v>740</v>
      </c>
      <c r="D225" t="s">
        <v>3225</v>
      </c>
      <c r="E225" s="1">
        <v>45061.680555555555</v>
      </c>
      <c r="F225" s="1" t="str">
        <f t="shared" si="3"/>
        <v>Monday</v>
      </c>
      <c r="G225" t="s">
        <v>802</v>
      </c>
      <c r="H225" t="s">
        <v>3654</v>
      </c>
      <c r="I225" t="s">
        <v>17</v>
      </c>
      <c r="J225" t="s">
        <v>4104</v>
      </c>
      <c r="K225" t="s">
        <v>803</v>
      </c>
      <c r="L225">
        <v>18</v>
      </c>
      <c r="M225">
        <v>36</v>
      </c>
      <c r="N225" t="s">
        <v>617</v>
      </c>
      <c r="O225" t="s">
        <v>3401</v>
      </c>
      <c r="P225">
        <v>2023</v>
      </c>
      <c r="Q225">
        <v>5</v>
      </c>
      <c r="R225">
        <v>15</v>
      </c>
      <c r="S225">
        <v>16</v>
      </c>
      <c r="T225" t="str">
        <f>TEXT(Table1[[#This Row],[Month]],"MMMM")</f>
        <v>January</v>
      </c>
    </row>
    <row r="226" spans="1:20" x14ac:dyDescent="0.25">
      <c r="A226" t="s">
        <v>804</v>
      </c>
      <c r="B226" t="s">
        <v>2724</v>
      </c>
      <c r="C226" t="s">
        <v>743</v>
      </c>
      <c r="D226" t="s">
        <v>3266</v>
      </c>
      <c r="E226" s="1">
        <v>44449.614583333336</v>
      </c>
      <c r="F226" s="1" t="str">
        <f t="shared" si="3"/>
        <v>Friday</v>
      </c>
      <c r="G226" t="s">
        <v>805</v>
      </c>
      <c r="H226" t="s">
        <v>3655</v>
      </c>
      <c r="I226" t="s">
        <v>27</v>
      </c>
      <c r="J226" t="s">
        <v>4105</v>
      </c>
      <c r="K226" t="s">
        <v>806</v>
      </c>
      <c r="L226">
        <v>20</v>
      </c>
      <c r="M226">
        <v>40</v>
      </c>
      <c r="N226" t="s">
        <v>368</v>
      </c>
      <c r="O226" t="s">
        <v>3432</v>
      </c>
      <c r="P226">
        <v>2021</v>
      </c>
      <c r="Q226">
        <v>9</v>
      </c>
      <c r="R226">
        <v>10</v>
      </c>
      <c r="S226">
        <v>14</v>
      </c>
      <c r="T226" t="str">
        <f>TEXT(Table1[[#This Row],[Month]],"MMMM")</f>
        <v>January</v>
      </c>
    </row>
    <row r="227" spans="1:20" x14ac:dyDescent="0.25">
      <c r="A227" t="s">
        <v>807</v>
      </c>
      <c r="B227" t="s">
        <v>2725</v>
      </c>
      <c r="C227" t="s">
        <v>747</v>
      </c>
      <c r="D227" t="s">
        <v>3238</v>
      </c>
      <c r="E227" s="1">
        <v>43889.770833333336</v>
      </c>
      <c r="F227" s="1" t="str">
        <f t="shared" si="3"/>
        <v>Friday</v>
      </c>
      <c r="G227" t="s">
        <v>808</v>
      </c>
      <c r="H227" t="s">
        <v>3656</v>
      </c>
      <c r="I227" t="s">
        <v>32</v>
      </c>
      <c r="J227" t="s">
        <v>4106</v>
      </c>
      <c r="K227" t="s">
        <v>809</v>
      </c>
      <c r="L227">
        <v>25</v>
      </c>
      <c r="M227">
        <v>50</v>
      </c>
      <c r="N227" t="s">
        <v>205</v>
      </c>
      <c r="O227" t="s">
        <v>60</v>
      </c>
      <c r="P227">
        <v>2020</v>
      </c>
      <c r="Q227">
        <v>2</v>
      </c>
      <c r="R227">
        <v>28</v>
      </c>
      <c r="S227">
        <v>18</v>
      </c>
      <c r="T227" t="str">
        <f>TEXT(Table1[[#This Row],[Month]],"MMMM")</f>
        <v>January</v>
      </c>
    </row>
    <row r="228" spans="1:20" x14ac:dyDescent="0.25">
      <c r="A228" t="s">
        <v>810</v>
      </c>
      <c r="B228" t="s">
        <v>2726</v>
      </c>
      <c r="C228" t="s">
        <v>716</v>
      </c>
      <c r="D228" t="s">
        <v>3261</v>
      </c>
      <c r="E228" s="1">
        <v>44995.6875</v>
      </c>
      <c r="F228" s="1" t="str">
        <f t="shared" si="3"/>
        <v>Friday</v>
      </c>
      <c r="G228" t="s">
        <v>811</v>
      </c>
      <c r="H228" t="s">
        <v>3657</v>
      </c>
      <c r="I228" t="s">
        <v>27</v>
      </c>
      <c r="J228" t="s">
        <v>4105</v>
      </c>
      <c r="K228" t="s">
        <v>812</v>
      </c>
      <c r="L228">
        <v>9</v>
      </c>
      <c r="M228">
        <v>18</v>
      </c>
      <c r="N228" t="s">
        <v>656</v>
      </c>
      <c r="O228" t="s">
        <v>3403</v>
      </c>
      <c r="P228">
        <v>2023</v>
      </c>
      <c r="Q228">
        <v>3</v>
      </c>
      <c r="R228">
        <v>10</v>
      </c>
      <c r="S228">
        <v>16</v>
      </c>
      <c r="T228" t="str">
        <f>TEXT(Table1[[#This Row],[Month]],"MMMM")</f>
        <v>January</v>
      </c>
    </row>
    <row r="229" spans="1:20" x14ac:dyDescent="0.25">
      <c r="A229" t="s">
        <v>813</v>
      </c>
      <c r="B229" t="s">
        <v>2727</v>
      </c>
      <c r="C229" t="s">
        <v>720</v>
      </c>
      <c r="D229" t="s">
        <v>3230</v>
      </c>
      <c r="E229" s="1">
        <v>44318.489583333336</v>
      </c>
      <c r="F229" s="1" t="str">
        <f t="shared" si="3"/>
        <v>Sunday</v>
      </c>
      <c r="G229" t="s">
        <v>814</v>
      </c>
      <c r="H229" t="s">
        <v>3658</v>
      </c>
      <c r="I229" t="s">
        <v>32</v>
      </c>
      <c r="J229" t="s">
        <v>4106</v>
      </c>
      <c r="K229" t="s">
        <v>758</v>
      </c>
      <c r="L229">
        <v>14</v>
      </c>
      <c r="M229">
        <v>28</v>
      </c>
      <c r="N229" t="s">
        <v>295</v>
      </c>
      <c r="O229" t="s">
        <v>3402</v>
      </c>
      <c r="P229">
        <v>2021</v>
      </c>
      <c r="Q229">
        <v>5</v>
      </c>
      <c r="R229">
        <v>2</v>
      </c>
      <c r="S229">
        <v>11</v>
      </c>
      <c r="T229" t="str">
        <f>TEXT(Table1[[#This Row],[Month]],"MMMM")</f>
        <v>January</v>
      </c>
    </row>
    <row r="230" spans="1:20" x14ac:dyDescent="0.25">
      <c r="A230" t="s">
        <v>815</v>
      </c>
      <c r="B230" t="s">
        <v>2728</v>
      </c>
      <c r="C230" t="s">
        <v>724</v>
      </c>
      <c r="D230" t="s">
        <v>3262</v>
      </c>
      <c r="E230" s="1">
        <v>43756.604166666664</v>
      </c>
      <c r="F230" s="1" t="str">
        <f t="shared" si="3"/>
        <v>Friday</v>
      </c>
      <c r="G230" t="s">
        <v>816</v>
      </c>
      <c r="H230" t="s">
        <v>3659</v>
      </c>
      <c r="I230" t="s">
        <v>17</v>
      </c>
      <c r="J230" t="s">
        <v>4104</v>
      </c>
      <c r="K230" t="s">
        <v>817</v>
      </c>
      <c r="L230">
        <v>11</v>
      </c>
      <c r="M230">
        <v>22</v>
      </c>
      <c r="N230" t="s">
        <v>368</v>
      </c>
      <c r="O230" t="s">
        <v>3432</v>
      </c>
      <c r="P230">
        <v>2019</v>
      </c>
      <c r="Q230">
        <v>10</v>
      </c>
      <c r="R230">
        <v>18</v>
      </c>
      <c r="S230">
        <v>14</v>
      </c>
      <c r="T230" t="str">
        <f>TEXT(Table1[[#This Row],[Month]],"MMMM")</f>
        <v>January</v>
      </c>
    </row>
    <row r="231" spans="1:20" x14ac:dyDescent="0.25">
      <c r="A231" t="s">
        <v>818</v>
      </c>
      <c r="B231" t="s">
        <v>2729</v>
      </c>
      <c r="C231" t="s">
        <v>728</v>
      </c>
      <c r="D231" t="s">
        <v>3263</v>
      </c>
      <c r="E231" s="1">
        <v>43835.833333333336</v>
      </c>
      <c r="F231" s="1" t="str">
        <f t="shared" si="3"/>
        <v>Sunday</v>
      </c>
      <c r="G231" t="s">
        <v>819</v>
      </c>
      <c r="H231" t="s">
        <v>3660</v>
      </c>
      <c r="I231" t="s">
        <v>27</v>
      </c>
      <c r="J231" t="s">
        <v>4105</v>
      </c>
      <c r="K231" t="s">
        <v>820</v>
      </c>
      <c r="L231">
        <v>13</v>
      </c>
      <c r="M231">
        <v>26</v>
      </c>
      <c r="N231" t="s">
        <v>205</v>
      </c>
      <c r="O231" t="s">
        <v>60</v>
      </c>
      <c r="P231">
        <v>2020</v>
      </c>
      <c r="Q231">
        <v>1</v>
      </c>
      <c r="R231">
        <v>5</v>
      </c>
      <c r="S231">
        <v>20</v>
      </c>
      <c r="T231" t="str">
        <f>TEXT(Table1[[#This Row],[Month]],"MMMM")</f>
        <v>January</v>
      </c>
    </row>
    <row r="232" spans="1:20" x14ac:dyDescent="0.25">
      <c r="A232" t="s">
        <v>821</v>
      </c>
      <c r="B232" t="s">
        <v>2730</v>
      </c>
      <c r="C232" t="s">
        <v>732</v>
      </c>
      <c r="D232" t="s">
        <v>3264</v>
      </c>
      <c r="E232" s="1">
        <v>43322.65625</v>
      </c>
      <c r="F232" s="1" t="str">
        <f t="shared" si="3"/>
        <v>Friday</v>
      </c>
      <c r="G232" t="s">
        <v>822</v>
      </c>
      <c r="H232" t="s">
        <v>3661</v>
      </c>
      <c r="I232" t="s">
        <v>32</v>
      </c>
      <c r="J232" t="s">
        <v>4106</v>
      </c>
      <c r="K232" t="s">
        <v>823</v>
      </c>
      <c r="L232">
        <v>12</v>
      </c>
      <c r="M232">
        <v>25</v>
      </c>
      <c r="N232" t="s">
        <v>617</v>
      </c>
      <c r="O232" t="s">
        <v>3401</v>
      </c>
      <c r="P232">
        <v>2018</v>
      </c>
      <c r="Q232">
        <v>8</v>
      </c>
      <c r="R232">
        <v>10</v>
      </c>
      <c r="S232">
        <v>15</v>
      </c>
      <c r="T232" t="str">
        <f>TEXT(Table1[[#This Row],[Month]],"MMMM")</f>
        <v>January</v>
      </c>
    </row>
    <row r="233" spans="1:20" x14ac:dyDescent="0.25">
      <c r="A233" t="s">
        <v>824</v>
      </c>
      <c r="B233" t="s">
        <v>2731</v>
      </c>
      <c r="C233" t="s">
        <v>736</v>
      </c>
      <c r="D233" t="s">
        <v>3265</v>
      </c>
      <c r="E233" s="1">
        <v>44576.4375</v>
      </c>
      <c r="F233" s="1" t="str">
        <f t="shared" si="3"/>
        <v>Saturday</v>
      </c>
      <c r="G233" t="s">
        <v>825</v>
      </c>
      <c r="H233" t="s">
        <v>3662</v>
      </c>
      <c r="I233" t="s">
        <v>17</v>
      </c>
      <c r="J233" t="s">
        <v>4104</v>
      </c>
      <c r="K233" t="s">
        <v>826</v>
      </c>
      <c r="L233">
        <v>15</v>
      </c>
      <c r="M233">
        <v>30</v>
      </c>
      <c r="N233" t="s">
        <v>656</v>
      </c>
      <c r="O233" t="s">
        <v>3403</v>
      </c>
      <c r="P233">
        <v>2022</v>
      </c>
      <c r="Q233">
        <v>1</v>
      </c>
      <c r="R233">
        <v>15</v>
      </c>
      <c r="S233">
        <v>10</v>
      </c>
      <c r="T233" t="str">
        <f>TEXT(Table1[[#This Row],[Month]],"MMMM")</f>
        <v>January</v>
      </c>
    </row>
    <row r="234" spans="1:20" x14ac:dyDescent="0.25">
      <c r="A234" t="s">
        <v>827</v>
      </c>
      <c r="B234" t="s">
        <v>2732</v>
      </c>
      <c r="C234" t="s">
        <v>740</v>
      </c>
      <c r="D234" t="s">
        <v>3225</v>
      </c>
      <c r="E234" s="1">
        <v>44397.680555555555</v>
      </c>
      <c r="F234" s="1" t="str">
        <f t="shared" si="3"/>
        <v>Tuesday</v>
      </c>
      <c r="G234" t="s">
        <v>828</v>
      </c>
      <c r="H234" t="s">
        <v>3663</v>
      </c>
      <c r="I234" t="s">
        <v>27</v>
      </c>
      <c r="J234" t="s">
        <v>4105</v>
      </c>
      <c r="K234" t="s">
        <v>829</v>
      </c>
      <c r="L234">
        <v>18</v>
      </c>
      <c r="M234">
        <v>36</v>
      </c>
      <c r="N234" t="s">
        <v>608</v>
      </c>
      <c r="O234" t="s">
        <v>3402</v>
      </c>
      <c r="P234">
        <v>2021</v>
      </c>
      <c r="Q234">
        <v>7</v>
      </c>
      <c r="R234">
        <v>20</v>
      </c>
      <c r="S234">
        <v>16</v>
      </c>
      <c r="T234" t="str">
        <f>TEXT(Table1[[#This Row],[Month]],"MMMM")</f>
        <v>January</v>
      </c>
    </row>
    <row r="235" spans="1:20" x14ac:dyDescent="0.25">
      <c r="A235" t="s">
        <v>830</v>
      </c>
      <c r="B235" t="s">
        <v>2733</v>
      </c>
      <c r="C235" t="s">
        <v>743</v>
      </c>
      <c r="D235" t="s">
        <v>3266</v>
      </c>
      <c r="E235" s="1">
        <v>43802.572916666664</v>
      </c>
      <c r="F235" s="1" t="str">
        <f t="shared" si="3"/>
        <v>Tuesday</v>
      </c>
      <c r="G235" t="s">
        <v>831</v>
      </c>
      <c r="H235" t="s">
        <v>3664</v>
      </c>
      <c r="I235" t="s">
        <v>32</v>
      </c>
      <c r="J235" t="s">
        <v>4106</v>
      </c>
      <c r="K235" t="s">
        <v>832</v>
      </c>
      <c r="L235">
        <v>20</v>
      </c>
      <c r="M235">
        <v>40</v>
      </c>
      <c r="N235" t="s">
        <v>205</v>
      </c>
      <c r="O235" t="s">
        <v>60</v>
      </c>
      <c r="P235">
        <v>2019</v>
      </c>
      <c r="Q235">
        <v>12</v>
      </c>
      <c r="R235">
        <v>3</v>
      </c>
      <c r="S235">
        <v>13</v>
      </c>
      <c r="T235" t="str">
        <f>TEXT(Table1[[#This Row],[Month]],"MMMM")</f>
        <v>January</v>
      </c>
    </row>
    <row r="236" spans="1:20" x14ac:dyDescent="0.25">
      <c r="A236" t="s">
        <v>833</v>
      </c>
      <c r="B236" t="s">
        <v>2734</v>
      </c>
      <c r="C236" t="s">
        <v>747</v>
      </c>
      <c r="D236" t="s">
        <v>3238</v>
      </c>
      <c r="E236" s="1">
        <v>43933.8125</v>
      </c>
      <c r="F236" s="1" t="str">
        <f t="shared" si="3"/>
        <v>Sunday</v>
      </c>
      <c r="G236" t="s">
        <v>834</v>
      </c>
      <c r="H236" t="s">
        <v>3665</v>
      </c>
      <c r="I236" t="s">
        <v>17</v>
      </c>
      <c r="J236" t="s">
        <v>4104</v>
      </c>
      <c r="K236" t="s">
        <v>835</v>
      </c>
      <c r="L236">
        <v>25</v>
      </c>
      <c r="M236">
        <v>50</v>
      </c>
      <c r="N236" t="s">
        <v>617</v>
      </c>
      <c r="O236" t="s">
        <v>3401</v>
      </c>
      <c r="P236">
        <v>2020</v>
      </c>
      <c r="Q236">
        <v>4</v>
      </c>
      <c r="R236">
        <v>12</v>
      </c>
      <c r="S236">
        <v>19</v>
      </c>
      <c r="T236" t="str">
        <f>TEXT(Table1[[#This Row],[Month]],"MMMM")</f>
        <v>January</v>
      </c>
    </row>
    <row r="237" spans="1:20" x14ac:dyDescent="0.25">
      <c r="A237" t="s">
        <v>836</v>
      </c>
      <c r="B237" t="s">
        <v>2735</v>
      </c>
      <c r="C237" t="s">
        <v>712</v>
      </c>
      <c r="D237" t="s">
        <v>3260</v>
      </c>
      <c r="E237" s="1">
        <v>44689.364583333336</v>
      </c>
      <c r="F237" s="1" t="str">
        <f t="shared" si="3"/>
        <v>Sunday</v>
      </c>
      <c r="G237" t="s">
        <v>837</v>
      </c>
      <c r="H237" t="s">
        <v>3666</v>
      </c>
      <c r="I237" t="s">
        <v>27</v>
      </c>
      <c r="J237" t="s">
        <v>4105</v>
      </c>
      <c r="K237" t="s">
        <v>838</v>
      </c>
      <c r="L237">
        <v>22</v>
      </c>
      <c r="M237">
        <v>45</v>
      </c>
      <c r="N237" t="s">
        <v>368</v>
      </c>
      <c r="O237" t="s">
        <v>3432</v>
      </c>
      <c r="P237">
        <v>2022</v>
      </c>
      <c r="Q237">
        <v>5</v>
      </c>
      <c r="R237">
        <v>8</v>
      </c>
      <c r="S237">
        <v>8</v>
      </c>
      <c r="T237" t="str">
        <f>TEXT(Table1[[#This Row],[Month]],"MMMM")</f>
        <v>January</v>
      </c>
    </row>
    <row r="238" spans="1:20" x14ac:dyDescent="0.25">
      <c r="A238" t="s">
        <v>839</v>
      </c>
      <c r="B238" t="s">
        <v>2736</v>
      </c>
      <c r="C238" t="s">
        <v>716</v>
      </c>
      <c r="D238" t="s">
        <v>3261</v>
      </c>
      <c r="E238" s="1">
        <v>44979.708333333336</v>
      </c>
      <c r="F238" s="1" t="str">
        <f t="shared" si="3"/>
        <v>Wednesday</v>
      </c>
      <c r="G238" t="s">
        <v>840</v>
      </c>
      <c r="H238" t="s">
        <v>3667</v>
      </c>
      <c r="I238" t="s">
        <v>32</v>
      </c>
      <c r="J238" t="s">
        <v>4106</v>
      </c>
      <c r="K238" t="s">
        <v>785</v>
      </c>
      <c r="L238">
        <v>9</v>
      </c>
      <c r="M238">
        <v>18</v>
      </c>
      <c r="N238" t="s">
        <v>656</v>
      </c>
      <c r="O238" t="s">
        <v>3403</v>
      </c>
      <c r="P238">
        <v>2023</v>
      </c>
      <c r="Q238">
        <v>2</v>
      </c>
      <c r="R238">
        <v>22</v>
      </c>
      <c r="S238">
        <v>17</v>
      </c>
      <c r="T238" t="str">
        <f>TEXT(Table1[[#This Row],[Month]],"MMMM")</f>
        <v>January</v>
      </c>
    </row>
    <row r="239" spans="1:20" x14ac:dyDescent="0.25">
      <c r="A239" t="s">
        <v>841</v>
      </c>
      <c r="B239" t="s">
        <v>2737</v>
      </c>
      <c r="C239" t="s">
        <v>720</v>
      </c>
      <c r="D239" t="s">
        <v>3230</v>
      </c>
      <c r="E239" s="1">
        <v>43987.510416666664</v>
      </c>
      <c r="F239" s="1" t="str">
        <f t="shared" si="3"/>
        <v>Friday</v>
      </c>
      <c r="G239" t="s">
        <v>842</v>
      </c>
      <c r="H239" t="s">
        <v>3668</v>
      </c>
      <c r="I239" t="s">
        <v>17</v>
      </c>
      <c r="J239" t="s">
        <v>4104</v>
      </c>
      <c r="K239" t="s">
        <v>843</v>
      </c>
      <c r="L239">
        <v>14</v>
      </c>
      <c r="M239">
        <v>28</v>
      </c>
      <c r="N239" t="s">
        <v>295</v>
      </c>
      <c r="O239" t="s">
        <v>3402</v>
      </c>
      <c r="P239">
        <v>2020</v>
      </c>
      <c r="Q239">
        <v>6</v>
      </c>
      <c r="R239">
        <v>5</v>
      </c>
      <c r="S239">
        <v>12</v>
      </c>
      <c r="T239" t="str">
        <f>TEXT(Table1[[#This Row],[Month]],"MMMM")</f>
        <v>January</v>
      </c>
    </row>
    <row r="240" spans="1:20" x14ac:dyDescent="0.25">
      <c r="A240" t="s">
        <v>844</v>
      </c>
      <c r="B240" t="s">
        <v>2738</v>
      </c>
      <c r="C240" t="s">
        <v>724</v>
      </c>
      <c r="D240" t="s">
        <v>3262</v>
      </c>
      <c r="E240" s="1">
        <v>44530.645833333336</v>
      </c>
      <c r="F240" s="1" t="str">
        <f t="shared" si="3"/>
        <v>Tuesday</v>
      </c>
      <c r="G240" t="s">
        <v>845</v>
      </c>
      <c r="H240" t="s">
        <v>3669</v>
      </c>
      <c r="I240" t="s">
        <v>27</v>
      </c>
      <c r="J240" t="s">
        <v>4105</v>
      </c>
      <c r="K240" t="s">
        <v>846</v>
      </c>
      <c r="L240">
        <v>10</v>
      </c>
      <c r="M240">
        <v>20</v>
      </c>
      <c r="N240" t="s">
        <v>617</v>
      </c>
      <c r="O240" t="s">
        <v>3401</v>
      </c>
      <c r="P240">
        <v>2021</v>
      </c>
      <c r="Q240">
        <v>11</v>
      </c>
      <c r="R240">
        <v>30</v>
      </c>
      <c r="S240">
        <v>15</v>
      </c>
      <c r="T240" t="str">
        <f>TEXT(Table1[[#This Row],[Month]],"MMMM")</f>
        <v>January</v>
      </c>
    </row>
    <row r="241" spans="1:20" x14ac:dyDescent="0.25">
      <c r="A241" t="s">
        <v>847</v>
      </c>
      <c r="B241" t="s">
        <v>2739</v>
      </c>
      <c r="C241" t="s">
        <v>728</v>
      </c>
      <c r="D241" t="s">
        <v>3263</v>
      </c>
      <c r="E241" s="1">
        <v>43521.875</v>
      </c>
      <c r="F241" s="1" t="str">
        <f t="shared" si="3"/>
        <v>Monday</v>
      </c>
      <c r="G241" t="s">
        <v>848</v>
      </c>
      <c r="H241" t="s">
        <v>3670</v>
      </c>
      <c r="I241" t="s">
        <v>32</v>
      </c>
      <c r="J241" t="s">
        <v>4106</v>
      </c>
      <c r="K241" t="s">
        <v>849</v>
      </c>
      <c r="L241">
        <v>13</v>
      </c>
      <c r="M241">
        <v>26</v>
      </c>
      <c r="N241" t="s">
        <v>368</v>
      </c>
      <c r="O241" t="s">
        <v>3432</v>
      </c>
      <c r="P241">
        <v>2019</v>
      </c>
      <c r="Q241">
        <v>2</v>
      </c>
      <c r="R241">
        <v>25</v>
      </c>
      <c r="S241">
        <v>21</v>
      </c>
      <c r="T241" t="str">
        <f>TEXT(Table1[[#This Row],[Month]],"MMMM")</f>
        <v>January</v>
      </c>
    </row>
    <row r="242" spans="1:20" x14ac:dyDescent="0.25">
      <c r="A242" t="s">
        <v>850</v>
      </c>
      <c r="B242" t="s">
        <v>2740</v>
      </c>
      <c r="C242" t="s">
        <v>732</v>
      </c>
      <c r="D242" t="s">
        <v>3264</v>
      </c>
      <c r="E242" s="1">
        <v>42873.614583333336</v>
      </c>
      <c r="F242" s="1" t="str">
        <f t="shared" si="3"/>
        <v>Thursday</v>
      </c>
      <c r="G242" t="s">
        <v>851</v>
      </c>
      <c r="H242" t="s">
        <v>3671</v>
      </c>
      <c r="I242" t="s">
        <v>17</v>
      </c>
      <c r="J242" t="s">
        <v>4104</v>
      </c>
      <c r="K242" t="s">
        <v>852</v>
      </c>
      <c r="L242">
        <v>12</v>
      </c>
      <c r="M242">
        <v>25</v>
      </c>
      <c r="N242" t="s">
        <v>205</v>
      </c>
      <c r="O242" t="s">
        <v>60</v>
      </c>
      <c r="P242">
        <v>2017</v>
      </c>
      <c r="Q242">
        <v>5</v>
      </c>
      <c r="R242">
        <v>18</v>
      </c>
      <c r="S242">
        <v>14</v>
      </c>
      <c r="T242" t="str">
        <f>TEXT(Table1[[#This Row],[Month]],"MMMM")</f>
        <v>January</v>
      </c>
    </row>
    <row r="243" spans="1:20" x14ac:dyDescent="0.25">
      <c r="A243" t="s">
        <v>853</v>
      </c>
      <c r="B243" t="s">
        <v>2741</v>
      </c>
      <c r="C243" t="s">
        <v>736</v>
      </c>
      <c r="D243" t="s">
        <v>3265</v>
      </c>
      <c r="E243" s="1">
        <v>44778.479166666664</v>
      </c>
      <c r="F243" s="1" t="str">
        <f t="shared" si="3"/>
        <v>Friday</v>
      </c>
      <c r="G243" t="s">
        <v>854</v>
      </c>
      <c r="H243" t="s">
        <v>3672</v>
      </c>
      <c r="I243" t="s">
        <v>27</v>
      </c>
      <c r="J243" t="s">
        <v>4105</v>
      </c>
      <c r="K243" t="s">
        <v>855</v>
      </c>
      <c r="L243">
        <v>15</v>
      </c>
      <c r="M243">
        <v>30</v>
      </c>
      <c r="N243" t="s">
        <v>617</v>
      </c>
      <c r="O243" t="s">
        <v>3401</v>
      </c>
      <c r="P243">
        <v>2022</v>
      </c>
      <c r="Q243">
        <v>8</v>
      </c>
      <c r="R243">
        <v>5</v>
      </c>
      <c r="S243">
        <v>11</v>
      </c>
      <c r="T243" t="str">
        <f>TEXT(Table1[[#This Row],[Month]],"MMMM")</f>
        <v>January</v>
      </c>
    </row>
    <row r="244" spans="1:20" x14ac:dyDescent="0.25">
      <c r="A244" t="s">
        <v>856</v>
      </c>
      <c r="B244" t="s">
        <v>2742</v>
      </c>
      <c r="C244" t="s">
        <v>740</v>
      </c>
      <c r="D244" t="s">
        <v>3225</v>
      </c>
      <c r="E244" s="1">
        <v>45092.680555555555</v>
      </c>
      <c r="F244" s="1" t="str">
        <f t="shared" si="3"/>
        <v>Thursday</v>
      </c>
      <c r="G244" t="s">
        <v>857</v>
      </c>
      <c r="H244" t="s">
        <v>3673</v>
      </c>
      <c r="I244" t="s">
        <v>32</v>
      </c>
      <c r="J244" t="s">
        <v>4106</v>
      </c>
      <c r="K244" t="s">
        <v>858</v>
      </c>
      <c r="L244">
        <v>18</v>
      </c>
      <c r="M244">
        <v>36</v>
      </c>
      <c r="N244" t="s">
        <v>295</v>
      </c>
      <c r="O244" t="s">
        <v>3402</v>
      </c>
      <c r="P244">
        <v>2023</v>
      </c>
      <c r="Q244">
        <v>6</v>
      </c>
      <c r="R244">
        <v>15</v>
      </c>
      <c r="S244">
        <v>16</v>
      </c>
      <c r="T244" t="str">
        <f>TEXT(Table1[[#This Row],[Month]],"MMMM")</f>
        <v>January</v>
      </c>
    </row>
    <row r="245" spans="1:20" x14ac:dyDescent="0.25">
      <c r="A245" t="s">
        <v>859</v>
      </c>
      <c r="B245" t="s">
        <v>2743</v>
      </c>
      <c r="C245" t="s">
        <v>743</v>
      </c>
      <c r="D245" t="s">
        <v>3266</v>
      </c>
      <c r="E245" s="1">
        <v>44479.614583333336</v>
      </c>
      <c r="F245" s="1" t="str">
        <f t="shared" si="3"/>
        <v>Sunday</v>
      </c>
      <c r="G245" t="s">
        <v>860</v>
      </c>
      <c r="H245" t="s">
        <v>3674</v>
      </c>
      <c r="I245" t="s">
        <v>17</v>
      </c>
      <c r="J245" t="s">
        <v>4104</v>
      </c>
      <c r="K245" t="s">
        <v>861</v>
      </c>
      <c r="L245">
        <v>20</v>
      </c>
      <c r="M245">
        <v>40</v>
      </c>
      <c r="N245" t="s">
        <v>368</v>
      </c>
      <c r="O245" t="s">
        <v>3432</v>
      </c>
      <c r="P245">
        <v>2021</v>
      </c>
      <c r="Q245">
        <v>10</v>
      </c>
      <c r="R245">
        <v>10</v>
      </c>
      <c r="S245">
        <v>14</v>
      </c>
      <c r="T245" t="str">
        <f>TEXT(Table1[[#This Row],[Month]],"MMMM")</f>
        <v>January</v>
      </c>
    </row>
    <row r="246" spans="1:20" x14ac:dyDescent="0.25">
      <c r="A246" t="s">
        <v>862</v>
      </c>
      <c r="B246" t="s">
        <v>2744</v>
      </c>
      <c r="C246" t="s">
        <v>747</v>
      </c>
      <c r="D246" t="s">
        <v>3238</v>
      </c>
      <c r="E246" s="1">
        <v>43963.8125</v>
      </c>
      <c r="F246" s="1" t="str">
        <f t="shared" si="3"/>
        <v>Tuesday</v>
      </c>
      <c r="G246" t="s">
        <v>863</v>
      </c>
      <c r="H246" t="s">
        <v>3675</v>
      </c>
      <c r="I246" t="s">
        <v>27</v>
      </c>
      <c r="J246" t="s">
        <v>4105</v>
      </c>
      <c r="K246" t="s">
        <v>864</v>
      </c>
      <c r="L246">
        <v>25</v>
      </c>
      <c r="M246">
        <v>50</v>
      </c>
      <c r="N246" t="s">
        <v>205</v>
      </c>
      <c r="O246" t="s">
        <v>60</v>
      </c>
      <c r="P246">
        <v>2020</v>
      </c>
      <c r="Q246">
        <v>5</v>
      </c>
      <c r="R246">
        <v>12</v>
      </c>
      <c r="S246">
        <v>19</v>
      </c>
      <c r="T246" t="str">
        <f>TEXT(Table1[[#This Row],[Month]],"MMMM")</f>
        <v>January</v>
      </c>
    </row>
    <row r="247" spans="1:20" x14ac:dyDescent="0.25">
      <c r="A247" t="s">
        <v>865</v>
      </c>
      <c r="B247" t="s">
        <v>2745</v>
      </c>
      <c r="C247" t="s">
        <v>712</v>
      </c>
      <c r="D247" t="s">
        <v>3260</v>
      </c>
      <c r="E247" s="1">
        <v>44896.385416666664</v>
      </c>
      <c r="F247" s="1" t="str">
        <f t="shared" si="3"/>
        <v>Thursday</v>
      </c>
      <c r="G247" t="s">
        <v>866</v>
      </c>
      <c r="H247" t="s">
        <v>3676</v>
      </c>
      <c r="I247" t="s">
        <v>32</v>
      </c>
      <c r="J247" t="s">
        <v>4106</v>
      </c>
      <c r="K247" t="s">
        <v>867</v>
      </c>
      <c r="L247">
        <v>22</v>
      </c>
      <c r="M247">
        <v>44</v>
      </c>
      <c r="N247" t="s">
        <v>656</v>
      </c>
      <c r="O247" t="s">
        <v>3403</v>
      </c>
      <c r="P247">
        <v>2022</v>
      </c>
      <c r="Q247">
        <v>12</v>
      </c>
      <c r="R247">
        <v>1</v>
      </c>
      <c r="S247">
        <v>9</v>
      </c>
      <c r="T247" t="str">
        <f>TEXT(Table1[[#This Row],[Month]],"MMMM")</f>
        <v>January</v>
      </c>
    </row>
    <row r="248" spans="1:20" x14ac:dyDescent="0.25">
      <c r="A248" t="s">
        <v>868</v>
      </c>
      <c r="B248" t="s">
        <v>2738</v>
      </c>
      <c r="C248" t="s">
        <v>869</v>
      </c>
      <c r="D248" t="s">
        <v>3262</v>
      </c>
      <c r="E248" s="1">
        <v>44530.645833333336</v>
      </c>
      <c r="F248" s="1" t="str">
        <f t="shared" si="3"/>
        <v>Tuesday</v>
      </c>
      <c r="G248" t="s">
        <v>870</v>
      </c>
      <c r="H248" t="s">
        <v>3669</v>
      </c>
      <c r="I248" t="s">
        <v>27</v>
      </c>
      <c r="J248" t="s">
        <v>4105</v>
      </c>
      <c r="K248" t="s">
        <v>871</v>
      </c>
      <c r="L248">
        <v>10</v>
      </c>
      <c r="M248">
        <v>20</v>
      </c>
      <c r="N248" t="s">
        <v>124</v>
      </c>
      <c r="O248" t="s">
        <v>3401</v>
      </c>
      <c r="P248">
        <v>2021</v>
      </c>
      <c r="Q248">
        <v>11</v>
      </c>
      <c r="R248">
        <v>30</v>
      </c>
      <c r="S248">
        <v>15</v>
      </c>
      <c r="T248" t="str">
        <f>TEXT(Table1[[#This Row],[Month]],"MMMM")</f>
        <v>January</v>
      </c>
    </row>
    <row r="249" spans="1:20" x14ac:dyDescent="0.25">
      <c r="A249" t="s">
        <v>872</v>
      </c>
      <c r="B249" t="s">
        <v>2746</v>
      </c>
      <c r="C249" t="s">
        <v>873</v>
      </c>
      <c r="D249" t="s">
        <v>3267</v>
      </c>
      <c r="E249" s="1">
        <v>43293.739583333336</v>
      </c>
      <c r="F249" s="1" t="str">
        <f t="shared" si="3"/>
        <v>Thursday</v>
      </c>
      <c r="G249" t="s">
        <v>874</v>
      </c>
      <c r="H249" t="s">
        <v>3677</v>
      </c>
      <c r="I249" t="s">
        <v>875</v>
      </c>
      <c r="J249" t="s">
        <v>4104</v>
      </c>
      <c r="K249" t="s">
        <v>876</v>
      </c>
      <c r="L249">
        <v>15</v>
      </c>
      <c r="M249">
        <v>30</v>
      </c>
      <c r="N249" t="s">
        <v>99</v>
      </c>
      <c r="O249" t="s">
        <v>60</v>
      </c>
      <c r="P249">
        <v>2018</v>
      </c>
      <c r="Q249">
        <v>7</v>
      </c>
      <c r="R249">
        <v>12</v>
      </c>
      <c r="S249">
        <v>17</v>
      </c>
      <c r="T249" t="str">
        <f>TEXT(Table1[[#This Row],[Month]],"MMMM")</f>
        <v>January</v>
      </c>
    </row>
    <row r="250" spans="1:20" x14ac:dyDescent="0.25">
      <c r="A250" t="s">
        <v>877</v>
      </c>
      <c r="B250" t="s">
        <v>2747</v>
      </c>
      <c r="C250" t="s">
        <v>878</v>
      </c>
      <c r="D250" t="s">
        <v>3237</v>
      </c>
      <c r="E250" s="1">
        <v>44079.840277777781</v>
      </c>
      <c r="F250" s="1" t="str">
        <f t="shared" si="3"/>
        <v>Saturday</v>
      </c>
      <c r="G250" t="s">
        <v>879</v>
      </c>
      <c r="H250" t="s">
        <v>3678</v>
      </c>
      <c r="I250" t="s">
        <v>32</v>
      </c>
      <c r="J250" t="s">
        <v>4106</v>
      </c>
      <c r="K250" t="s">
        <v>880</v>
      </c>
      <c r="L250">
        <v>18</v>
      </c>
      <c r="M250">
        <v>36</v>
      </c>
      <c r="N250" t="s">
        <v>39</v>
      </c>
      <c r="O250" t="s">
        <v>3402</v>
      </c>
      <c r="P250">
        <v>2020</v>
      </c>
      <c r="Q250">
        <v>9</v>
      </c>
      <c r="R250">
        <v>5</v>
      </c>
      <c r="S250">
        <v>20</v>
      </c>
      <c r="T250" t="str">
        <f>TEXT(Table1[[#This Row],[Month]],"MMMM")</f>
        <v>January</v>
      </c>
    </row>
    <row r="251" spans="1:20" x14ac:dyDescent="0.25">
      <c r="A251" t="s">
        <v>881</v>
      </c>
      <c r="B251" t="s">
        <v>2748</v>
      </c>
      <c r="C251" t="s">
        <v>882</v>
      </c>
      <c r="D251" t="s">
        <v>3268</v>
      </c>
      <c r="E251" s="1">
        <v>44669.333333333336</v>
      </c>
      <c r="F251" s="1" t="str">
        <f t="shared" si="3"/>
        <v>Monday</v>
      </c>
      <c r="G251" t="s">
        <v>883</v>
      </c>
      <c r="H251" t="s">
        <v>3679</v>
      </c>
      <c r="I251" t="s">
        <v>27</v>
      </c>
      <c r="J251" t="s">
        <v>4105</v>
      </c>
      <c r="K251" t="s">
        <v>884</v>
      </c>
      <c r="L251">
        <v>12</v>
      </c>
      <c r="M251">
        <v>24</v>
      </c>
      <c r="N251" t="s">
        <v>165</v>
      </c>
      <c r="O251" t="s">
        <v>3403</v>
      </c>
      <c r="P251">
        <v>2022</v>
      </c>
      <c r="Q251">
        <v>4</v>
      </c>
      <c r="R251">
        <v>18</v>
      </c>
      <c r="S251">
        <v>8</v>
      </c>
      <c r="T251" t="str">
        <f>TEXT(Table1[[#This Row],[Month]],"MMMM")</f>
        <v>January</v>
      </c>
    </row>
    <row r="252" spans="1:20" x14ac:dyDescent="0.25">
      <c r="A252" t="s">
        <v>885</v>
      </c>
      <c r="B252" t="s">
        <v>2749</v>
      </c>
      <c r="C252" t="s">
        <v>886</v>
      </c>
      <c r="D252" t="s">
        <v>3269</v>
      </c>
      <c r="E252" s="1">
        <v>43809.513888888891</v>
      </c>
      <c r="F252" s="1" t="str">
        <f t="shared" si="3"/>
        <v>Tuesday</v>
      </c>
      <c r="G252" t="s">
        <v>887</v>
      </c>
      <c r="H252" t="s">
        <v>3680</v>
      </c>
      <c r="I252" t="s">
        <v>875</v>
      </c>
      <c r="J252" t="s">
        <v>4104</v>
      </c>
      <c r="K252" t="s">
        <v>888</v>
      </c>
      <c r="L252">
        <v>25</v>
      </c>
      <c r="M252">
        <v>50</v>
      </c>
      <c r="N252" t="s">
        <v>124</v>
      </c>
      <c r="O252" t="s">
        <v>3401</v>
      </c>
      <c r="P252">
        <v>2019</v>
      </c>
      <c r="Q252">
        <v>12</v>
      </c>
      <c r="R252">
        <v>10</v>
      </c>
      <c r="S252">
        <v>12</v>
      </c>
      <c r="T252" t="str">
        <f>TEXT(Table1[[#This Row],[Month]],"MMMM")</f>
        <v>January</v>
      </c>
    </row>
    <row r="253" spans="1:20" x14ac:dyDescent="0.25">
      <c r="A253" t="s">
        <v>889</v>
      </c>
      <c r="B253" t="s">
        <v>2750</v>
      </c>
      <c r="C253" t="s">
        <v>890</v>
      </c>
      <c r="D253" t="s">
        <v>3270</v>
      </c>
      <c r="E253" s="1">
        <v>44985.40625</v>
      </c>
      <c r="F253" s="1" t="str">
        <f t="shared" si="3"/>
        <v>Tuesday</v>
      </c>
      <c r="G253" t="s">
        <v>891</v>
      </c>
      <c r="H253" t="s">
        <v>3681</v>
      </c>
      <c r="I253" t="s">
        <v>32</v>
      </c>
      <c r="J253" t="s">
        <v>4106</v>
      </c>
      <c r="K253" t="s">
        <v>892</v>
      </c>
      <c r="L253">
        <v>20</v>
      </c>
      <c r="M253">
        <v>40</v>
      </c>
      <c r="N253" t="s">
        <v>99</v>
      </c>
      <c r="O253" t="s">
        <v>60</v>
      </c>
      <c r="P253">
        <v>2023</v>
      </c>
      <c r="Q253">
        <v>2</v>
      </c>
      <c r="R253">
        <v>28</v>
      </c>
      <c r="S253">
        <v>9</v>
      </c>
      <c r="T253" t="str">
        <f>TEXT(Table1[[#This Row],[Month]],"MMMM")</f>
        <v>January</v>
      </c>
    </row>
    <row r="254" spans="1:20" x14ac:dyDescent="0.25">
      <c r="A254" t="s">
        <v>893</v>
      </c>
      <c r="B254" t="s">
        <v>2751</v>
      </c>
      <c r="C254" t="s">
        <v>894</v>
      </c>
      <c r="D254" t="s">
        <v>3271</v>
      </c>
      <c r="E254" s="1">
        <v>43193.59375</v>
      </c>
      <c r="F254" s="1" t="str">
        <f t="shared" si="3"/>
        <v>Tuesday</v>
      </c>
      <c r="G254" t="s">
        <v>895</v>
      </c>
      <c r="H254" t="s">
        <v>3644</v>
      </c>
      <c r="I254" t="s">
        <v>27</v>
      </c>
      <c r="J254" t="s">
        <v>4105</v>
      </c>
      <c r="K254" t="s">
        <v>896</v>
      </c>
      <c r="L254">
        <v>15</v>
      </c>
      <c r="M254">
        <v>30</v>
      </c>
      <c r="N254" t="s">
        <v>110</v>
      </c>
      <c r="O254" t="s">
        <v>3432</v>
      </c>
      <c r="P254">
        <v>2018</v>
      </c>
      <c r="Q254">
        <v>4</v>
      </c>
      <c r="R254">
        <v>3</v>
      </c>
      <c r="S254">
        <v>14</v>
      </c>
      <c r="T254" t="str">
        <f>TEXT(Table1[[#This Row],[Month]],"MMMM")</f>
        <v>January</v>
      </c>
    </row>
    <row r="255" spans="1:20" x14ac:dyDescent="0.25">
      <c r="A255" t="s">
        <v>897</v>
      </c>
      <c r="B255" t="s">
        <v>2752</v>
      </c>
      <c r="C255" t="s">
        <v>898</v>
      </c>
      <c r="D255" t="s">
        <v>3272</v>
      </c>
      <c r="E255" s="1">
        <v>44732.4375</v>
      </c>
      <c r="F255" s="1" t="str">
        <f t="shared" si="3"/>
        <v>Monday</v>
      </c>
      <c r="G255" t="s">
        <v>899</v>
      </c>
      <c r="H255" t="s">
        <v>3682</v>
      </c>
      <c r="I255" t="s">
        <v>875</v>
      </c>
      <c r="J255" t="s">
        <v>4104</v>
      </c>
      <c r="K255" t="s">
        <v>900</v>
      </c>
      <c r="L255">
        <v>18</v>
      </c>
      <c r="M255">
        <v>36</v>
      </c>
      <c r="N255" t="s">
        <v>39</v>
      </c>
      <c r="O255" t="s">
        <v>3402</v>
      </c>
      <c r="P255">
        <v>2022</v>
      </c>
      <c r="Q255">
        <v>6</v>
      </c>
      <c r="R255">
        <v>20</v>
      </c>
      <c r="S255">
        <v>10</v>
      </c>
      <c r="T255" t="str">
        <f>TEXT(Table1[[#This Row],[Month]],"MMMM")</f>
        <v>January</v>
      </c>
    </row>
    <row r="256" spans="1:20" x14ac:dyDescent="0.25">
      <c r="A256" t="s">
        <v>901</v>
      </c>
      <c r="B256" t="s">
        <v>2753</v>
      </c>
      <c r="C256" t="s">
        <v>902</v>
      </c>
      <c r="D256" t="s">
        <v>3273</v>
      </c>
      <c r="E256" s="1">
        <v>44020.75</v>
      </c>
      <c r="F256" s="1" t="str">
        <f t="shared" si="3"/>
        <v>Wednesday</v>
      </c>
      <c r="G256" t="s">
        <v>903</v>
      </c>
      <c r="H256" t="s">
        <v>3683</v>
      </c>
      <c r="I256" t="s">
        <v>32</v>
      </c>
      <c r="J256" t="s">
        <v>4106</v>
      </c>
      <c r="K256" t="s">
        <v>904</v>
      </c>
      <c r="L256">
        <v>22</v>
      </c>
      <c r="M256">
        <v>44</v>
      </c>
      <c r="N256" t="s">
        <v>124</v>
      </c>
      <c r="O256" t="s">
        <v>3401</v>
      </c>
      <c r="P256">
        <v>2020</v>
      </c>
      <c r="Q256">
        <v>7</v>
      </c>
      <c r="R256">
        <v>8</v>
      </c>
      <c r="S256">
        <v>18</v>
      </c>
      <c r="T256" t="str">
        <f>TEXT(Table1[[#This Row],[Month]],"MMMM")</f>
        <v>January</v>
      </c>
    </row>
    <row r="257" spans="1:20" x14ac:dyDescent="0.25">
      <c r="A257" t="s">
        <v>905</v>
      </c>
      <c r="B257" t="s">
        <v>2754</v>
      </c>
      <c r="C257" t="s">
        <v>906</v>
      </c>
      <c r="D257" t="s">
        <v>3274</v>
      </c>
      <c r="E257" s="1">
        <v>44423.465277777781</v>
      </c>
      <c r="F257" s="1" t="str">
        <f t="shared" si="3"/>
        <v>Sunday</v>
      </c>
      <c r="G257" t="s">
        <v>907</v>
      </c>
      <c r="H257" t="s">
        <v>3684</v>
      </c>
      <c r="I257" t="s">
        <v>27</v>
      </c>
      <c r="J257" t="s">
        <v>4105</v>
      </c>
      <c r="K257" t="s">
        <v>908</v>
      </c>
      <c r="L257">
        <v>20</v>
      </c>
      <c r="M257">
        <v>40</v>
      </c>
      <c r="N257" t="s">
        <v>165</v>
      </c>
      <c r="O257" t="s">
        <v>3403</v>
      </c>
      <c r="P257">
        <v>2021</v>
      </c>
      <c r="Q257">
        <v>8</v>
      </c>
      <c r="R257">
        <v>15</v>
      </c>
      <c r="S257">
        <v>11</v>
      </c>
      <c r="T257" t="str">
        <f>TEXT(Table1[[#This Row],[Month]],"MMMM")</f>
        <v>January</v>
      </c>
    </row>
    <row r="258" spans="1:20" x14ac:dyDescent="0.25">
      <c r="A258" t="s">
        <v>909</v>
      </c>
      <c r="B258" t="s">
        <v>2755</v>
      </c>
      <c r="C258" t="s">
        <v>910</v>
      </c>
      <c r="D258" t="s">
        <v>3275</v>
      </c>
      <c r="E258" s="1">
        <v>43763.701388888891</v>
      </c>
      <c r="F258" s="1" t="str">
        <f t="shared" si="3"/>
        <v>Friday</v>
      </c>
      <c r="G258" t="s">
        <v>911</v>
      </c>
      <c r="H258" t="s">
        <v>3685</v>
      </c>
      <c r="I258" t="s">
        <v>875</v>
      </c>
      <c r="J258" t="s">
        <v>4104</v>
      </c>
      <c r="K258" t="s">
        <v>912</v>
      </c>
      <c r="L258">
        <v>15</v>
      </c>
      <c r="M258">
        <v>30</v>
      </c>
      <c r="N258" t="s">
        <v>110</v>
      </c>
      <c r="O258" t="s">
        <v>3432</v>
      </c>
      <c r="P258">
        <v>2019</v>
      </c>
      <c r="Q258">
        <v>10</v>
      </c>
      <c r="R258">
        <v>25</v>
      </c>
      <c r="S258">
        <v>16</v>
      </c>
      <c r="T258" t="str">
        <f>TEXT(Table1[[#This Row],[Month]],"MMMM")</f>
        <v>January</v>
      </c>
    </row>
    <row r="259" spans="1:20" x14ac:dyDescent="0.25">
      <c r="A259" t="s">
        <v>913</v>
      </c>
      <c r="B259" t="s">
        <v>2756</v>
      </c>
      <c r="C259" t="s">
        <v>882</v>
      </c>
      <c r="D259" t="s">
        <v>3268</v>
      </c>
      <c r="E259" s="1">
        <v>45204.3125</v>
      </c>
      <c r="F259" s="1" t="str">
        <f t="shared" ref="F259:F322" si="4">TEXT(E259,"DDDD")</f>
        <v>Thursday</v>
      </c>
      <c r="G259" t="s">
        <v>914</v>
      </c>
      <c r="H259" t="s">
        <v>3686</v>
      </c>
      <c r="I259" t="s">
        <v>32</v>
      </c>
      <c r="J259" t="s">
        <v>4106</v>
      </c>
      <c r="K259" t="s">
        <v>915</v>
      </c>
      <c r="L259">
        <v>12</v>
      </c>
      <c r="M259">
        <v>24</v>
      </c>
      <c r="N259" t="s">
        <v>99</v>
      </c>
      <c r="O259" t="s">
        <v>60</v>
      </c>
      <c r="P259">
        <v>2023</v>
      </c>
      <c r="Q259">
        <v>10</v>
      </c>
      <c r="R259">
        <v>5</v>
      </c>
      <c r="S259">
        <v>7</v>
      </c>
      <c r="T259" t="str">
        <f>TEXT(Table1[[#This Row],[Month]],"MMMM")</f>
        <v>January</v>
      </c>
    </row>
    <row r="260" spans="1:20" x14ac:dyDescent="0.25">
      <c r="A260" t="s">
        <v>916</v>
      </c>
      <c r="B260" t="s">
        <v>2757</v>
      </c>
      <c r="C260" t="s">
        <v>917</v>
      </c>
      <c r="D260" t="s">
        <v>3276</v>
      </c>
      <c r="E260" s="1">
        <v>44607.552083333336</v>
      </c>
      <c r="F260" s="1" t="str">
        <f t="shared" si="4"/>
        <v>Tuesday</v>
      </c>
      <c r="G260" t="s">
        <v>918</v>
      </c>
      <c r="H260" t="s">
        <v>3687</v>
      </c>
      <c r="I260" t="s">
        <v>27</v>
      </c>
      <c r="J260" t="s">
        <v>4105</v>
      </c>
      <c r="K260" t="s">
        <v>919</v>
      </c>
      <c r="L260">
        <v>25</v>
      </c>
      <c r="M260">
        <v>50</v>
      </c>
      <c r="N260" t="s">
        <v>39</v>
      </c>
      <c r="O260" t="s">
        <v>3402</v>
      </c>
      <c r="P260">
        <v>2022</v>
      </c>
      <c r="Q260">
        <v>2</v>
      </c>
      <c r="R260">
        <v>15</v>
      </c>
      <c r="S260">
        <v>13</v>
      </c>
      <c r="T260" t="str">
        <f>TEXT(Table1[[#This Row],[Month]],"MMMM")</f>
        <v>January</v>
      </c>
    </row>
    <row r="261" spans="1:20" x14ac:dyDescent="0.25">
      <c r="A261" t="s">
        <v>920</v>
      </c>
      <c r="B261" t="s">
        <v>2758</v>
      </c>
      <c r="C261" t="s">
        <v>921</v>
      </c>
      <c r="D261" t="s">
        <v>3238</v>
      </c>
      <c r="E261" s="1">
        <v>44324.916666666664</v>
      </c>
      <c r="F261" s="1" t="str">
        <f t="shared" si="4"/>
        <v>Saturday</v>
      </c>
      <c r="G261" t="s">
        <v>922</v>
      </c>
      <c r="H261" t="s">
        <v>3688</v>
      </c>
      <c r="I261" t="s">
        <v>875</v>
      </c>
      <c r="J261" t="s">
        <v>4104</v>
      </c>
      <c r="K261" t="s">
        <v>923</v>
      </c>
      <c r="L261">
        <v>13</v>
      </c>
      <c r="M261">
        <v>26</v>
      </c>
      <c r="N261" t="s">
        <v>124</v>
      </c>
      <c r="O261" t="s">
        <v>3401</v>
      </c>
      <c r="P261">
        <v>2021</v>
      </c>
      <c r="Q261">
        <v>5</v>
      </c>
      <c r="R261">
        <v>8</v>
      </c>
      <c r="S261">
        <v>22</v>
      </c>
      <c r="T261" t="str">
        <f>TEXT(Table1[[#This Row],[Month]],"MMMM")</f>
        <v>January</v>
      </c>
    </row>
    <row r="262" spans="1:20" x14ac:dyDescent="0.25">
      <c r="A262" t="s">
        <v>924</v>
      </c>
      <c r="B262" t="s">
        <v>2759</v>
      </c>
      <c r="C262" t="s">
        <v>925</v>
      </c>
      <c r="D262" t="s">
        <v>3260</v>
      </c>
      <c r="E262" s="1">
        <v>44164.614583333336</v>
      </c>
      <c r="F262" s="1" t="str">
        <f t="shared" si="4"/>
        <v>Sunday</v>
      </c>
      <c r="G262" t="s">
        <v>926</v>
      </c>
      <c r="H262" t="s">
        <v>3689</v>
      </c>
      <c r="I262" t="s">
        <v>27</v>
      </c>
      <c r="J262" t="s">
        <v>4105</v>
      </c>
      <c r="K262" t="s">
        <v>927</v>
      </c>
      <c r="L262">
        <v>17</v>
      </c>
      <c r="M262">
        <v>34</v>
      </c>
      <c r="N262" t="s">
        <v>99</v>
      </c>
      <c r="O262" t="s">
        <v>60</v>
      </c>
      <c r="P262">
        <v>2020</v>
      </c>
      <c r="Q262">
        <v>11</v>
      </c>
      <c r="R262">
        <v>29</v>
      </c>
      <c r="S262">
        <v>14</v>
      </c>
      <c r="T262" t="str">
        <f>TEXT(Table1[[#This Row],[Month]],"MMMM")</f>
        <v>January</v>
      </c>
    </row>
    <row r="263" spans="1:20" x14ac:dyDescent="0.25">
      <c r="A263" t="s">
        <v>928</v>
      </c>
      <c r="B263" t="s">
        <v>2760</v>
      </c>
      <c r="C263" t="s">
        <v>929</v>
      </c>
      <c r="D263" t="s">
        <v>3265</v>
      </c>
      <c r="E263" s="1">
        <v>43722.430555555555</v>
      </c>
      <c r="F263" s="1" t="str">
        <f t="shared" si="4"/>
        <v>Saturday</v>
      </c>
      <c r="G263" t="s">
        <v>930</v>
      </c>
      <c r="H263" t="s">
        <v>3690</v>
      </c>
      <c r="I263" t="s">
        <v>32</v>
      </c>
      <c r="J263" t="s">
        <v>4106</v>
      </c>
      <c r="K263" t="s">
        <v>931</v>
      </c>
      <c r="L263">
        <v>14</v>
      </c>
      <c r="M263">
        <v>28</v>
      </c>
      <c r="N263" t="s">
        <v>110</v>
      </c>
      <c r="O263" t="s">
        <v>3432</v>
      </c>
      <c r="P263">
        <v>2019</v>
      </c>
      <c r="Q263">
        <v>9</v>
      </c>
      <c r="R263">
        <v>14</v>
      </c>
      <c r="S263">
        <v>10</v>
      </c>
      <c r="T263" t="str">
        <f>TEXT(Table1[[#This Row],[Month]],"MMMM")</f>
        <v>January</v>
      </c>
    </row>
    <row r="264" spans="1:20" x14ac:dyDescent="0.25">
      <c r="A264" t="s">
        <v>932</v>
      </c>
      <c r="B264" t="s">
        <v>2761</v>
      </c>
      <c r="C264" t="s">
        <v>890</v>
      </c>
      <c r="D264" t="s">
        <v>3270</v>
      </c>
      <c r="E264" s="1">
        <v>44632.829861111109</v>
      </c>
      <c r="F264" s="1" t="str">
        <f t="shared" si="4"/>
        <v>Saturday</v>
      </c>
      <c r="G264" t="s">
        <v>933</v>
      </c>
      <c r="H264" t="s">
        <v>3691</v>
      </c>
      <c r="I264" t="s">
        <v>875</v>
      </c>
      <c r="J264" t="s">
        <v>4104</v>
      </c>
      <c r="K264" t="s">
        <v>934</v>
      </c>
      <c r="L264">
        <v>19</v>
      </c>
      <c r="M264">
        <v>38</v>
      </c>
      <c r="N264" t="s">
        <v>39</v>
      </c>
      <c r="O264" t="s">
        <v>3402</v>
      </c>
      <c r="P264">
        <v>2022</v>
      </c>
      <c r="Q264">
        <v>3</v>
      </c>
      <c r="R264">
        <v>12</v>
      </c>
      <c r="S264">
        <v>19</v>
      </c>
      <c r="T264" t="str">
        <f>TEXT(Table1[[#This Row],[Month]],"MMMM")</f>
        <v>January</v>
      </c>
    </row>
    <row r="265" spans="1:20" x14ac:dyDescent="0.25">
      <c r="A265" t="s">
        <v>935</v>
      </c>
      <c r="B265" t="s">
        <v>2762</v>
      </c>
      <c r="C265" t="s">
        <v>873</v>
      </c>
      <c r="D265" t="s">
        <v>3267</v>
      </c>
      <c r="E265" s="1">
        <v>45015.6875</v>
      </c>
      <c r="F265" s="1" t="str">
        <f t="shared" si="4"/>
        <v>Thursday</v>
      </c>
      <c r="G265" t="s">
        <v>936</v>
      </c>
      <c r="H265" t="s">
        <v>3692</v>
      </c>
      <c r="I265" t="s">
        <v>27</v>
      </c>
      <c r="J265" t="s">
        <v>4105</v>
      </c>
      <c r="K265" t="s">
        <v>937</v>
      </c>
      <c r="L265">
        <v>16</v>
      </c>
      <c r="M265">
        <v>32</v>
      </c>
      <c r="N265" t="s">
        <v>165</v>
      </c>
      <c r="O265" t="s">
        <v>3403</v>
      </c>
      <c r="P265">
        <v>2023</v>
      </c>
      <c r="Q265">
        <v>3</v>
      </c>
      <c r="R265">
        <v>30</v>
      </c>
      <c r="S265">
        <v>16</v>
      </c>
      <c r="T265" t="str">
        <f>TEXT(Table1[[#This Row],[Month]],"MMMM")</f>
        <v>January</v>
      </c>
    </row>
    <row r="266" spans="1:20" x14ac:dyDescent="0.25">
      <c r="A266" t="s">
        <v>938</v>
      </c>
      <c r="B266" t="s">
        <v>2763</v>
      </c>
      <c r="C266" t="s">
        <v>898</v>
      </c>
      <c r="D266" t="s">
        <v>3272</v>
      </c>
      <c r="E266" s="1">
        <v>44378.506944444445</v>
      </c>
      <c r="F266" s="1" t="str">
        <f t="shared" si="4"/>
        <v>Thursday</v>
      </c>
      <c r="G266" t="s">
        <v>939</v>
      </c>
      <c r="H266" t="s">
        <v>3693</v>
      </c>
      <c r="I266" t="s">
        <v>32</v>
      </c>
      <c r="J266" t="s">
        <v>4106</v>
      </c>
      <c r="K266" t="s">
        <v>940</v>
      </c>
      <c r="L266">
        <v>21</v>
      </c>
      <c r="M266">
        <v>42</v>
      </c>
      <c r="N266" t="s">
        <v>124</v>
      </c>
      <c r="O266" t="s">
        <v>3401</v>
      </c>
      <c r="P266">
        <v>2021</v>
      </c>
      <c r="Q266">
        <v>7</v>
      </c>
      <c r="R266">
        <v>1</v>
      </c>
      <c r="S266">
        <v>12</v>
      </c>
      <c r="T266" t="str">
        <f>TEXT(Table1[[#This Row],[Month]],"MMMM")</f>
        <v>January</v>
      </c>
    </row>
    <row r="267" spans="1:20" x14ac:dyDescent="0.25">
      <c r="A267" t="s">
        <v>941</v>
      </c>
      <c r="B267" t="s">
        <v>2764</v>
      </c>
      <c r="C267" t="s">
        <v>886</v>
      </c>
      <c r="D267" t="s">
        <v>3269</v>
      </c>
      <c r="E267" s="1">
        <v>43835.364583333336</v>
      </c>
      <c r="F267" s="1" t="str">
        <f t="shared" si="4"/>
        <v>Sunday</v>
      </c>
      <c r="G267" t="s">
        <v>942</v>
      </c>
      <c r="H267" t="s">
        <v>3694</v>
      </c>
      <c r="I267" t="s">
        <v>875</v>
      </c>
      <c r="J267" t="s">
        <v>4104</v>
      </c>
      <c r="K267" t="s">
        <v>943</v>
      </c>
      <c r="L267">
        <v>23</v>
      </c>
      <c r="M267">
        <v>46</v>
      </c>
      <c r="N267" t="s">
        <v>99</v>
      </c>
      <c r="O267" t="s">
        <v>60</v>
      </c>
      <c r="P267">
        <v>2020</v>
      </c>
      <c r="Q267">
        <v>1</v>
      </c>
      <c r="R267">
        <v>5</v>
      </c>
      <c r="S267">
        <v>8</v>
      </c>
      <c r="T267" t="str">
        <f>TEXT(Table1[[#This Row],[Month]],"MMMM")</f>
        <v>January</v>
      </c>
    </row>
    <row r="268" spans="1:20" x14ac:dyDescent="0.25">
      <c r="A268" t="s">
        <v>944</v>
      </c>
      <c r="B268" t="s">
        <v>2765</v>
      </c>
      <c r="C268" t="s">
        <v>882</v>
      </c>
      <c r="D268" t="s">
        <v>3268</v>
      </c>
      <c r="E268" s="1">
        <v>44759.260416666664</v>
      </c>
      <c r="F268" s="1" t="str">
        <f t="shared" si="4"/>
        <v>Sunday</v>
      </c>
      <c r="G268" t="s">
        <v>945</v>
      </c>
      <c r="H268" t="s">
        <v>3695</v>
      </c>
      <c r="I268" t="s">
        <v>27</v>
      </c>
      <c r="J268" t="s">
        <v>4105</v>
      </c>
      <c r="K268" t="s">
        <v>946</v>
      </c>
      <c r="L268">
        <v>14</v>
      </c>
      <c r="M268">
        <v>28</v>
      </c>
      <c r="N268" t="s">
        <v>110</v>
      </c>
      <c r="O268" t="s">
        <v>3432</v>
      </c>
      <c r="P268">
        <v>2022</v>
      </c>
      <c r="Q268">
        <v>7</v>
      </c>
      <c r="R268">
        <v>17</v>
      </c>
      <c r="S268">
        <v>6</v>
      </c>
      <c r="T268" t="str">
        <f>TEXT(Table1[[#This Row],[Month]],"MMMM")</f>
        <v>January</v>
      </c>
    </row>
    <row r="269" spans="1:20" x14ac:dyDescent="0.25">
      <c r="A269" t="s">
        <v>947</v>
      </c>
      <c r="B269" t="s">
        <v>2766</v>
      </c>
      <c r="C269" t="s">
        <v>902</v>
      </c>
      <c r="D269" t="s">
        <v>3273</v>
      </c>
      <c r="E269" s="1">
        <v>43334.722222222219</v>
      </c>
      <c r="F269" s="1" t="str">
        <f t="shared" si="4"/>
        <v>Wednesday</v>
      </c>
      <c r="G269" t="s">
        <v>948</v>
      </c>
      <c r="H269" t="s">
        <v>3696</v>
      </c>
      <c r="I269" t="s">
        <v>32</v>
      </c>
      <c r="J269" t="s">
        <v>4106</v>
      </c>
      <c r="K269" t="s">
        <v>949</v>
      </c>
      <c r="L269">
        <v>24</v>
      </c>
      <c r="M269">
        <v>48</v>
      </c>
      <c r="N269" t="s">
        <v>39</v>
      </c>
      <c r="O269" t="s">
        <v>3402</v>
      </c>
      <c r="P269">
        <v>2018</v>
      </c>
      <c r="Q269">
        <v>8</v>
      </c>
      <c r="R269">
        <v>22</v>
      </c>
      <c r="S269">
        <v>17</v>
      </c>
      <c r="T269" t="str">
        <f>TEXT(Table1[[#This Row],[Month]],"MMMM")</f>
        <v>January</v>
      </c>
    </row>
    <row r="270" spans="1:20" x14ac:dyDescent="0.25">
      <c r="A270" t="s">
        <v>950</v>
      </c>
      <c r="B270" t="s">
        <v>2767</v>
      </c>
      <c r="C270" t="s">
        <v>910</v>
      </c>
      <c r="D270" t="s">
        <v>3275</v>
      </c>
      <c r="E270" s="1">
        <v>44538.604166666664</v>
      </c>
      <c r="F270" s="1" t="str">
        <f t="shared" si="4"/>
        <v>Wednesday</v>
      </c>
      <c r="G270" t="s">
        <v>951</v>
      </c>
      <c r="H270" t="s">
        <v>3697</v>
      </c>
      <c r="I270" t="s">
        <v>875</v>
      </c>
      <c r="J270" t="s">
        <v>4104</v>
      </c>
      <c r="K270" t="s">
        <v>952</v>
      </c>
      <c r="L270">
        <v>18</v>
      </c>
      <c r="M270">
        <v>36</v>
      </c>
      <c r="N270" t="s">
        <v>165</v>
      </c>
      <c r="O270" t="s">
        <v>3403</v>
      </c>
      <c r="P270">
        <v>2021</v>
      </c>
      <c r="Q270">
        <v>12</v>
      </c>
      <c r="R270">
        <v>8</v>
      </c>
      <c r="S270">
        <v>14</v>
      </c>
      <c r="T270" t="str">
        <f>TEXT(Table1[[#This Row],[Month]],"MMMM")</f>
        <v>January</v>
      </c>
    </row>
    <row r="271" spans="1:20" x14ac:dyDescent="0.25">
      <c r="A271" t="s">
        <v>953</v>
      </c>
      <c r="B271" t="s">
        <v>2768</v>
      </c>
      <c r="C271" t="s">
        <v>878</v>
      </c>
      <c r="D271" t="s">
        <v>3237</v>
      </c>
      <c r="E271" s="1">
        <v>43582.409722222219</v>
      </c>
      <c r="F271" s="1" t="str">
        <f t="shared" si="4"/>
        <v>Saturday</v>
      </c>
      <c r="G271" t="s">
        <v>954</v>
      </c>
      <c r="H271" t="s">
        <v>3698</v>
      </c>
      <c r="I271" t="s">
        <v>27</v>
      </c>
      <c r="J271" t="s">
        <v>4105</v>
      </c>
      <c r="K271" t="s">
        <v>955</v>
      </c>
      <c r="L271">
        <v>20</v>
      </c>
      <c r="M271">
        <v>40</v>
      </c>
      <c r="N271" t="s">
        <v>124</v>
      </c>
      <c r="O271" t="s">
        <v>3401</v>
      </c>
      <c r="P271">
        <v>2019</v>
      </c>
      <c r="Q271">
        <v>4</v>
      </c>
      <c r="R271">
        <v>27</v>
      </c>
      <c r="S271">
        <v>9</v>
      </c>
      <c r="T271" t="str">
        <f>TEXT(Table1[[#This Row],[Month]],"MMMM")</f>
        <v>January</v>
      </c>
    </row>
    <row r="272" spans="1:20" x14ac:dyDescent="0.25">
      <c r="A272" t="s">
        <v>956</v>
      </c>
      <c r="B272" t="s">
        <v>2769</v>
      </c>
      <c r="C272" t="s">
        <v>894</v>
      </c>
      <c r="D272" t="s">
        <v>3271</v>
      </c>
      <c r="E272" s="1">
        <v>45172.902777777781</v>
      </c>
      <c r="F272" s="1" t="str">
        <f t="shared" si="4"/>
        <v>Sunday</v>
      </c>
      <c r="G272" t="s">
        <v>957</v>
      </c>
      <c r="H272" t="s">
        <v>3699</v>
      </c>
      <c r="I272" t="s">
        <v>32</v>
      </c>
      <c r="J272" t="s">
        <v>4106</v>
      </c>
      <c r="K272" t="s">
        <v>958</v>
      </c>
      <c r="L272">
        <v>16</v>
      </c>
      <c r="M272">
        <v>32</v>
      </c>
      <c r="N272" t="s">
        <v>99</v>
      </c>
      <c r="O272" t="s">
        <v>60</v>
      </c>
      <c r="P272">
        <v>2023</v>
      </c>
      <c r="Q272">
        <v>9</v>
      </c>
      <c r="R272">
        <v>3</v>
      </c>
      <c r="S272">
        <v>21</v>
      </c>
      <c r="T272" t="str">
        <f>TEXT(Table1[[#This Row],[Month]],"MMMM")</f>
        <v>January</v>
      </c>
    </row>
    <row r="273" spans="1:20" x14ac:dyDescent="0.25">
      <c r="A273" t="s">
        <v>959</v>
      </c>
      <c r="B273" t="s">
        <v>2770</v>
      </c>
      <c r="C273" t="s">
        <v>906</v>
      </c>
      <c r="D273" t="s">
        <v>3274</v>
      </c>
      <c r="E273" s="1">
        <v>43992.420138888891</v>
      </c>
      <c r="F273" s="1" t="str">
        <f t="shared" si="4"/>
        <v>Wednesday</v>
      </c>
      <c r="G273" t="s">
        <v>960</v>
      </c>
      <c r="H273" t="s">
        <v>3700</v>
      </c>
      <c r="I273" t="s">
        <v>875</v>
      </c>
      <c r="J273" t="s">
        <v>4104</v>
      </c>
      <c r="K273" t="s">
        <v>961</v>
      </c>
      <c r="L273">
        <v>22</v>
      </c>
      <c r="M273">
        <v>44</v>
      </c>
      <c r="N273" t="s">
        <v>110</v>
      </c>
      <c r="O273" t="s">
        <v>3432</v>
      </c>
      <c r="P273">
        <v>2020</v>
      </c>
      <c r="Q273">
        <v>6</v>
      </c>
      <c r="R273">
        <v>10</v>
      </c>
      <c r="S273">
        <v>10</v>
      </c>
      <c r="T273" t="str">
        <f>TEXT(Table1[[#This Row],[Month]],"MMMM")</f>
        <v>January</v>
      </c>
    </row>
    <row r="274" spans="1:20" x14ac:dyDescent="0.25">
      <c r="A274" t="s">
        <v>962</v>
      </c>
      <c r="B274" t="s">
        <v>2771</v>
      </c>
      <c r="C274" t="s">
        <v>890</v>
      </c>
      <c r="D274" t="s">
        <v>3270</v>
      </c>
      <c r="E274" s="1">
        <v>44652.770833333336</v>
      </c>
      <c r="F274" s="1" t="str">
        <f t="shared" si="4"/>
        <v>Friday</v>
      </c>
      <c r="G274" t="s">
        <v>963</v>
      </c>
      <c r="H274" t="s">
        <v>3701</v>
      </c>
      <c r="I274" t="s">
        <v>27</v>
      </c>
      <c r="J274" t="s">
        <v>4105</v>
      </c>
      <c r="K274" t="s">
        <v>964</v>
      </c>
      <c r="L274">
        <v>19</v>
      </c>
      <c r="M274">
        <v>38</v>
      </c>
      <c r="N274" t="s">
        <v>39</v>
      </c>
      <c r="O274" t="s">
        <v>3402</v>
      </c>
      <c r="P274">
        <v>2022</v>
      </c>
      <c r="Q274">
        <v>4</v>
      </c>
      <c r="R274">
        <v>1</v>
      </c>
      <c r="S274">
        <v>18</v>
      </c>
      <c r="T274" t="str">
        <f>TEXT(Table1[[#This Row],[Month]],"MMMM")</f>
        <v>January</v>
      </c>
    </row>
    <row r="275" spans="1:20" x14ac:dyDescent="0.25">
      <c r="A275" t="s">
        <v>965</v>
      </c>
      <c r="B275" t="s">
        <v>2772</v>
      </c>
      <c r="C275" t="s">
        <v>917</v>
      </c>
      <c r="D275" t="s">
        <v>3276</v>
      </c>
      <c r="E275" s="1">
        <v>44211.541666666664</v>
      </c>
      <c r="F275" s="1" t="str">
        <f t="shared" si="4"/>
        <v>Friday</v>
      </c>
      <c r="G275" t="s">
        <v>966</v>
      </c>
      <c r="H275" t="s">
        <v>3702</v>
      </c>
      <c r="I275" t="s">
        <v>32</v>
      </c>
      <c r="J275" t="s">
        <v>4106</v>
      </c>
      <c r="K275" t="s">
        <v>967</v>
      </c>
      <c r="L275">
        <v>23</v>
      </c>
      <c r="M275">
        <v>46</v>
      </c>
      <c r="N275" t="s">
        <v>124</v>
      </c>
      <c r="O275" t="s">
        <v>3401</v>
      </c>
      <c r="P275">
        <v>2021</v>
      </c>
      <c r="Q275">
        <v>1</v>
      </c>
      <c r="R275">
        <v>15</v>
      </c>
      <c r="S275">
        <v>13</v>
      </c>
      <c r="T275" t="str">
        <f>TEXT(Table1[[#This Row],[Month]],"MMMM")</f>
        <v>January</v>
      </c>
    </row>
    <row r="276" spans="1:20" x14ac:dyDescent="0.25">
      <c r="A276" t="s">
        <v>968</v>
      </c>
      <c r="B276" t="s">
        <v>2773</v>
      </c>
      <c r="C276" t="s">
        <v>882</v>
      </c>
      <c r="D276" t="s">
        <v>3268</v>
      </c>
      <c r="E276" s="1">
        <v>45052.305555555555</v>
      </c>
      <c r="F276" s="1" t="str">
        <f t="shared" si="4"/>
        <v>Saturday</v>
      </c>
      <c r="G276" t="s">
        <v>969</v>
      </c>
      <c r="H276" t="s">
        <v>3703</v>
      </c>
      <c r="I276" t="s">
        <v>875</v>
      </c>
      <c r="J276" t="s">
        <v>4104</v>
      </c>
      <c r="K276" t="s">
        <v>970</v>
      </c>
      <c r="L276">
        <v>15</v>
      </c>
      <c r="M276">
        <v>30</v>
      </c>
      <c r="N276" t="s">
        <v>165</v>
      </c>
      <c r="O276" t="s">
        <v>3403</v>
      </c>
      <c r="P276">
        <v>2023</v>
      </c>
      <c r="Q276">
        <v>5</v>
      </c>
      <c r="R276">
        <v>6</v>
      </c>
      <c r="S276">
        <v>7</v>
      </c>
      <c r="T276" t="str">
        <f>TEXT(Table1[[#This Row],[Month]],"MMMM")</f>
        <v>January</v>
      </c>
    </row>
    <row r="277" spans="1:20" x14ac:dyDescent="0.25">
      <c r="A277" t="s">
        <v>971</v>
      </c>
      <c r="B277" t="s">
        <v>2774</v>
      </c>
      <c r="C277" t="s">
        <v>902</v>
      </c>
      <c r="D277" t="s">
        <v>3273</v>
      </c>
      <c r="E277" s="1">
        <v>43787.635416666664</v>
      </c>
      <c r="F277" s="1" t="str">
        <f t="shared" si="4"/>
        <v>Monday</v>
      </c>
      <c r="G277" t="s">
        <v>972</v>
      </c>
      <c r="H277" t="s">
        <v>3704</v>
      </c>
      <c r="I277" t="s">
        <v>27</v>
      </c>
      <c r="J277" t="s">
        <v>4105</v>
      </c>
      <c r="K277" t="s">
        <v>973</v>
      </c>
      <c r="L277">
        <v>25</v>
      </c>
      <c r="M277">
        <v>50</v>
      </c>
      <c r="N277" t="s">
        <v>99</v>
      </c>
      <c r="O277" t="s">
        <v>60</v>
      </c>
      <c r="P277">
        <v>2019</v>
      </c>
      <c r="Q277">
        <v>11</v>
      </c>
      <c r="R277">
        <v>18</v>
      </c>
      <c r="S277">
        <v>15</v>
      </c>
      <c r="T277" t="str">
        <f>TEXT(Table1[[#This Row],[Month]],"MMMM")</f>
        <v>January</v>
      </c>
    </row>
    <row r="278" spans="1:20" x14ac:dyDescent="0.25">
      <c r="A278" t="s">
        <v>974</v>
      </c>
      <c r="B278" t="s">
        <v>2775</v>
      </c>
      <c r="C278" t="s">
        <v>910</v>
      </c>
      <c r="D278" t="s">
        <v>3275</v>
      </c>
      <c r="E278" s="1">
        <v>44072.864583333336</v>
      </c>
      <c r="F278" s="1" t="str">
        <f t="shared" si="4"/>
        <v>Saturday</v>
      </c>
      <c r="G278" t="s">
        <v>975</v>
      </c>
      <c r="H278" t="s">
        <v>3705</v>
      </c>
      <c r="I278" t="s">
        <v>32</v>
      </c>
      <c r="J278" t="s">
        <v>4106</v>
      </c>
      <c r="K278" t="s">
        <v>976</v>
      </c>
      <c r="L278">
        <v>14</v>
      </c>
      <c r="M278">
        <v>28</v>
      </c>
      <c r="N278" t="s">
        <v>110</v>
      </c>
      <c r="O278" t="s">
        <v>3432</v>
      </c>
      <c r="P278">
        <v>2020</v>
      </c>
      <c r="Q278">
        <v>8</v>
      </c>
      <c r="R278">
        <v>29</v>
      </c>
      <c r="S278">
        <v>20</v>
      </c>
      <c r="T278" t="str">
        <f>TEXT(Table1[[#This Row],[Month]],"MMMM")</f>
        <v>January</v>
      </c>
    </row>
    <row r="279" spans="1:20" x14ac:dyDescent="0.25">
      <c r="A279" t="s">
        <v>977</v>
      </c>
      <c r="B279" t="s">
        <v>2776</v>
      </c>
      <c r="C279" t="s">
        <v>882</v>
      </c>
      <c r="D279" t="s">
        <v>3268</v>
      </c>
      <c r="E279" s="1">
        <v>44864.486111111109</v>
      </c>
      <c r="F279" s="1" t="str">
        <f t="shared" si="4"/>
        <v>Sunday</v>
      </c>
      <c r="G279" t="s">
        <v>978</v>
      </c>
      <c r="H279" t="s">
        <v>3706</v>
      </c>
      <c r="I279" t="s">
        <v>875</v>
      </c>
      <c r="J279" t="s">
        <v>4104</v>
      </c>
      <c r="K279" t="s">
        <v>979</v>
      </c>
      <c r="L279">
        <v>17</v>
      </c>
      <c r="M279">
        <v>34</v>
      </c>
      <c r="N279" t="s">
        <v>39</v>
      </c>
      <c r="O279" t="s">
        <v>3402</v>
      </c>
      <c r="P279">
        <v>2022</v>
      </c>
      <c r="Q279">
        <v>10</v>
      </c>
      <c r="R279">
        <v>30</v>
      </c>
      <c r="S279">
        <v>11</v>
      </c>
      <c r="T279" t="str">
        <f>TEXT(Table1[[#This Row],[Month]],"MMMM")</f>
        <v>January</v>
      </c>
    </row>
    <row r="280" spans="1:20" x14ac:dyDescent="0.25">
      <c r="A280" t="s">
        <v>938</v>
      </c>
      <c r="B280" t="s">
        <v>2763</v>
      </c>
      <c r="C280" t="s">
        <v>898</v>
      </c>
      <c r="D280" t="s">
        <v>3272</v>
      </c>
      <c r="E280" s="1">
        <v>44378.506944444445</v>
      </c>
      <c r="F280" s="1" t="str">
        <f t="shared" si="4"/>
        <v>Thursday</v>
      </c>
      <c r="G280" t="s">
        <v>939</v>
      </c>
      <c r="H280" t="s">
        <v>3693</v>
      </c>
      <c r="I280" t="s">
        <v>27</v>
      </c>
      <c r="J280" t="s">
        <v>4105</v>
      </c>
      <c r="K280" t="s">
        <v>940</v>
      </c>
      <c r="L280">
        <v>21</v>
      </c>
      <c r="M280">
        <v>42</v>
      </c>
      <c r="N280" t="s">
        <v>124</v>
      </c>
      <c r="O280" t="s">
        <v>3401</v>
      </c>
      <c r="P280">
        <v>2021</v>
      </c>
      <c r="Q280">
        <v>7</v>
      </c>
      <c r="R280">
        <v>1</v>
      </c>
      <c r="S280">
        <v>12</v>
      </c>
      <c r="T280" t="str">
        <f>TEXT(Table1[[#This Row],[Month]],"MMMM")</f>
        <v>January</v>
      </c>
    </row>
    <row r="281" spans="1:20" x14ac:dyDescent="0.25">
      <c r="A281" t="s">
        <v>941</v>
      </c>
      <c r="B281" t="s">
        <v>2764</v>
      </c>
      <c r="C281" t="s">
        <v>886</v>
      </c>
      <c r="D281" t="s">
        <v>3269</v>
      </c>
      <c r="E281" s="1">
        <v>43835.364583333336</v>
      </c>
      <c r="F281" s="1" t="str">
        <f t="shared" si="4"/>
        <v>Sunday</v>
      </c>
      <c r="G281" t="s">
        <v>942</v>
      </c>
      <c r="H281" t="s">
        <v>3694</v>
      </c>
      <c r="I281" t="s">
        <v>875</v>
      </c>
      <c r="J281" t="s">
        <v>4104</v>
      </c>
      <c r="K281" t="s">
        <v>943</v>
      </c>
      <c r="L281">
        <v>23</v>
      </c>
      <c r="M281">
        <v>46</v>
      </c>
      <c r="N281" t="s">
        <v>99</v>
      </c>
      <c r="O281" t="s">
        <v>60</v>
      </c>
      <c r="P281">
        <v>2020</v>
      </c>
      <c r="Q281">
        <v>1</v>
      </c>
      <c r="R281">
        <v>5</v>
      </c>
      <c r="S281">
        <v>8</v>
      </c>
      <c r="T281" t="str">
        <f>TEXT(Table1[[#This Row],[Month]],"MMMM")</f>
        <v>January</v>
      </c>
    </row>
    <row r="282" spans="1:20" x14ac:dyDescent="0.25">
      <c r="A282" t="s">
        <v>944</v>
      </c>
      <c r="B282" t="s">
        <v>2765</v>
      </c>
      <c r="C282" t="s">
        <v>882</v>
      </c>
      <c r="D282" t="s">
        <v>3268</v>
      </c>
      <c r="E282" s="1">
        <v>44759.260416666664</v>
      </c>
      <c r="F282" s="1" t="str">
        <f t="shared" si="4"/>
        <v>Sunday</v>
      </c>
      <c r="G282" t="s">
        <v>945</v>
      </c>
      <c r="H282" t="s">
        <v>3695</v>
      </c>
      <c r="I282" t="s">
        <v>27</v>
      </c>
      <c r="J282" t="s">
        <v>4105</v>
      </c>
      <c r="K282" t="s">
        <v>946</v>
      </c>
      <c r="L282">
        <v>14</v>
      </c>
      <c r="M282">
        <v>28</v>
      </c>
      <c r="N282" t="s">
        <v>110</v>
      </c>
      <c r="O282" t="s">
        <v>3432</v>
      </c>
      <c r="P282">
        <v>2022</v>
      </c>
      <c r="Q282">
        <v>7</v>
      </c>
      <c r="R282">
        <v>17</v>
      </c>
      <c r="S282">
        <v>6</v>
      </c>
      <c r="T282" t="str">
        <f>TEXT(Table1[[#This Row],[Month]],"MMMM")</f>
        <v>January</v>
      </c>
    </row>
    <row r="283" spans="1:20" x14ac:dyDescent="0.25">
      <c r="A283" t="s">
        <v>947</v>
      </c>
      <c r="B283" t="s">
        <v>2766</v>
      </c>
      <c r="C283" t="s">
        <v>902</v>
      </c>
      <c r="D283" t="s">
        <v>3273</v>
      </c>
      <c r="E283" s="1">
        <v>43334.722222222219</v>
      </c>
      <c r="F283" s="1" t="str">
        <f t="shared" si="4"/>
        <v>Wednesday</v>
      </c>
      <c r="G283" t="s">
        <v>948</v>
      </c>
      <c r="H283" t="s">
        <v>3696</v>
      </c>
      <c r="I283" t="s">
        <v>32</v>
      </c>
      <c r="J283" t="s">
        <v>4106</v>
      </c>
      <c r="K283" t="s">
        <v>949</v>
      </c>
      <c r="L283">
        <v>24</v>
      </c>
      <c r="M283">
        <v>48</v>
      </c>
      <c r="N283" t="s">
        <v>39</v>
      </c>
      <c r="O283" t="s">
        <v>3402</v>
      </c>
      <c r="P283">
        <v>2018</v>
      </c>
      <c r="Q283">
        <v>8</v>
      </c>
      <c r="R283">
        <v>22</v>
      </c>
      <c r="S283">
        <v>17</v>
      </c>
      <c r="T283" t="str">
        <f>TEXT(Table1[[#This Row],[Month]],"MMMM")</f>
        <v>January</v>
      </c>
    </row>
    <row r="284" spans="1:20" x14ac:dyDescent="0.25">
      <c r="A284" t="s">
        <v>950</v>
      </c>
      <c r="B284" t="s">
        <v>2767</v>
      </c>
      <c r="C284" t="s">
        <v>910</v>
      </c>
      <c r="D284" t="s">
        <v>3275</v>
      </c>
      <c r="E284" s="1">
        <v>44538.604166666664</v>
      </c>
      <c r="F284" s="1" t="str">
        <f t="shared" si="4"/>
        <v>Wednesday</v>
      </c>
      <c r="G284" t="s">
        <v>951</v>
      </c>
      <c r="H284" t="s">
        <v>3697</v>
      </c>
      <c r="I284" t="s">
        <v>875</v>
      </c>
      <c r="J284" t="s">
        <v>4104</v>
      </c>
      <c r="K284" t="s">
        <v>952</v>
      </c>
      <c r="L284">
        <v>18</v>
      </c>
      <c r="M284">
        <v>36</v>
      </c>
      <c r="N284" t="s">
        <v>165</v>
      </c>
      <c r="O284" t="s">
        <v>3403</v>
      </c>
      <c r="P284">
        <v>2021</v>
      </c>
      <c r="Q284">
        <v>12</v>
      </c>
      <c r="R284">
        <v>8</v>
      </c>
      <c r="S284">
        <v>14</v>
      </c>
      <c r="T284" t="str">
        <f>TEXT(Table1[[#This Row],[Month]],"MMMM")</f>
        <v>January</v>
      </c>
    </row>
    <row r="285" spans="1:20" x14ac:dyDescent="0.25">
      <c r="A285" t="s">
        <v>953</v>
      </c>
      <c r="B285" t="s">
        <v>2768</v>
      </c>
      <c r="C285" t="s">
        <v>878</v>
      </c>
      <c r="D285" t="s">
        <v>3237</v>
      </c>
      <c r="E285" s="1">
        <v>43582.409722222219</v>
      </c>
      <c r="F285" s="1" t="str">
        <f t="shared" si="4"/>
        <v>Saturday</v>
      </c>
      <c r="G285" t="s">
        <v>954</v>
      </c>
      <c r="H285" t="s">
        <v>3698</v>
      </c>
      <c r="I285" t="s">
        <v>27</v>
      </c>
      <c r="J285" t="s">
        <v>4105</v>
      </c>
      <c r="K285" t="s">
        <v>955</v>
      </c>
      <c r="L285">
        <v>20</v>
      </c>
      <c r="M285">
        <v>40</v>
      </c>
      <c r="N285" t="s">
        <v>124</v>
      </c>
      <c r="O285" t="s">
        <v>3401</v>
      </c>
      <c r="P285">
        <v>2019</v>
      </c>
      <c r="Q285">
        <v>4</v>
      </c>
      <c r="R285">
        <v>27</v>
      </c>
      <c r="S285">
        <v>9</v>
      </c>
      <c r="T285" t="str">
        <f>TEXT(Table1[[#This Row],[Month]],"MMMM")</f>
        <v>January</v>
      </c>
    </row>
    <row r="286" spans="1:20" x14ac:dyDescent="0.25">
      <c r="A286" t="s">
        <v>956</v>
      </c>
      <c r="B286" t="s">
        <v>2769</v>
      </c>
      <c r="C286" t="s">
        <v>894</v>
      </c>
      <c r="D286" t="s">
        <v>3271</v>
      </c>
      <c r="E286" s="1">
        <v>45172.902777777781</v>
      </c>
      <c r="F286" s="1" t="str">
        <f t="shared" si="4"/>
        <v>Sunday</v>
      </c>
      <c r="G286" t="s">
        <v>957</v>
      </c>
      <c r="H286" t="s">
        <v>3699</v>
      </c>
      <c r="I286" t="s">
        <v>32</v>
      </c>
      <c r="J286" t="s">
        <v>4106</v>
      </c>
      <c r="K286" t="s">
        <v>958</v>
      </c>
      <c r="L286">
        <v>16</v>
      </c>
      <c r="M286">
        <v>32</v>
      </c>
      <c r="N286" t="s">
        <v>99</v>
      </c>
      <c r="O286" t="s">
        <v>60</v>
      </c>
      <c r="P286">
        <v>2023</v>
      </c>
      <c r="Q286">
        <v>9</v>
      </c>
      <c r="R286">
        <v>3</v>
      </c>
      <c r="S286">
        <v>21</v>
      </c>
      <c r="T286" t="str">
        <f>TEXT(Table1[[#This Row],[Month]],"MMMM")</f>
        <v>January</v>
      </c>
    </row>
    <row r="287" spans="1:20" x14ac:dyDescent="0.25">
      <c r="A287" t="s">
        <v>959</v>
      </c>
      <c r="B287" t="s">
        <v>2770</v>
      </c>
      <c r="C287" t="s">
        <v>906</v>
      </c>
      <c r="D287" t="s">
        <v>3274</v>
      </c>
      <c r="E287" s="1">
        <v>43992.420138888891</v>
      </c>
      <c r="F287" s="1" t="str">
        <f t="shared" si="4"/>
        <v>Wednesday</v>
      </c>
      <c r="G287" t="s">
        <v>960</v>
      </c>
      <c r="H287" t="s">
        <v>3700</v>
      </c>
      <c r="I287" t="s">
        <v>875</v>
      </c>
      <c r="J287" t="s">
        <v>4104</v>
      </c>
      <c r="K287" t="s">
        <v>961</v>
      </c>
      <c r="L287">
        <v>22</v>
      </c>
      <c r="M287">
        <v>44</v>
      </c>
      <c r="N287" t="s">
        <v>110</v>
      </c>
      <c r="O287" t="s">
        <v>3432</v>
      </c>
      <c r="P287">
        <v>2020</v>
      </c>
      <c r="Q287">
        <v>6</v>
      </c>
      <c r="R287">
        <v>10</v>
      </c>
      <c r="S287">
        <v>10</v>
      </c>
      <c r="T287" t="str">
        <f>TEXT(Table1[[#This Row],[Month]],"MMMM")</f>
        <v>January</v>
      </c>
    </row>
    <row r="288" spans="1:20" x14ac:dyDescent="0.25">
      <c r="A288" t="s">
        <v>962</v>
      </c>
      <c r="B288" t="s">
        <v>2771</v>
      </c>
      <c r="C288" t="s">
        <v>890</v>
      </c>
      <c r="D288" t="s">
        <v>3270</v>
      </c>
      <c r="E288" s="1">
        <v>44652.770833333336</v>
      </c>
      <c r="F288" s="1" t="str">
        <f t="shared" si="4"/>
        <v>Friday</v>
      </c>
      <c r="G288" t="s">
        <v>963</v>
      </c>
      <c r="H288" t="s">
        <v>3701</v>
      </c>
      <c r="I288" t="s">
        <v>27</v>
      </c>
      <c r="J288" t="s">
        <v>4105</v>
      </c>
      <c r="K288" t="s">
        <v>964</v>
      </c>
      <c r="L288">
        <v>19</v>
      </c>
      <c r="M288">
        <v>38</v>
      </c>
      <c r="N288" t="s">
        <v>39</v>
      </c>
      <c r="O288" t="s">
        <v>3402</v>
      </c>
      <c r="P288">
        <v>2022</v>
      </c>
      <c r="Q288">
        <v>4</v>
      </c>
      <c r="R288">
        <v>1</v>
      </c>
      <c r="S288">
        <v>18</v>
      </c>
      <c r="T288" t="str">
        <f>TEXT(Table1[[#This Row],[Month]],"MMMM")</f>
        <v>January</v>
      </c>
    </row>
    <row r="289" spans="1:20" x14ac:dyDescent="0.25">
      <c r="A289" t="s">
        <v>965</v>
      </c>
      <c r="B289" t="s">
        <v>2772</v>
      </c>
      <c r="C289" t="s">
        <v>917</v>
      </c>
      <c r="D289" t="s">
        <v>3276</v>
      </c>
      <c r="E289" s="1">
        <v>44211.541666666664</v>
      </c>
      <c r="F289" s="1" t="str">
        <f t="shared" si="4"/>
        <v>Friday</v>
      </c>
      <c r="G289" t="s">
        <v>966</v>
      </c>
      <c r="H289" t="s">
        <v>3702</v>
      </c>
      <c r="I289" t="s">
        <v>32</v>
      </c>
      <c r="J289" t="s">
        <v>4106</v>
      </c>
      <c r="K289" t="s">
        <v>967</v>
      </c>
      <c r="L289">
        <v>23</v>
      </c>
      <c r="M289">
        <v>46</v>
      </c>
      <c r="N289" t="s">
        <v>124</v>
      </c>
      <c r="O289" t="s">
        <v>3401</v>
      </c>
      <c r="P289">
        <v>2021</v>
      </c>
      <c r="Q289">
        <v>1</v>
      </c>
      <c r="R289">
        <v>15</v>
      </c>
      <c r="S289">
        <v>13</v>
      </c>
      <c r="T289" t="str">
        <f>TEXT(Table1[[#This Row],[Month]],"MMMM")</f>
        <v>January</v>
      </c>
    </row>
    <row r="290" spans="1:20" x14ac:dyDescent="0.25">
      <c r="A290" t="s">
        <v>968</v>
      </c>
      <c r="B290" t="s">
        <v>2773</v>
      </c>
      <c r="C290" t="s">
        <v>882</v>
      </c>
      <c r="D290" t="s">
        <v>3268</v>
      </c>
      <c r="E290" s="1">
        <v>45052.305555555555</v>
      </c>
      <c r="F290" s="1" t="str">
        <f t="shared" si="4"/>
        <v>Saturday</v>
      </c>
      <c r="G290" t="s">
        <v>969</v>
      </c>
      <c r="H290" t="s">
        <v>3703</v>
      </c>
      <c r="I290" t="s">
        <v>875</v>
      </c>
      <c r="J290" t="s">
        <v>4104</v>
      </c>
      <c r="K290" t="s">
        <v>970</v>
      </c>
      <c r="L290">
        <v>15</v>
      </c>
      <c r="M290">
        <v>30</v>
      </c>
      <c r="N290" t="s">
        <v>165</v>
      </c>
      <c r="O290" t="s">
        <v>3403</v>
      </c>
      <c r="P290">
        <v>2023</v>
      </c>
      <c r="Q290">
        <v>5</v>
      </c>
      <c r="R290">
        <v>6</v>
      </c>
      <c r="S290">
        <v>7</v>
      </c>
      <c r="T290" t="str">
        <f>TEXT(Table1[[#This Row],[Month]],"MMMM")</f>
        <v>January</v>
      </c>
    </row>
    <row r="291" spans="1:20" x14ac:dyDescent="0.25">
      <c r="A291" t="s">
        <v>971</v>
      </c>
      <c r="B291" t="s">
        <v>2774</v>
      </c>
      <c r="C291" t="s">
        <v>902</v>
      </c>
      <c r="D291" t="s">
        <v>3273</v>
      </c>
      <c r="E291" s="1">
        <v>43787.635416666664</v>
      </c>
      <c r="F291" s="1" t="str">
        <f t="shared" si="4"/>
        <v>Monday</v>
      </c>
      <c r="G291" t="s">
        <v>972</v>
      </c>
      <c r="H291" t="s">
        <v>3704</v>
      </c>
      <c r="I291" t="s">
        <v>27</v>
      </c>
      <c r="J291" t="s">
        <v>4105</v>
      </c>
      <c r="K291" t="s">
        <v>973</v>
      </c>
      <c r="L291">
        <v>25</v>
      </c>
      <c r="M291">
        <v>50</v>
      </c>
      <c r="N291" t="s">
        <v>99</v>
      </c>
      <c r="O291" t="s">
        <v>60</v>
      </c>
      <c r="P291">
        <v>2019</v>
      </c>
      <c r="Q291">
        <v>11</v>
      </c>
      <c r="R291">
        <v>18</v>
      </c>
      <c r="S291">
        <v>15</v>
      </c>
      <c r="T291" t="str">
        <f>TEXT(Table1[[#This Row],[Month]],"MMMM")</f>
        <v>January</v>
      </c>
    </row>
    <row r="292" spans="1:20" x14ac:dyDescent="0.25">
      <c r="A292" t="s">
        <v>974</v>
      </c>
      <c r="B292" t="s">
        <v>2775</v>
      </c>
      <c r="C292" t="s">
        <v>910</v>
      </c>
      <c r="D292" t="s">
        <v>3275</v>
      </c>
      <c r="E292" s="1">
        <v>44072.864583333336</v>
      </c>
      <c r="F292" s="1" t="str">
        <f t="shared" si="4"/>
        <v>Saturday</v>
      </c>
      <c r="G292" t="s">
        <v>975</v>
      </c>
      <c r="H292" t="s">
        <v>3705</v>
      </c>
      <c r="I292" t="s">
        <v>32</v>
      </c>
      <c r="J292" t="s">
        <v>4106</v>
      </c>
      <c r="K292" t="s">
        <v>976</v>
      </c>
      <c r="L292">
        <v>14</v>
      </c>
      <c r="M292">
        <v>28</v>
      </c>
      <c r="N292" t="s">
        <v>110</v>
      </c>
      <c r="O292" t="s">
        <v>3432</v>
      </c>
      <c r="P292">
        <v>2020</v>
      </c>
      <c r="Q292">
        <v>8</v>
      </c>
      <c r="R292">
        <v>29</v>
      </c>
      <c r="S292">
        <v>20</v>
      </c>
      <c r="T292" t="str">
        <f>TEXT(Table1[[#This Row],[Month]],"MMMM")</f>
        <v>January</v>
      </c>
    </row>
    <row r="293" spans="1:20" x14ac:dyDescent="0.25">
      <c r="A293" t="s">
        <v>977</v>
      </c>
      <c r="B293" t="s">
        <v>2776</v>
      </c>
      <c r="C293" t="s">
        <v>882</v>
      </c>
      <c r="D293" t="s">
        <v>3268</v>
      </c>
      <c r="E293" s="1">
        <v>44864.486111111109</v>
      </c>
      <c r="F293" s="1" t="str">
        <f t="shared" si="4"/>
        <v>Sunday</v>
      </c>
      <c r="G293" t="s">
        <v>978</v>
      </c>
      <c r="H293" t="s">
        <v>3706</v>
      </c>
      <c r="I293" t="s">
        <v>875</v>
      </c>
      <c r="J293" t="s">
        <v>4104</v>
      </c>
      <c r="K293" t="s">
        <v>979</v>
      </c>
      <c r="L293">
        <v>17</v>
      </c>
      <c r="M293">
        <v>34</v>
      </c>
      <c r="N293" t="s">
        <v>39</v>
      </c>
      <c r="O293" t="s">
        <v>3402</v>
      </c>
      <c r="P293">
        <v>2022</v>
      </c>
      <c r="Q293">
        <v>10</v>
      </c>
      <c r="R293">
        <v>30</v>
      </c>
      <c r="S293">
        <v>11</v>
      </c>
      <c r="T293" t="str">
        <f>TEXT(Table1[[#This Row],[Month]],"MMMM")</f>
        <v>January</v>
      </c>
    </row>
    <row r="294" spans="1:20" x14ac:dyDescent="0.25">
      <c r="A294" t="s">
        <v>938</v>
      </c>
      <c r="B294" t="s">
        <v>2763</v>
      </c>
      <c r="C294" t="s">
        <v>898</v>
      </c>
      <c r="D294" t="s">
        <v>3272</v>
      </c>
      <c r="E294" s="1">
        <v>44378.506944444445</v>
      </c>
      <c r="F294" s="1" t="str">
        <f t="shared" si="4"/>
        <v>Thursday</v>
      </c>
      <c r="G294" t="s">
        <v>939</v>
      </c>
      <c r="H294" t="s">
        <v>3693</v>
      </c>
      <c r="I294" t="s">
        <v>27</v>
      </c>
      <c r="J294" t="s">
        <v>4105</v>
      </c>
      <c r="K294" t="s">
        <v>940</v>
      </c>
      <c r="L294">
        <v>21</v>
      </c>
      <c r="M294">
        <v>42</v>
      </c>
      <c r="N294" t="s">
        <v>124</v>
      </c>
      <c r="O294" t="s">
        <v>3401</v>
      </c>
      <c r="P294">
        <v>2021</v>
      </c>
      <c r="Q294">
        <v>7</v>
      </c>
      <c r="R294">
        <v>1</v>
      </c>
      <c r="S294">
        <v>12</v>
      </c>
      <c r="T294" t="str">
        <f>TEXT(Table1[[#This Row],[Month]],"MMMM")</f>
        <v>January</v>
      </c>
    </row>
    <row r="295" spans="1:20" x14ac:dyDescent="0.25">
      <c r="A295" t="s">
        <v>941</v>
      </c>
      <c r="B295" t="s">
        <v>2764</v>
      </c>
      <c r="C295" t="s">
        <v>886</v>
      </c>
      <c r="D295" t="s">
        <v>3269</v>
      </c>
      <c r="E295" s="1">
        <v>43835.364583333336</v>
      </c>
      <c r="F295" s="1" t="str">
        <f t="shared" si="4"/>
        <v>Sunday</v>
      </c>
      <c r="G295" t="s">
        <v>942</v>
      </c>
      <c r="H295" t="s">
        <v>3694</v>
      </c>
      <c r="I295" t="s">
        <v>875</v>
      </c>
      <c r="J295" t="s">
        <v>4104</v>
      </c>
      <c r="K295" t="s">
        <v>943</v>
      </c>
      <c r="L295">
        <v>23</v>
      </c>
      <c r="M295">
        <v>46</v>
      </c>
      <c r="N295" t="s">
        <v>99</v>
      </c>
      <c r="O295" t="s">
        <v>60</v>
      </c>
      <c r="P295">
        <v>2020</v>
      </c>
      <c r="Q295">
        <v>1</v>
      </c>
      <c r="R295">
        <v>5</v>
      </c>
      <c r="S295">
        <v>8</v>
      </c>
      <c r="T295" t="str">
        <f>TEXT(Table1[[#This Row],[Month]],"MMMM")</f>
        <v>January</v>
      </c>
    </row>
    <row r="296" spans="1:20" x14ac:dyDescent="0.25">
      <c r="A296" t="s">
        <v>944</v>
      </c>
      <c r="B296" t="s">
        <v>2765</v>
      </c>
      <c r="C296" t="s">
        <v>882</v>
      </c>
      <c r="D296" t="s">
        <v>3268</v>
      </c>
      <c r="E296" s="1">
        <v>44759.260416666664</v>
      </c>
      <c r="F296" s="1" t="str">
        <f t="shared" si="4"/>
        <v>Sunday</v>
      </c>
      <c r="G296" t="s">
        <v>945</v>
      </c>
      <c r="H296" t="s">
        <v>3695</v>
      </c>
      <c r="I296" t="s">
        <v>27</v>
      </c>
      <c r="J296" t="s">
        <v>4105</v>
      </c>
      <c r="K296" t="s">
        <v>946</v>
      </c>
      <c r="L296">
        <v>14</v>
      </c>
      <c r="M296">
        <v>28</v>
      </c>
      <c r="N296" t="s">
        <v>165</v>
      </c>
      <c r="O296" t="s">
        <v>3403</v>
      </c>
      <c r="P296">
        <v>2022</v>
      </c>
      <c r="Q296">
        <v>7</v>
      </c>
      <c r="R296">
        <v>17</v>
      </c>
      <c r="S296">
        <v>6</v>
      </c>
      <c r="T296" t="str">
        <f>TEXT(Table1[[#This Row],[Month]],"MMMM")</f>
        <v>January</v>
      </c>
    </row>
    <row r="297" spans="1:20" x14ac:dyDescent="0.25">
      <c r="A297" t="s">
        <v>947</v>
      </c>
      <c r="B297" t="s">
        <v>2766</v>
      </c>
      <c r="C297" t="s">
        <v>902</v>
      </c>
      <c r="D297" t="s">
        <v>3273</v>
      </c>
      <c r="E297" s="1">
        <v>43334.722222222219</v>
      </c>
      <c r="F297" s="1" t="str">
        <f t="shared" si="4"/>
        <v>Wednesday</v>
      </c>
      <c r="G297" t="s">
        <v>948</v>
      </c>
      <c r="H297" t="s">
        <v>3696</v>
      </c>
      <c r="I297" t="s">
        <v>32</v>
      </c>
      <c r="J297" t="s">
        <v>4106</v>
      </c>
      <c r="K297" t="s">
        <v>949</v>
      </c>
      <c r="L297">
        <v>24</v>
      </c>
      <c r="M297">
        <v>48</v>
      </c>
      <c r="N297" t="s">
        <v>39</v>
      </c>
      <c r="O297" t="s">
        <v>3402</v>
      </c>
      <c r="P297">
        <v>2018</v>
      </c>
      <c r="Q297">
        <v>8</v>
      </c>
      <c r="R297">
        <v>22</v>
      </c>
      <c r="S297">
        <v>17</v>
      </c>
      <c r="T297" t="str">
        <f>TEXT(Table1[[#This Row],[Month]],"MMMM")</f>
        <v>January</v>
      </c>
    </row>
    <row r="298" spans="1:20" x14ac:dyDescent="0.25">
      <c r="A298" t="s">
        <v>980</v>
      </c>
      <c r="B298" t="s">
        <v>2777</v>
      </c>
      <c r="C298" t="s">
        <v>981</v>
      </c>
      <c r="D298" t="s">
        <v>3248</v>
      </c>
      <c r="E298" s="1">
        <v>44454.666666666664</v>
      </c>
      <c r="F298" s="1" t="str">
        <f t="shared" si="4"/>
        <v>Wednesday</v>
      </c>
      <c r="G298" t="s">
        <v>982</v>
      </c>
      <c r="H298" t="s">
        <v>3707</v>
      </c>
      <c r="I298" t="s">
        <v>27</v>
      </c>
      <c r="J298" t="s">
        <v>4105</v>
      </c>
      <c r="K298" t="s">
        <v>983</v>
      </c>
      <c r="L298">
        <v>8</v>
      </c>
      <c r="M298">
        <v>16</v>
      </c>
      <c r="N298" t="s">
        <v>124</v>
      </c>
      <c r="O298" t="s">
        <v>3401</v>
      </c>
      <c r="P298">
        <v>2021</v>
      </c>
      <c r="Q298">
        <v>9</v>
      </c>
      <c r="R298">
        <v>15</v>
      </c>
      <c r="S298">
        <v>16</v>
      </c>
      <c r="T298" t="str">
        <f>TEXT(Table1[[#This Row],[Month]],"MMMM")</f>
        <v>January</v>
      </c>
    </row>
    <row r="299" spans="1:20" x14ac:dyDescent="0.25">
      <c r="A299" t="s">
        <v>984</v>
      </c>
      <c r="B299" t="s">
        <v>2778</v>
      </c>
      <c r="C299" t="s">
        <v>985</v>
      </c>
      <c r="D299" t="s">
        <v>3277</v>
      </c>
      <c r="E299" s="1">
        <v>43532.597222222219</v>
      </c>
      <c r="F299" s="1" t="str">
        <f t="shared" si="4"/>
        <v>Friday</v>
      </c>
      <c r="G299" t="s">
        <v>986</v>
      </c>
      <c r="H299" t="s">
        <v>3708</v>
      </c>
      <c r="I299" t="s">
        <v>32</v>
      </c>
      <c r="J299" t="s">
        <v>4106</v>
      </c>
      <c r="K299" t="s">
        <v>987</v>
      </c>
      <c r="L299">
        <v>12</v>
      </c>
      <c r="M299">
        <v>24</v>
      </c>
      <c r="N299" t="s">
        <v>110</v>
      </c>
      <c r="O299" t="s">
        <v>3432</v>
      </c>
      <c r="P299">
        <v>2019</v>
      </c>
      <c r="Q299">
        <v>3</v>
      </c>
      <c r="R299">
        <v>8</v>
      </c>
      <c r="S299">
        <v>14</v>
      </c>
      <c r="T299" t="str">
        <f>TEXT(Table1[[#This Row],[Month]],"MMMM")</f>
        <v>January</v>
      </c>
    </row>
    <row r="300" spans="1:20" x14ac:dyDescent="0.25">
      <c r="A300" t="s">
        <v>988</v>
      </c>
      <c r="B300" t="s">
        <v>2779</v>
      </c>
      <c r="C300" t="s">
        <v>650</v>
      </c>
      <c r="D300" t="s">
        <v>3250</v>
      </c>
      <c r="E300" s="1">
        <v>42936.489583333336</v>
      </c>
      <c r="F300" s="1" t="str">
        <f t="shared" si="4"/>
        <v>Thursday</v>
      </c>
      <c r="G300" t="s">
        <v>989</v>
      </c>
      <c r="H300" t="s">
        <v>3709</v>
      </c>
      <c r="I300" t="s">
        <v>875</v>
      </c>
      <c r="J300" t="s">
        <v>4104</v>
      </c>
      <c r="K300" t="s">
        <v>990</v>
      </c>
      <c r="L300">
        <v>15</v>
      </c>
      <c r="M300">
        <v>30</v>
      </c>
      <c r="N300" t="s">
        <v>99</v>
      </c>
      <c r="O300" t="s">
        <v>60</v>
      </c>
      <c r="P300">
        <v>2017</v>
      </c>
      <c r="Q300">
        <v>7</v>
      </c>
      <c r="R300">
        <v>20</v>
      </c>
      <c r="S300">
        <v>11</v>
      </c>
      <c r="T300" t="str">
        <f>TEXT(Table1[[#This Row],[Month]],"MMMM")</f>
        <v>January</v>
      </c>
    </row>
    <row r="301" spans="1:20" x14ac:dyDescent="0.25">
      <c r="A301" t="s">
        <v>991</v>
      </c>
      <c r="B301" t="s">
        <v>2780</v>
      </c>
      <c r="C301" t="s">
        <v>992</v>
      </c>
      <c r="D301" t="s">
        <v>3278</v>
      </c>
      <c r="E301" s="1">
        <v>44137.8125</v>
      </c>
      <c r="F301" s="1" t="str">
        <f t="shared" si="4"/>
        <v>Monday</v>
      </c>
      <c r="G301" t="s">
        <v>993</v>
      </c>
      <c r="H301" t="s">
        <v>3710</v>
      </c>
      <c r="I301" t="s">
        <v>27</v>
      </c>
      <c r="J301" t="s">
        <v>4105</v>
      </c>
      <c r="K301" t="s">
        <v>994</v>
      </c>
      <c r="L301">
        <v>10</v>
      </c>
      <c r="M301">
        <v>20</v>
      </c>
      <c r="N301" t="s">
        <v>39</v>
      </c>
      <c r="O301" t="s">
        <v>3402</v>
      </c>
      <c r="P301">
        <v>2020</v>
      </c>
      <c r="Q301">
        <v>11</v>
      </c>
      <c r="R301">
        <v>2</v>
      </c>
      <c r="S301">
        <v>19</v>
      </c>
      <c r="T301" t="str">
        <f>TEXT(Table1[[#This Row],[Month]],"MMMM")</f>
        <v>January</v>
      </c>
    </row>
    <row r="302" spans="1:20" x14ac:dyDescent="0.25">
      <c r="A302" t="s">
        <v>995</v>
      </c>
      <c r="B302" t="s">
        <v>2781</v>
      </c>
      <c r="C302" t="s">
        <v>996</v>
      </c>
      <c r="D302" t="s">
        <v>3279</v>
      </c>
      <c r="E302" s="1">
        <v>44693.083333333336</v>
      </c>
      <c r="F302" s="1" t="str">
        <f t="shared" si="4"/>
        <v>Thursday</v>
      </c>
      <c r="G302" t="s">
        <v>997</v>
      </c>
      <c r="H302" t="s">
        <v>3711</v>
      </c>
      <c r="I302" t="s">
        <v>32</v>
      </c>
      <c r="J302" t="s">
        <v>4106</v>
      </c>
      <c r="K302" t="s">
        <v>998</v>
      </c>
      <c r="L302">
        <v>18</v>
      </c>
      <c r="M302">
        <v>36</v>
      </c>
      <c r="N302" t="s">
        <v>165</v>
      </c>
      <c r="O302" t="s">
        <v>3403</v>
      </c>
      <c r="P302">
        <v>2022</v>
      </c>
      <c r="Q302">
        <v>5</v>
      </c>
      <c r="R302">
        <v>12</v>
      </c>
      <c r="S302">
        <v>2</v>
      </c>
      <c r="T302" t="str">
        <f>TEXT(Table1[[#This Row],[Month]],"MMMM")</f>
        <v>January</v>
      </c>
    </row>
    <row r="303" spans="1:20" x14ac:dyDescent="0.25">
      <c r="A303" t="s">
        <v>999</v>
      </c>
      <c r="B303" t="s">
        <v>2782</v>
      </c>
      <c r="C303" t="s">
        <v>1000</v>
      </c>
      <c r="D303" t="s">
        <v>3280</v>
      </c>
      <c r="E303" s="1">
        <v>45024.552083333336</v>
      </c>
      <c r="F303" s="1" t="str">
        <f t="shared" si="4"/>
        <v>Saturday</v>
      </c>
      <c r="G303" t="s">
        <v>1001</v>
      </c>
      <c r="H303" t="s">
        <v>3712</v>
      </c>
      <c r="I303" t="s">
        <v>875</v>
      </c>
      <c r="J303" t="s">
        <v>4104</v>
      </c>
      <c r="K303" t="s">
        <v>1002</v>
      </c>
      <c r="L303">
        <v>14</v>
      </c>
      <c r="M303">
        <v>28</v>
      </c>
      <c r="N303" t="s">
        <v>110</v>
      </c>
      <c r="O303" t="s">
        <v>3432</v>
      </c>
      <c r="P303">
        <v>2023</v>
      </c>
      <c r="Q303">
        <v>4</v>
      </c>
      <c r="R303">
        <v>8</v>
      </c>
      <c r="S303">
        <v>13</v>
      </c>
      <c r="T303" t="str">
        <f>TEXT(Table1[[#This Row],[Month]],"MMMM")</f>
        <v>January</v>
      </c>
    </row>
    <row r="304" spans="1:20" x14ac:dyDescent="0.25">
      <c r="A304" t="s">
        <v>1003</v>
      </c>
      <c r="B304" t="s">
        <v>2783</v>
      </c>
      <c r="C304" t="s">
        <v>1004</v>
      </c>
      <c r="D304" t="s">
        <v>3281</v>
      </c>
      <c r="E304" s="1">
        <v>44372.743055555555</v>
      </c>
      <c r="F304" s="1" t="str">
        <f t="shared" si="4"/>
        <v>Friday</v>
      </c>
      <c r="G304" t="s">
        <v>1005</v>
      </c>
      <c r="H304" t="s">
        <v>3713</v>
      </c>
      <c r="I304" t="s">
        <v>27</v>
      </c>
      <c r="J304" t="s">
        <v>4105</v>
      </c>
      <c r="K304" t="s">
        <v>1006</v>
      </c>
      <c r="L304">
        <v>22</v>
      </c>
      <c r="M304">
        <v>44</v>
      </c>
      <c r="N304" t="s">
        <v>124</v>
      </c>
      <c r="O304" t="s">
        <v>3401</v>
      </c>
      <c r="P304">
        <v>2021</v>
      </c>
      <c r="Q304">
        <v>6</v>
      </c>
      <c r="R304">
        <v>25</v>
      </c>
      <c r="S304">
        <v>17</v>
      </c>
      <c r="T304" t="str">
        <f>TEXT(Table1[[#This Row],[Month]],"MMMM")</f>
        <v>January</v>
      </c>
    </row>
    <row r="305" spans="1:20" x14ac:dyDescent="0.25">
      <c r="A305" t="s">
        <v>1007</v>
      </c>
      <c r="B305" t="s">
        <v>2784</v>
      </c>
      <c r="C305" t="s">
        <v>1008</v>
      </c>
      <c r="D305" t="s">
        <v>3282</v>
      </c>
      <c r="E305" s="1">
        <v>43707.423611111109</v>
      </c>
      <c r="F305" s="1" t="str">
        <f t="shared" si="4"/>
        <v>Friday</v>
      </c>
      <c r="G305" t="s">
        <v>1009</v>
      </c>
      <c r="H305" t="s">
        <v>3714</v>
      </c>
      <c r="I305" t="s">
        <v>32</v>
      </c>
      <c r="J305" t="s">
        <v>4106</v>
      </c>
      <c r="K305" t="s">
        <v>1010</v>
      </c>
      <c r="L305">
        <v>16</v>
      </c>
      <c r="M305">
        <v>32</v>
      </c>
      <c r="N305" t="s">
        <v>99</v>
      </c>
      <c r="O305" t="s">
        <v>60</v>
      </c>
      <c r="P305">
        <v>2019</v>
      </c>
      <c r="Q305">
        <v>8</v>
      </c>
      <c r="R305">
        <v>30</v>
      </c>
      <c r="S305">
        <v>10</v>
      </c>
      <c r="T305" t="str">
        <f>TEXT(Table1[[#This Row],[Month]],"MMMM")</f>
        <v>January</v>
      </c>
    </row>
    <row r="306" spans="1:20" x14ac:dyDescent="0.25">
      <c r="A306" t="s">
        <v>1011</v>
      </c>
      <c r="B306" t="s">
        <v>2785</v>
      </c>
      <c r="C306" t="s">
        <v>1012</v>
      </c>
      <c r="D306" t="s">
        <v>3283</v>
      </c>
      <c r="E306" s="1">
        <v>44776.645833333336</v>
      </c>
      <c r="F306" s="1" t="str">
        <f t="shared" si="4"/>
        <v>Wednesday</v>
      </c>
      <c r="G306" t="s">
        <v>1013</v>
      </c>
      <c r="H306" t="s">
        <v>3715</v>
      </c>
      <c r="I306" t="s">
        <v>875</v>
      </c>
      <c r="J306" t="s">
        <v>4104</v>
      </c>
      <c r="K306" t="s">
        <v>1014</v>
      </c>
      <c r="L306">
        <v>25</v>
      </c>
      <c r="M306">
        <v>50</v>
      </c>
      <c r="N306" t="s">
        <v>39</v>
      </c>
      <c r="O306" t="s">
        <v>3402</v>
      </c>
      <c r="P306">
        <v>2022</v>
      </c>
      <c r="Q306">
        <v>8</v>
      </c>
      <c r="R306">
        <v>3</v>
      </c>
      <c r="S306">
        <v>15</v>
      </c>
      <c r="T306" t="str">
        <f>TEXT(Table1[[#This Row],[Month]],"MMMM")</f>
        <v>January</v>
      </c>
    </row>
    <row r="307" spans="1:20" x14ac:dyDescent="0.25">
      <c r="A307" t="s">
        <v>1015</v>
      </c>
      <c r="B307" t="s">
        <v>2786</v>
      </c>
      <c r="C307" t="s">
        <v>1016</v>
      </c>
      <c r="D307" t="s">
        <v>3284</v>
      </c>
      <c r="E307" s="1">
        <v>44182.388888888891</v>
      </c>
      <c r="F307" s="1" t="str">
        <f t="shared" si="4"/>
        <v>Thursday</v>
      </c>
      <c r="G307" t="s">
        <v>1017</v>
      </c>
      <c r="H307" t="s">
        <v>3716</v>
      </c>
      <c r="I307" t="s">
        <v>27</v>
      </c>
      <c r="J307" t="s">
        <v>4105</v>
      </c>
      <c r="K307" t="s">
        <v>1018</v>
      </c>
      <c r="L307">
        <v>12</v>
      </c>
      <c r="M307">
        <v>24</v>
      </c>
      <c r="N307" t="s">
        <v>165</v>
      </c>
      <c r="O307" t="s">
        <v>3403</v>
      </c>
      <c r="P307">
        <v>2020</v>
      </c>
      <c r="Q307">
        <v>12</v>
      </c>
      <c r="R307">
        <v>17</v>
      </c>
      <c r="S307">
        <v>9</v>
      </c>
      <c r="T307" t="str">
        <f>TEXT(Table1[[#This Row],[Month]],"MMMM")</f>
        <v>January</v>
      </c>
    </row>
    <row r="308" spans="1:20" x14ac:dyDescent="0.25">
      <c r="A308" t="s">
        <v>1019</v>
      </c>
      <c r="B308" t="s">
        <v>2787</v>
      </c>
      <c r="C308" t="s">
        <v>1020</v>
      </c>
      <c r="D308" t="s">
        <v>3285</v>
      </c>
      <c r="E308" s="1">
        <v>44255.947916666664</v>
      </c>
      <c r="F308" s="1" t="str">
        <f t="shared" si="4"/>
        <v>Sunday</v>
      </c>
      <c r="G308" t="s">
        <v>1021</v>
      </c>
      <c r="H308" t="s">
        <v>3717</v>
      </c>
      <c r="I308" t="s">
        <v>32</v>
      </c>
      <c r="J308" t="s">
        <v>4106</v>
      </c>
      <c r="K308" t="s">
        <v>1022</v>
      </c>
      <c r="L308">
        <v>20</v>
      </c>
      <c r="M308">
        <v>40</v>
      </c>
      <c r="N308" t="s">
        <v>99</v>
      </c>
      <c r="O308" t="s">
        <v>60</v>
      </c>
      <c r="P308">
        <v>2021</v>
      </c>
      <c r="Q308">
        <v>2</v>
      </c>
      <c r="R308">
        <v>28</v>
      </c>
      <c r="S308">
        <v>22</v>
      </c>
      <c r="T308" t="str">
        <f>TEXT(Table1[[#This Row],[Month]],"MMMM")</f>
        <v>January</v>
      </c>
    </row>
    <row r="309" spans="1:20" x14ac:dyDescent="0.25">
      <c r="A309" t="s">
        <v>1023</v>
      </c>
      <c r="B309" t="s">
        <v>2788</v>
      </c>
      <c r="C309" t="s">
        <v>1024</v>
      </c>
      <c r="D309" t="s">
        <v>3286</v>
      </c>
      <c r="E309" s="1">
        <v>43230.583333333336</v>
      </c>
      <c r="F309" s="1" t="str">
        <f t="shared" si="4"/>
        <v>Thursday</v>
      </c>
      <c r="G309" t="s">
        <v>1025</v>
      </c>
      <c r="H309" t="s">
        <v>3718</v>
      </c>
      <c r="I309" t="s">
        <v>875</v>
      </c>
      <c r="J309" t="s">
        <v>4104</v>
      </c>
      <c r="K309" t="s">
        <v>1026</v>
      </c>
      <c r="L309">
        <v>14</v>
      </c>
      <c r="M309">
        <v>28</v>
      </c>
      <c r="N309" t="s">
        <v>110</v>
      </c>
      <c r="O309" t="s">
        <v>3432</v>
      </c>
      <c r="P309">
        <v>2018</v>
      </c>
      <c r="Q309">
        <v>5</v>
      </c>
      <c r="R309">
        <v>10</v>
      </c>
      <c r="S309">
        <v>14</v>
      </c>
      <c r="T309" t="str">
        <f>TEXT(Table1[[#This Row],[Month]],"MMMM")</f>
        <v>January</v>
      </c>
    </row>
    <row r="310" spans="1:20" x14ac:dyDescent="0.25">
      <c r="A310" t="s">
        <v>1027</v>
      </c>
      <c r="B310" t="s">
        <v>2789</v>
      </c>
      <c r="C310" t="s">
        <v>1016</v>
      </c>
      <c r="D310" t="s">
        <v>3284</v>
      </c>
      <c r="E310" s="1">
        <v>44568.465277777781</v>
      </c>
      <c r="F310" s="1" t="str">
        <f t="shared" si="4"/>
        <v>Friday</v>
      </c>
      <c r="G310" t="s">
        <v>1028</v>
      </c>
      <c r="H310" t="s">
        <v>3719</v>
      </c>
      <c r="I310" t="s">
        <v>27</v>
      </c>
      <c r="J310" t="s">
        <v>4105</v>
      </c>
      <c r="K310" t="s">
        <v>1029</v>
      </c>
      <c r="L310">
        <v>15</v>
      </c>
      <c r="M310">
        <v>30</v>
      </c>
      <c r="N310" t="s">
        <v>124</v>
      </c>
      <c r="O310" t="s">
        <v>3401</v>
      </c>
      <c r="P310">
        <v>2022</v>
      </c>
      <c r="Q310">
        <v>1</v>
      </c>
      <c r="R310">
        <v>7</v>
      </c>
      <c r="S310">
        <v>11</v>
      </c>
      <c r="T310" t="str">
        <f>TEXT(Table1[[#This Row],[Month]],"MMMM")</f>
        <v>January</v>
      </c>
    </row>
    <row r="311" spans="1:20" x14ac:dyDescent="0.25">
      <c r="A311" t="s">
        <v>1030</v>
      </c>
      <c r="B311" t="s">
        <v>2790</v>
      </c>
      <c r="C311" t="s">
        <v>650</v>
      </c>
      <c r="D311" t="s">
        <v>3250</v>
      </c>
      <c r="E311" s="1">
        <v>43727.145833333336</v>
      </c>
      <c r="F311" s="1" t="str">
        <f t="shared" si="4"/>
        <v>Thursday</v>
      </c>
      <c r="G311" t="s">
        <v>1031</v>
      </c>
      <c r="H311" t="s">
        <v>3720</v>
      </c>
      <c r="I311" t="s">
        <v>32</v>
      </c>
      <c r="J311" t="s">
        <v>4106</v>
      </c>
      <c r="K311" t="s">
        <v>1032</v>
      </c>
      <c r="L311">
        <v>18</v>
      </c>
      <c r="M311">
        <v>36</v>
      </c>
      <c r="N311" t="s">
        <v>39</v>
      </c>
      <c r="O311" t="s">
        <v>3402</v>
      </c>
      <c r="P311">
        <v>2019</v>
      </c>
      <c r="Q311">
        <v>9</v>
      </c>
      <c r="R311">
        <v>19</v>
      </c>
      <c r="S311">
        <v>3</v>
      </c>
      <c r="T311" t="str">
        <f>TEXT(Table1[[#This Row],[Month]],"MMMM")</f>
        <v>January</v>
      </c>
    </row>
    <row r="312" spans="1:20" x14ac:dyDescent="0.25">
      <c r="A312" t="s">
        <v>1033</v>
      </c>
      <c r="B312" t="s">
        <v>2791</v>
      </c>
      <c r="C312" t="s">
        <v>996</v>
      </c>
      <c r="D312" t="s">
        <v>3279</v>
      </c>
      <c r="E312" s="1">
        <v>45121.958333333336</v>
      </c>
      <c r="F312" s="1" t="str">
        <f t="shared" si="4"/>
        <v>Friday</v>
      </c>
      <c r="G312" t="s">
        <v>1034</v>
      </c>
      <c r="H312" t="s">
        <v>3721</v>
      </c>
      <c r="I312" t="s">
        <v>875</v>
      </c>
      <c r="J312" t="s">
        <v>4104</v>
      </c>
      <c r="K312" t="s">
        <v>1035</v>
      </c>
      <c r="L312">
        <v>13</v>
      </c>
      <c r="M312">
        <v>26</v>
      </c>
      <c r="N312" t="s">
        <v>110</v>
      </c>
      <c r="O312" t="s">
        <v>3432</v>
      </c>
      <c r="P312">
        <v>2023</v>
      </c>
      <c r="Q312">
        <v>7</v>
      </c>
      <c r="R312">
        <v>14</v>
      </c>
      <c r="S312">
        <v>23</v>
      </c>
      <c r="T312" t="str">
        <f>TEXT(Table1[[#This Row],[Month]],"MMMM")</f>
        <v>January</v>
      </c>
    </row>
    <row r="313" spans="1:20" x14ac:dyDescent="0.25">
      <c r="A313" t="s">
        <v>1036</v>
      </c>
      <c r="B313" t="s">
        <v>2792</v>
      </c>
      <c r="C313" t="s">
        <v>985</v>
      </c>
      <c r="D313" t="s">
        <v>3277</v>
      </c>
      <c r="E313" s="1">
        <v>43926.680555555555</v>
      </c>
      <c r="F313" s="1" t="str">
        <f t="shared" si="4"/>
        <v>Sunday</v>
      </c>
      <c r="G313" t="s">
        <v>1037</v>
      </c>
      <c r="H313" t="s">
        <v>3722</v>
      </c>
      <c r="I313" t="s">
        <v>27</v>
      </c>
      <c r="J313" t="s">
        <v>4105</v>
      </c>
      <c r="K313" t="s">
        <v>1038</v>
      </c>
      <c r="L313">
        <v>10</v>
      </c>
      <c r="M313">
        <v>20</v>
      </c>
      <c r="N313" t="s">
        <v>165</v>
      </c>
      <c r="O313" t="s">
        <v>3403</v>
      </c>
      <c r="P313">
        <v>2020</v>
      </c>
      <c r="Q313">
        <v>4</v>
      </c>
      <c r="R313">
        <v>5</v>
      </c>
      <c r="S313">
        <v>16</v>
      </c>
      <c r="T313" t="str">
        <f>TEXT(Table1[[#This Row],[Month]],"MMMM")</f>
        <v>January</v>
      </c>
    </row>
    <row r="314" spans="1:20" x14ac:dyDescent="0.25">
      <c r="A314" t="s">
        <v>1039</v>
      </c>
      <c r="B314" t="s">
        <v>2793</v>
      </c>
      <c r="C314" t="s">
        <v>1004</v>
      </c>
      <c r="D314" t="s">
        <v>3281</v>
      </c>
      <c r="E314" s="1">
        <v>44529.364583333336</v>
      </c>
      <c r="F314" s="1" t="str">
        <f t="shared" si="4"/>
        <v>Monday</v>
      </c>
      <c r="G314" t="s">
        <v>1040</v>
      </c>
      <c r="H314" t="s">
        <v>3723</v>
      </c>
      <c r="I314" t="s">
        <v>32</v>
      </c>
      <c r="J314" t="s">
        <v>4106</v>
      </c>
      <c r="K314" t="s">
        <v>1041</v>
      </c>
      <c r="L314">
        <v>20</v>
      </c>
      <c r="M314">
        <v>40</v>
      </c>
      <c r="N314" t="s">
        <v>99</v>
      </c>
      <c r="O314" t="s">
        <v>60</v>
      </c>
      <c r="P314">
        <v>2021</v>
      </c>
      <c r="Q314">
        <v>11</v>
      </c>
      <c r="R314">
        <v>29</v>
      </c>
      <c r="S314">
        <v>8</v>
      </c>
      <c r="T314" t="str">
        <f>TEXT(Table1[[#This Row],[Month]],"MMMM")</f>
        <v>January</v>
      </c>
    </row>
    <row r="315" spans="1:20" x14ac:dyDescent="0.25">
      <c r="A315" t="s">
        <v>1042</v>
      </c>
      <c r="B315" t="s">
        <v>2794</v>
      </c>
      <c r="C315" t="s">
        <v>1008</v>
      </c>
      <c r="D315" t="s">
        <v>3282</v>
      </c>
      <c r="E315" s="1">
        <v>43811.708333333336</v>
      </c>
      <c r="F315" s="1" t="str">
        <f t="shared" si="4"/>
        <v>Thursday</v>
      </c>
      <c r="G315" t="s">
        <v>1043</v>
      </c>
      <c r="H315" t="s">
        <v>3724</v>
      </c>
      <c r="I315" t="s">
        <v>875</v>
      </c>
      <c r="J315" t="s">
        <v>4104</v>
      </c>
      <c r="K315" t="s">
        <v>1044</v>
      </c>
      <c r="L315">
        <v>16</v>
      </c>
      <c r="M315">
        <v>32</v>
      </c>
      <c r="N315" t="s">
        <v>39</v>
      </c>
      <c r="O315" t="s">
        <v>3402</v>
      </c>
      <c r="P315">
        <v>2019</v>
      </c>
      <c r="Q315">
        <v>12</v>
      </c>
      <c r="R315">
        <v>12</v>
      </c>
      <c r="S315">
        <v>17</v>
      </c>
      <c r="T315" t="str">
        <f>TEXT(Table1[[#This Row],[Month]],"MMMM")</f>
        <v>January</v>
      </c>
    </row>
    <row r="316" spans="1:20" x14ac:dyDescent="0.25">
      <c r="A316" t="s">
        <v>1045</v>
      </c>
      <c r="B316" t="s">
        <v>2795</v>
      </c>
      <c r="C316" t="s">
        <v>1012</v>
      </c>
      <c r="D316" t="s">
        <v>3283</v>
      </c>
      <c r="E316" s="1">
        <v>44701.618055555555</v>
      </c>
      <c r="F316" s="1" t="str">
        <f t="shared" si="4"/>
        <v>Friday</v>
      </c>
      <c r="G316" t="s">
        <v>1046</v>
      </c>
      <c r="H316" t="s">
        <v>3725</v>
      </c>
      <c r="I316" t="s">
        <v>27</v>
      </c>
      <c r="J316" t="s">
        <v>4105</v>
      </c>
      <c r="K316" t="s">
        <v>1047</v>
      </c>
      <c r="L316">
        <v>25</v>
      </c>
      <c r="M316">
        <v>50</v>
      </c>
      <c r="N316" t="s">
        <v>124</v>
      </c>
      <c r="O316" t="s">
        <v>3401</v>
      </c>
      <c r="P316">
        <v>2022</v>
      </c>
      <c r="Q316">
        <v>5</v>
      </c>
      <c r="R316">
        <v>20</v>
      </c>
      <c r="S316">
        <v>14</v>
      </c>
      <c r="T316" t="str">
        <f>TEXT(Table1[[#This Row],[Month]],"MMMM")</f>
        <v>January</v>
      </c>
    </row>
    <row r="317" spans="1:20" x14ac:dyDescent="0.25">
      <c r="A317" t="s">
        <v>1048</v>
      </c>
      <c r="B317" t="s">
        <v>2796</v>
      </c>
      <c r="C317" t="s">
        <v>1016</v>
      </c>
      <c r="D317" t="s">
        <v>3284</v>
      </c>
      <c r="E317" s="1">
        <v>44077.510416666664</v>
      </c>
      <c r="F317" s="1" t="str">
        <f t="shared" si="4"/>
        <v>Thursday</v>
      </c>
      <c r="G317" t="s">
        <v>1049</v>
      </c>
      <c r="H317" t="s">
        <v>3726</v>
      </c>
      <c r="I317" t="s">
        <v>32</v>
      </c>
      <c r="J317" t="s">
        <v>4106</v>
      </c>
      <c r="K317" t="s">
        <v>1050</v>
      </c>
      <c r="L317">
        <v>14</v>
      </c>
      <c r="M317">
        <v>28</v>
      </c>
      <c r="N317" t="s">
        <v>110</v>
      </c>
      <c r="O317" t="s">
        <v>3432</v>
      </c>
      <c r="P317">
        <v>2020</v>
      </c>
      <c r="Q317">
        <v>9</v>
      </c>
      <c r="R317">
        <v>3</v>
      </c>
      <c r="S317">
        <v>12</v>
      </c>
      <c r="T317" t="str">
        <f>TEXT(Table1[[#This Row],[Month]],"MMMM")</f>
        <v>January</v>
      </c>
    </row>
    <row r="318" spans="1:20" x14ac:dyDescent="0.25">
      <c r="A318" t="s">
        <v>1051</v>
      </c>
      <c r="B318" t="s">
        <v>2797</v>
      </c>
      <c r="C318" t="s">
        <v>1020</v>
      </c>
      <c r="D318" t="s">
        <v>3285</v>
      </c>
      <c r="E318" s="1">
        <v>44237.8125</v>
      </c>
      <c r="F318" s="1" t="str">
        <f t="shared" si="4"/>
        <v>Wednesday</v>
      </c>
      <c r="G318" t="s">
        <v>1052</v>
      </c>
      <c r="H318" t="s">
        <v>3727</v>
      </c>
      <c r="I318" t="s">
        <v>875</v>
      </c>
      <c r="J318" t="s">
        <v>4104</v>
      </c>
      <c r="K318" t="s">
        <v>1053</v>
      </c>
      <c r="L318">
        <v>20</v>
      </c>
      <c r="M318">
        <v>40</v>
      </c>
      <c r="N318" t="s">
        <v>99</v>
      </c>
      <c r="O318" t="s">
        <v>60</v>
      </c>
      <c r="P318">
        <v>2021</v>
      </c>
      <c r="Q318">
        <v>2</v>
      </c>
      <c r="R318">
        <v>10</v>
      </c>
      <c r="S318">
        <v>19</v>
      </c>
      <c r="T318" t="str">
        <f>TEXT(Table1[[#This Row],[Month]],"MMMM")</f>
        <v>January</v>
      </c>
    </row>
    <row r="319" spans="1:20" x14ac:dyDescent="0.25">
      <c r="A319" t="s">
        <v>1054</v>
      </c>
      <c r="B319" t="s">
        <v>2798</v>
      </c>
      <c r="C319" t="s">
        <v>1024</v>
      </c>
      <c r="D319" t="s">
        <v>3286</v>
      </c>
      <c r="E319" s="1">
        <v>43330.611111111109</v>
      </c>
      <c r="F319" s="1" t="str">
        <f t="shared" si="4"/>
        <v>Saturday</v>
      </c>
      <c r="G319" t="s">
        <v>1055</v>
      </c>
      <c r="H319" t="s">
        <v>3728</v>
      </c>
      <c r="I319" t="s">
        <v>27</v>
      </c>
      <c r="J319" t="s">
        <v>4105</v>
      </c>
      <c r="K319" t="s">
        <v>1056</v>
      </c>
      <c r="L319">
        <v>12</v>
      </c>
      <c r="M319">
        <v>24</v>
      </c>
      <c r="N319" t="s">
        <v>39</v>
      </c>
      <c r="O319" t="s">
        <v>3402</v>
      </c>
      <c r="P319">
        <v>2018</v>
      </c>
      <c r="Q319">
        <v>8</v>
      </c>
      <c r="R319">
        <v>18</v>
      </c>
      <c r="S319">
        <v>14</v>
      </c>
      <c r="T319" t="str">
        <f>TEXT(Table1[[#This Row],[Month]],"MMMM")</f>
        <v>January</v>
      </c>
    </row>
    <row r="320" spans="1:20" x14ac:dyDescent="0.25">
      <c r="A320" t="s">
        <v>1057</v>
      </c>
      <c r="B320" t="s">
        <v>2799</v>
      </c>
      <c r="C320" t="s">
        <v>981</v>
      </c>
      <c r="D320" t="s">
        <v>3248</v>
      </c>
      <c r="E320" s="1">
        <v>44620.875</v>
      </c>
      <c r="F320" s="1" t="str">
        <f t="shared" si="4"/>
        <v>Monday</v>
      </c>
      <c r="G320" t="s">
        <v>1058</v>
      </c>
      <c r="H320" t="s">
        <v>3729</v>
      </c>
      <c r="I320" t="s">
        <v>32</v>
      </c>
      <c r="J320" t="s">
        <v>4106</v>
      </c>
      <c r="K320" t="s">
        <v>1059</v>
      </c>
      <c r="L320">
        <v>8</v>
      </c>
      <c r="M320">
        <v>16</v>
      </c>
      <c r="N320" t="s">
        <v>124</v>
      </c>
      <c r="O320" t="s">
        <v>3401</v>
      </c>
      <c r="P320">
        <v>2022</v>
      </c>
      <c r="Q320">
        <v>2</v>
      </c>
      <c r="R320">
        <v>28</v>
      </c>
      <c r="S320">
        <v>21</v>
      </c>
      <c r="T320" t="str">
        <f>TEXT(Table1[[#This Row],[Month]],"MMMM")</f>
        <v>January</v>
      </c>
    </row>
    <row r="321" spans="1:20" x14ac:dyDescent="0.25">
      <c r="A321" t="s">
        <v>1060</v>
      </c>
      <c r="B321" t="s">
        <v>2800</v>
      </c>
      <c r="C321" t="s">
        <v>985</v>
      </c>
      <c r="D321" t="s">
        <v>3277</v>
      </c>
      <c r="E321" s="1">
        <v>43753.4375</v>
      </c>
      <c r="F321" s="1" t="str">
        <f t="shared" si="4"/>
        <v>Tuesday</v>
      </c>
      <c r="G321" t="s">
        <v>1061</v>
      </c>
      <c r="H321" t="s">
        <v>3730</v>
      </c>
      <c r="I321" t="s">
        <v>875</v>
      </c>
      <c r="J321" t="s">
        <v>4104</v>
      </c>
      <c r="K321" t="s">
        <v>1062</v>
      </c>
      <c r="L321">
        <v>15</v>
      </c>
      <c r="M321">
        <v>30</v>
      </c>
      <c r="N321" t="s">
        <v>110</v>
      </c>
      <c r="O321" t="s">
        <v>3432</v>
      </c>
      <c r="P321">
        <v>2019</v>
      </c>
      <c r="Q321">
        <v>10</v>
      </c>
      <c r="R321">
        <v>15</v>
      </c>
      <c r="S321">
        <v>10</v>
      </c>
      <c r="T321" t="str">
        <f>TEXT(Table1[[#This Row],[Month]],"MMMM")</f>
        <v>January</v>
      </c>
    </row>
    <row r="322" spans="1:20" x14ac:dyDescent="0.25">
      <c r="A322" t="s">
        <v>1063</v>
      </c>
      <c r="B322" t="s">
        <v>2801</v>
      </c>
      <c r="C322" t="s">
        <v>650</v>
      </c>
      <c r="D322" t="s">
        <v>3250</v>
      </c>
      <c r="E322" s="1">
        <v>43070.784722222219</v>
      </c>
      <c r="F322" s="1" t="str">
        <f t="shared" si="4"/>
        <v>Friday</v>
      </c>
      <c r="G322" t="s">
        <v>1064</v>
      </c>
      <c r="H322" t="s">
        <v>3731</v>
      </c>
      <c r="I322" t="s">
        <v>27</v>
      </c>
      <c r="J322" t="s">
        <v>4105</v>
      </c>
      <c r="K322" t="s">
        <v>1065</v>
      </c>
      <c r="L322">
        <v>18</v>
      </c>
      <c r="M322">
        <v>36</v>
      </c>
      <c r="N322" t="s">
        <v>99</v>
      </c>
      <c r="O322" t="s">
        <v>60</v>
      </c>
      <c r="P322">
        <v>2017</v>
      </c>
      <c r="Q322">
        <v>12</v>
      </c>
      <c r="R322">
        <v>1</v>
      </c>
      <c r="S322">
        <v>18</v>
      </c>
      <c r="T322" t="str">
        <f>TEXT(Table1[[#This Row],[Month]],"MMMM")</f>
        <v>January</v>
      </c>
    </row>
    <row r="323" spans="1:20" x14ac:dyDescent="0.25">
      <c r="A323" t="s">
        <v>1066</v>
      </c>
      <c r="B323" t="s">
        <v>2802</v>
      </c>
      <c r="C323" t="s">
        <v>992</v>
      </c>
      <c r="D323" t="s">
        <v>3278</v>
      </c>
      <c r="E323" s="1">
        <v>43939.677083333336</v>
      </c>
      <c r="F323" s="1" t="str">
        <f t="shared" ref="F323:F386" si="5">TEXT(E323,"DDDD")</f>
        <v>Saturday</v>
      </c>
      <c r="G323" t="s">
        <v>1067</v>
      </c>
      <c r="H323" t="s">
        <v>3732</v>
      </c>
      <c r="I323" t="s">
        <v>32</v>
      </c>
      <c r="J323" t="s">
        <v>4106</v>
      </c>
      <c r="K323" t="s">
        <v>1068</v>
      </c>
      <c r="L323">
        <v>10</v>
      </c>
      <c r="M323">
        <v>20</v>
      </c>
      <c r="N323" t="s">
        <v>39</v>
      </c>
      <c r="O323" t="s">
        <v>3402</v>
      </c>
      <c r="P323">
        <v>2020</v>
      </c>
      <c r="Q323">
        <v>4</v>
      </c>
      <c r="R323">
        <v>18</v>
      </c>
      <c r="S323">
        <v>16</v>
      </c>
      <c r="T323" t="str">
        <f>TEXT(Table1[[#This Row],[Month]],"MMMM")</f>
        <v>January</v>
      </c>
    </row>
    <row r="324" spans="1:20" x14ac:dyDescent="0.25">
      <c r="A324" t="s">
        <v>1069</v>
      </c>
      <c r="B324" t="s">
        <v>2803</v>
      </c>
      <c r="C324" t="s">
        <v>996</v>
      </c>
      <c r="D324" t="s">
        <v>3279</v>
      </c>
      <c r="E324" s="1">
        <v>44933.145833333336</v>
      </c>
      <c r="F324" s="1" t="str">
        <f t="shared" si="5"/>
        <v>Saturday</v>
      </c>
      <c r="G324" t="s">
        <v>997</v>
      </c>
      <c r="H324" t="s">
        <v>3711</v>
      </c>
      <c r="I324" t="s">
        <v>875</v>
      </c>
      <c r="J324" t="s">
        <v>4104</v>
      </c>
      <c r="K324" t="s">
        <v>1070</v>
      </c>
      <c r="L324">
        <v>18</v>
      </c>
      <c r="M324">
        <v>36</v>
      </c>
      <c r="N324" t="s">
        <v>165</v>
      </c>
      <c r="O324" t="s">
        <v>3403</v>
      </c>
      <c r="P324">
        <v>2023</v>
      </c>
      <c r="Q324">
        <v>1</v>
      </c>
      <c r="R324">
        <v>7</v>
      </c>
      <c r="S324">
        <v>3</v>
      </c>
      <c r="T324" t="str">
        <f>TEXT(Table1[[#This Row],[Month]],"MMMM")</f>
        <v>January</v>
      </c>
    </row>
    <row r="325" spans="1:20" x14ac:dyDescent="0.25">
      <c r="A325" t="s">
        <v>1071</v>
      </c>
      <c r="B325" t="s">
        <v>2804</v>
      </c>
      <c r="C325" t="s">
        <v>1000</v>
      </c>
      <c r="D325" t="s">
        <v>3280</v>
      </c>
      <c r="E325" s="1">
        <v>44357.416666666664</v>
      </c>
      <c r="F325" s="1" t="str">
        <f t="shared" si="5"/>
        <v>Thursday</v>
      </c>
      <c r="G325" t="s">
        <v>969</v>
      </c>
      <c r="H325" t="s">
        <v>3703</v>
      </c>
      <c r="I325" t="s">
        <v>27</v>
      </c>
      <c r="J325" t="s">
        <v>4105</v>
      </c>
      <c r="K325" t="s">
        <v>1072</v>
      </c>
      <c r="L325">
        <v>14</v>
      </c>
      <c r="M325">
        <v>28</v>
      </c>
      <c r="N325" t="s">
        <v>124</v>
      </c>
      <c r="O325" t="s">
        <v>3401</v>
      </c>
      <c r="P325">
        <v>2021</v>
      </c>
      <c r="Q325">
        <v>6</v>
      </c>
      <c r="R325">
        <v>10</v>
      </c>
      <c r="S325">
        <v>10</v>
      </c>
      <c r="T325" t="str">
        <f>TEXT(Table1[[#This Row],[Month]],"MMMM")</f>
        <v>January</v>
      </c>
    </row>
    <row r="326" spans="1:20" x14ac:dyDescent="0.25">
      <c r="A326" t="s">
        <v>1073</v>
      </c>
      <c r="B326" t="s">
        <v>2805</v>
      </c>
      <c r="C326" t="s">
        <v>1004</v>
      </c>
      <c r="D326" t="s">
        <v>3281</v>
      </c>
      <c r="E326" s="1">
        <v>43883.638888888891</v>
      </c>
      <c r="F326" s="1" t="str">
        <f t="shared" si="5"/>
        <v>Saturday</v>
      </c>
      <c r="G326" t="s">
        <v>1074</v>
      </c>
      <c r="H326" t="s">
        <v>3733</v>
      </c>
      <c r="I326" t="s">
        <v>32</v>
      </c>
      <c r="J326" t="s">
        <v>4106</v>
      </c>
      <c r="K326" t="s">
        <v>1075</v>
      </c>
      <c r="L326">
        <v>22</v>
      </c>
      <c r="M326">
        <v>44</v>
      </c>
      <c r="N326" t="s">
        <v>99</v>
      </c>
      <c r="O326" t="s">
        <v>60</v>
      </c>
      <c r="P326">
        <v>2020</v>
      </c>
      <c r="Q326">
        <v>2</v>
      </c>
      <c r="R326">
        <v>22</v>
      </c>
      <c r="S326">
        <v>15</v>
      </c>
      <c r="T326" t="str">
        <f>TEXT(Table1[[#This Row],[Month]],"MMMM")</f>
        <v>January</v>
      </c>
    </row>
    <row r="327" spans="1:20" x14ac:dyDescent="0.25">
      <c r="A327" t="s">
        <v>1076</v>
      </c>
      <c r="B327" t="s">
        <v>2806</v>
      </c>
      <c r="C327" t="s">
        <v>1008</v>
      </c>
      <c r="D327" t="s">
        <v>3282</v>
      </c>
      <c r="E327" s="1">
        <v>43176.614583333336</v>
      </c>
      <c r="F327" s="1" t="str">
        <f t="shared" si="5"/>
        <v>Saturday</v>
      </c>
      <c r="G327" t="s">
        <v>1077</v>
      </c>
      <c r="H327" t="s">
        <v>3734</v>
      </c>
      <c r="I327" t="s">
        <v>875</v>
      </c>
      <c r="J327" t="s">
        <v>4104</v>
      </c>
      <c r="K327" t="s">
        <v>1078</v>
      </c>
      <c r="L327">
        <v>16</v>
      </c>
      <c r="M327">
        <v>32</v>
      </c>
      <c r="N327" t="s">
        <v>110</v>
      </c>
      <c r="O327" t="s">
        <v>3432</v>
      </c>
      <c r="P327">
        <v>2018</v>
      </c>
      <c r="Q327">
        <v>3</v>
      </c>
      <c r="R327">
        <v>17</v>
      </c>
      <c r="S327">
        <v>14</v>
      </c>
      <c r="T327" t="str">
        <f>TEXT(Table1[[#This Row],[Month]],"MMMM")</f>
        <v>January</v>
      </c>
    </row>
    <row r="328" spans="1:20" x14ac:dyDescent="0.25">
      <c r="A328" t="s">
        <v>1079</v>
      </c>
      <c r="B328" t="s">
        <v>2807</v>
      </c>
      <c r="C328" t="s">
        <v>1012</v>
      </c>
      <c r="D328" t="s">
        <v>3283</v>
      </c>
      <c r="E328" s="1">
        <v>44862.46875</v>
      </c>
      <c r="F328" s="1" t="str">
        <f t="shared" si="5"/>
        <v>Friday</v>
      </c>
      <c r="G328" t="s">
        <v>1080</v>
      </c>
      <c r="H328" t="s">
        <v>3735</v>
      </c>
      <c r="I328" t="s">
        <v>27</v>
      </c>
      <c r="J328" t="s">
        <v>4105</v>
      </c>
      <c r="K328" t="s">
        <v>1081</v>
      </c>
      <c r="L328">
        <v>25</v>
      </c>
      <c r="M328">
        <v>50</v>
      </c>
      <c r="N328" t="s">
        <v>39</v>
      </c>
      <c r="O328" t="s">
        <v>3402</v>
      </c>
      <c r="P328">
        <v>2022</v>
      </c>
      <c r="Q328">
        <v>10</v>
      </c>
      <c r="R328">
        <v>28</v>
      </c>
      <c r="S328">
        <v>11</v>
      </c>
      <c r="T328" t="str">
        <f>TEXT(Table1[[#This Row],[Month]],"MMMM")</f>
        <v>January</v>
      </c>
    </row>
    <row r="329" spans="1:20" x14ac:dyDescent="0.25">
      <c r="A329" t="s">
        <v>1082</v>
      </c>
      <c r="B329" t="s">
        <v>2808</v>
      </c>
      <c r="C329" t="s">
        <v>1016</v>
      </c>
      <c r="D329" t="s">
        <v>3284</v>
      </c>
      <c r="E329" s="1">
        <v>44136.520833333336</v>
      </c>
      <c r="F329" s="1" t="str">
        <f t="shared" si="5"/>
        <v>Sunday</v>
      </c>
      <c r="G329" t="s">
        <v>1083</v>
      </c>
      <c r="H329" t="s">
        <v>3736</v>
      </c>
      <c r="I329" t="s">
        <v>32</v>
      </c>
      <c r="J329" t="s">
        <v>4106</v>
      </c>
      <c r="K329" t="s">
        <v>1084</v>
      </c>
      <c r="L329">
        <v>14</v>
      </c>
      <c r="M329">
        <v>28</v>
      </c>
      <c r="N329" t="s">
        <v>165</v>
      </c>
      <c r="O329" t="s">
        <v>3403</v>
      </c>
      <c r="P329">
        <v>2020</v>
      </c>
      <c r="Q329">
        <v>11</v>
      </c>
      <c r="R329">
        <v>1</v>
      </c>
      <c r="S329">
        <v>12</v>
      </c>
      <c r="T329" t="str">
        <f>TEXT(Table1[[#This Row],[Month]],"MMMM")</f>
        <v>January</v>
      </c>
    </row>
    <row r="330" spans="1:20" x14ac:dyDescent="0.25">
      <c r="A330" t="s">
        <v>1085</v>
      </c>
      <c r="B330" t="s">
        <v>2809</v>
      </c>
      <c r="C330" t="s">
        <v>1020</v>
      </c>
      <c r="D330" t="s">
        <v>3285</v>
      </c>
      <c r="E330" s="1">
        <v>44211.923611111109</v>
      </c>
      <c r="F330" s="1" t="str">
        <f t="shared" si="5"/>
        <v>Friday</v>
      </c>
      <c r="G330" t="s">
        <v>1086</v>
      </c>
      <c r="H330" t="s">
        <v>3737</v>
      </c>
      <c r="I330" t="s">
        <v>875</v>
      </c>
      <c r="J330" t="s">
        <v>4104</v>
      </c>
      <c r="K330" t="s">
        <v>1087</v>
      </c>
      <c r="L330">
        <v>20</v>
      </c>
      <c r="M330">
        <v>40</v>
      </c>
      <c r="N330" t="s">
        <v>99</v>
      </c>
      <c r="O330" t="s">
        <v>60</v>
      </c>
      <c r="P330">
        <v>2021</v>
      </c>
      <c r="Q330">
        <v>1</v>
      </c>
      <c r="R330">
        <v>15</v>
      </c>
      <c r="S330">
        <v>22</v>
      </c>
      <c r="T330" t="str">
        <f>TEXT(Table1[[#This Row],[Month]],"MMMM")</f>
        <v>January</v>
      </c>
    </row>
    <row r="331" spans="1:20" x14ac:dyDescent="0.25">
      <c r="A331" t="s">
        <v>1054</v>
      </c>
      <c r="B331" t="s">
        <v>2798</v>
      </c>
      <c r="C331" t="s">
        <v>1024</v>
      </c>
      <c r="D331" t="s">
        <v>3286</v>
      </c>
      <c r="E331" s="1">
        <v>43330.583333333336</v>
      </c>
      <c r="F331" s="1" t="str">
        <f t="shared" si="5"/>
        <v>Saturday</v>
      </c>
      <c r="G331" t="s">
        <v>1025</v>
      </c>
      <c r="H331" t="s">
        <v>3718</v>
      </c>
      <c r="I331" t="s">
        <v>27</v>
      </c>
      <c r="J331" t="s">
        <v>4105</v>
      </c>
      <c r="K331" t="s">
        <v>1056</v>
      </c>
      <c r="L331">
        <v>12</v>
      </c>
      <c r="M331">
        <v>24</v>
      </c>
      <c r="N331" t="s">
        <v>39</v>
      </c>
      <c r="O331" t="s">
        <v>3402</v>
      </c>
      <c r="P331">
        <v>2018</v>
      </c>
      <c r="Q331">
        <v>8</v>
      </c>
      <c r="R331">
        <v>18</v>
      </c>
      <c r="S331">
        <v>14</v>
      </c>
      <c r="T331" t="str">
        <f>TEXT(Table1[[#This Row],[Month]],"MMMM")</f>
        <v>January</v>
      </c>
    </row>
    <row r="332" spans="1:20" x14ac:dyDescent="0.25">
      <c r="A332" t="s">
        <v>1027</v>
      </c>
      <c r="B332" t="s">
        <v>2789</v>
      </c>
      <c r="C332" t="s">
        <v>1016</v>
      </c>
      <c r="D332" t="s">
        <v>3284</v>
      </c>
      <c r="E332" s="1">
        <v>44568.465277777781</v>
      </c>
      <c r="F332" s="1" t="str">
        <f t="shared" si="5"/>
        <v>Friday</v>
      </c>
      <c r="G332" t="s">
        <v>1028</v>
      </c>
      <c r="H332" t="s">
        <v>3719</v>
      </c>
      <c r="I332" t="s">
        <v>875</v>
      </c>
      <c r="J332" t="s">
        <v>4104</v>
      </c>
      <c r="K332" t="s">
        <v>1029</v>
      </c>
      <c r="L332">
        <v>15</v>
      </c>
      <c r="M332">
        <v>30</v>
      </c>
      <c r="N332" t="s">
        <v>124</v>
      </c>
      <c r="O332" t="s">
        <v>3401</v>
      </c>
      <c r="P332">
        <v>2022</v>
      </c>
      <c r="Q332">
        <v>1</v>
      </c>
      <c r="R332">
        <v>7</v>
      </c>
      <c r="S332">
        <v>11</v>
      </c>
      <c r="T332" t="str">
        <f>TEXT(Table1[[#This Row],[Month]],"MMMM")</f>
        <v>January</v>
      </c>
    </row>
    <row r="333" spans="1:20" x14ac:dyDescent="0.25">
      <c r="A333" t="s">
        <v>1030</v>
      </c>
      <c r="B333" t="s">
        <v>2790</v>
      </c>
      <c r="C333" t="s">
        <v>650</v>
      </c>
      <c r="D333" t="s">
        <v>3250</v>
      </c>
      <c r="E333" s="1">
        <v>43727.145833333336</v>
      </c>
      <c r="F333" s="1" t="str">
        <f t="shared" si="5"/>
        <v>Thursday</v>
      </c>
      <c r="G333" t="s">
        <v>1031</v>
      </c>
      <c r="H333" t="s">
        <v>3720</v>
      </c>
      <c r="I333" t="s">
        <v>32</v>
      </c>
      <c r="J333" t="s">
        <v>4106</v>
      </c>
      <c r="K333" t="s">
        <v>1032</v>
      </c>
      <c r="L333">
        <v>18</v>
      </c>
      <c r="M333">
        <v>36</v>
      </c>
      <c r="N333" t="s">
        <v>39</v>
      </c>
      <c r="O333" t="s">
        <v>3402</v>
      </c>
      <c r="P333">
        <v>2019</v>
      </c>
      <c r="Q333">
        <v>9</v>
      </c>
      <c r="R333">
        <v>19</v>
      </c>
      <c r="S333">
        <v>3</v>
      </c>
      <c r="T333" t="str">
        <f>TEXT(Table1[[#This Row],[Month]],"MMMM")</f>
        <v>January</v>
      </c>
    </row>
    <row r="334" spans="1:20" x14ac:dyDescent="0.25">
      <c r="A334" t="s">
        <v>1088</v>
      </c>
      <c r="B334" t="s">
        <v>2810</v>
      </c>
      <c r="C334" t="s">
        <v>1089</v>
      </c>
      <c r="D334" t="s">
        <v>3222</v>
      </c>
      <c r="E334" s="1">
        <v>44654.260416666664</v>
      </c>
      <c r="F334" s="1" t="str">
        <f t="shared" si="5"/>
        <v>Sunday</v>
      </c>
      <c r="G334" t="s">
        <v>1090</v>
      </c>
      <c r="H334" t="s">
        <v>3496</v>
      </c>
      <c r="I334" t="s">
        <v>27</v>
      </c>
      <c r="J334" t="s">
        <v>4105</v>
      </c>
      <c r="K334" t="s">
        <v>1091</v>
      </c>
      <c r="L334">
        <v>28</v>
      </c>
      <c r="M334">
        <v>55</v>
      </c>
      <c r="N334" t="s">
        <v>1092</v>
      </c>
      <c r="O334" t="s">
        <v>60</v>
      </c>
      <c r="P334">
        <v>2022</v>
      </c>
      <c r="Q334">
        <v>4</v>
      </c>
      <c r="R334">
        <v>3</v>
      </c>
      <c r="S334">
        <v>6</v>
      </c>
      <c r="T334" t="str">
        <f>TEXT(Table1[[#This Row],[Month]],"MMMM")</f>
        <v>January</v>
      </c>
    </row>
    <row r="335" spans="1:20" x14ac:dyDescent="0.25">
      <c r="A335" t="s">
        <v>1093</v>
      </c>
      <c r="B335" t="s">
        <v>2811</v>
      </c>
      <c r="C335" t="s">
        <v>1094</v>
      </c>
      <c r="D335" t="s">
        <v>3266</v>
      </c>
      <c r="E335" s="1">
        <v>45211.4375</v>
      </c>
      <c r="F335" s="1" t="str">
        <f t="shared" si="5"/>
        <v>Thursday</v>
      </c>
      <c r="G335" t="s">
        <v>1095</v>
      </c>
      <c r="H335" t="s">
        <v>3738</v>
      </c>
      <c r="I335" t="s">
        <v>17</v>
      </c>
      <c r="J335" t="s">
        <v>4104</v>
      </c>
      <c r="K335" t="s">
        <v>1096</v>
      </c>
      <c r="L335">
        <v>15</v>
      </c>
      <c r="M335">
        <v>30</v>
      </c>
      <c r="N335" t="s">
        <v>1097</v>
      </c>
      <c r="O335" t="s">
        <v>3401</v>
      </c>
      <c r="P335">
        <v>2023</v>
      </c>
      <c r="Q335">
        <v>10</v>
      </c>
      <c r="R335">
        <v>12</v>
      </c>
      <c r="S335">
        <v>10</v>
      </c>
      <c r="T335" t="str">
        <f>TEXT(Table1[[#This Row],[Month]],"MMMM")</f>
        <v>January</v>
      </c>
    </row>
    <row r="336" spans="1:20" x14ac:dyDescent="0.25">
      <c r="A336" t="s">
        <v>1098</v>
      </c>
      <c r="B336" t="s">
        <v>2812</v>
      </c>
      <c r="C336" t="s">
        <v>1099</v>
      </c>
      <c r="D336" t="s">
        <v>3264</v>
      </c>
      <c r="E336" s="1">
        <v>43644.791666666664</v>
      </c>
      <c r="F336" s="1" t="str">
        <f t="shared" si="5"/>
        <v>Friday</v>
      </c>
      <c r="G336" t="s">
        <v>1100</v>
      </c>
      <c r="H336" t="s">
        <v>3739</v>
      </c>
      <c r="I336" t="s">
        <v>32</v>
      </c>
      <c r="J336" t="s">
        <v>4106</v>
      </c>
      <c r="K336" t="s">
        <v>1101</v>
      </c>
      <c r="L336">
        <v>22</v>
      </c>
      <c r="M336">
        <v>45</v>
      </c>
      <c r="N336" t="s">
        <v>1102</v>
      </c>
      <c r="O336" t="s">
        <v>3432</v>
      </c>
      <c r="P336">
        <v>2019</v>
      </c>
      <c r="Q336">
        <v>6</v>
      </c>
      <c r="R336">
        <v>28</v>
      </c>
      <c r="S336">
        <v>19</v>
      </c>
      <c r="T336" t="str">
        <f>TEXT(Table1[[#This Row],[Month]],"MMMM")</f>
        <v>January</v>
      </c>
    </row>
    <row r="337" spans="1:20" x14ac:dyDescent="0.25">
      <c r="A337" t="s">
        <v>1103</v>
      </c>
      <c r="B337" t="s">
        <v>2813</v>
      </c>
      <c r="C337" t="s">
        <v>1104</v>
      </c>
      <c r="D337" t="s">
        <v>3287</v>
      </c>
      <c r="E337" s="1">
        <v>44089.614583333336</v>
      </c>
      <c r="F337" s="1" t="str">
        <f t="shared" si="5"/>
        <v>Tuesday</v>
      </c>
      <c r="G337" t="s">
        <v>1105</v>
      </c>
      <c r="H337" t="s">
        <v>3740</v>
      </c>
      <c r="I337" t="s">
        <v>27</v>
      </c>
      <c r="J337" t="s">
        <v>4105</v>
      </c>
      <c r="K337" t="s">
        <v>1106</v>
      </c>
      <c r="L337">
        <v>40</v>
      </c>
      <c r="M337">
        <v>80</v>
      </c>
      <c r="N337" t="s">
        <v>1107</v>
      </c>
      <c r="O337" t="s">
        <v>3403</v>
      </c>
      <c r="P337">
        <v>2020</v>
      </c>
      <c r="Q337">
        <v>9</v>
      </c>
      <c r="R337">
        <v>15</v>
      </c>
      <c r="S337">
        <v>14</v>
      </c>
      <c r="T337" t="str">
        <f>TEXT(Table1[[#This Row],[Month]],"MMMM")</f>
        <v>January</v>
      </c>
    </row>
    <row r="338" spans="1:20" x14ac:dyDescent="0.25">
      <c r="A338" t="s">
        <v>1108</v>
      </c>
      <c r="B338" t="s">
        <v>2814</v>
      </c>
      <c r="C338" t="s">
        <v>1109</v>
      </c>
      <c r="D338" t="s">
        <v>3229</v>
      </c>
      <c r="E338" s="1">
        <v>43047.888888888891</v>
      </c>
      <c r="F338" s="1" t="str">
        <f t="shared" si="5"/>
        <v>Wednesday</v>
      </c>
      <c r="G338" t="s">
        <v>1110</v>
      </c>
      <c r="H338" t="s">
        <v>3741</v>
      </c>
      <c r="I338" t="s">
        <v>17</v>
      </c>
      <c r="J338" t="s">
        <v>4104</v>
      </c>
      <c r="K338" t="s">
        <v>1111</v>
      </c>
      <c r="L338">
        <v>18</v>
      </c>
      <c r="M338">
        <v>35</v>
      </c>
      <c r="N338" t="s">
        <v>1112</v>
      </c>
      <c r="O338" t="s">
        <v>3402</v>
      </c>
      <c r="P338">
        <v>2017</v>
      </c>
      <c r="Q338">
        <v>11</v>
      </c>
      <c r="R338">
        <v>8</v>
      </c>
      <c r="S338">
        <v>21</v>
      </c>
      <c r="T338" t="str">
        <f>TEXT(Table1[[#This Row],[Month]],"MMMM")</f>
        <v>January</v>
      </c>
    </row>
    <row r="339" spans="1:20" x14ac:dyDescent="0.25">
      <c r="A339" t="s">
        <v>1113</v>
      </c>
      <c r="B339" t="s">
        <v>2815</v>
      </c>
      <c r="C339" t="s">
        <v>1114</v>
      </c>
      <c r="D339" t="s">
        <v>3281</v>
      </c>
      <c r="E339" s="1">
        <v>44336.729166666664</v>
      </c>
      <c r="F339" s="1" t="str">
        <f t="shared" si="5"/>
        <v>Thursday</v>
      </c>
      <c r="G339" t="s">
        <v>1115</v>
      </c>
      <c r="H339" t="s">
        <v>3742</v>
      </c>
      <c r="I339" t="s">
        <v>32</v>
      </c>
      <c r="J339" t="s">
        <v>4106</v>
      </c>
      <c r="K339" t="s">
        <v>1116</v>
      </c>
      <c r="L339">
        <v>25</v>
      </c>
      <c r="M339">
        <v>50</v>
      </c>
      <c r="N339" t="s">
        <v>1092</v>
      </c>
      <c r="O339" t="s">
        <v>60</v>
      </c>
      <c r="P339">
        <v>2021</v>
      </c>
      <c r="Q339">
        <v>5</v>
      </c>
      <c r="R339">
        <v>20</v>
      </c>
      <c r="S339">
        <v>17</v>
      </c>
      <c r="T339" t="str">
        <f>TEXT(Table1[[#This Row],[Month]],"MMMM")</f>
        <v>January</v>
      </c>
    </row>
    <row r="340" spans="1:20" x14ac:dyDescent="0.25">
      <c r="A340" t="s">
        <v>1117</v>
      </c>
      <c r="B340" t="s">
        <v>2816</v>
      </c>
      <c r="C340" t="s">
        <v>389</v>
      </c>
      <c r="D340" t="s">
        <v>3231</v>
      </c>
      <c r="E340" s="1">
        <v>44936.5</v>
      </c>
      <c r="F340" s="1" t="str">
        <f t="shared" si="5"/>
        <v>Tuesday</v>
      </c>
      <c r="G340" t="s">
        <v>285</v>
      </c>
      <c r="H340" t="s">
        <v>3507</v>
      </c>
      <c r="I340" t="s">
        <v>27</v>
      </c>
      <c r="J340" t="s">
        <v>4105</v>
      </c>
      <c r="K340" t="s">
        <v>1118</v>
      </c>
      <c r="L340">
        <v>30</v>
      </c>
      <c r="M340">
        <v>60</v>
      </c>
      <c r="N340" t="s">
        <v>1119</v>
      </c>
      <c r="O340" t="s">
        <v>3404</v>
      </c>
      <c r="P340">
        <v>2023</v>
      </c>
      <c r="Q340">
        <v>1</v>
      </c>
      <c r="R340">
        <v>10</v>
      </c>
      <c r="S340">
        <v>12</v>
      </c>
      <c r="T340" t="str">
        <f>TEXT(Table1[[#This Row],[Month]],"MMMM")</f>
        <v>January</v>
      </c>
    </row>
    <row r="341" spans="1:20" x14ac:dyDescent="0.25">
      <c r="A341" t="s">
        <v>1120</v>
      </c>
      <c r="B341" t="s">
        <v>2817</v>
      </c>
      <c r="C341" t="s">
        <v>1121</v>
      </c>
      <c r="D341" t="s">
        <v>3239</v>
      </c>
      <c r="E341" s="1">
        <v>43439.364583333336</v>
      </c>
      <c r="F341" s="1" t="str">
        <f t="shared" si="5"/>
        <v>Wednesday</v>
      </c>
      <c r="G341" t="s">
        <v>1122</v>
      </c>
      <c r="H341" t="s">
        <v>3743</v>
      </c>
      <c r="I341" t="s">
        <v>17</v>
      </c>
      <c r="J341" t="s">
        <v>4104</v>
      </c>
      <c r="K341" t="s">
        <v>1123</v>
      </c>
      <c r="L341">
        <v>35</v>
      </c>
      <c r="M341">
        <v>70</v>
      </c>
      <c r="N341" t="s">
        <v>1124</v>
      </c>
      <c r="O341" t="s">
        <v>3405</v>
      </c>
      <c r="P341">
        <v>2018</v>
      </c>
      <c r="Q341">
        <v>12</v>
      </c>
      <c r="R341">
        <v>5</v>
      </c>
      <c r="S341">
        <v>8</v>
      </c>
      <c r="T341" t="str">
        <f>TEXT(Table1[[#This Row],[Month]],"MMMM")</f>
        <v>January</v>
      </c>
    </row>
    <row r="342" spans="1:20" x14ac:dyDescent="0.25">
      <c r="A342" t="s">
        <v>1125</v>
      </c>
      <c r="B342" t="s">
        <v>2818</v>
      </c>
      <c r="C342" t="s">
        <v>1126</v>
      </c>
      <c r="D342" t="s">
        <v>3288</v>
      </c>
      <c r="E342" s="1">
        <v>43905.770833333336</v>
      </c>
      <c r="F342" s="1" t="str">
        <f t="shared" si="5"/>
        <v>Sunday</v>
      </c>
      <c r="G342" t="s">
        <v>1127</v>
      </c>
      <c r="H342" t="s">
        <v>3744</v>
      </c>
      <c r="I342" t="s">
        <v>27</v>
      </c>
      <c r="J342" t="s">
        <v>4105</v>
      </c>
      <c r="K342" t="s">
        <v>1128</v>
      </c>
      <c r="L342">
        <v>20</v>
      </c>
      <c r="M342">
        <v>40</v>
      </c>
      <c r="N342" t="s">
        <v>1129</v>
      </c>
      <c r="O342" t="s">
        <v>3406</v>
      </c>
      <c r="P342">
        <v>2020</v>
      </c>
      <c r="Q342">
        <v>3</v>
      </c>
      <c r="R342">
        <v>15</v>
      </c>
      <c r="S342">
        <v>18</v>
      </c>
      <c r="T342" t="str">
        <f>TEXT(Table1[[#This Row],[Month]],"MMMM")</f>
        <v>January</v>
      </c>
    </row>
    <row r="343" spans="1:20" x14ac:dyDescent="0.25">
      <c r="A343" t="s">
        <v>1130</v>
      </c>
      <c r="B343" t="s">
        <v>2819</v>
      </c>
      <c r="C343" t="s">
        <v>1131</v>
      </c>
      <c r="D343" t="s">
        <v>3260</v>
      </c>
      <c r="E343" s="1">
        <v>42604.631944444445</v>
      </c>
      <c r="F343" s="1" t="str">
        <f t="shared" si="5"/>
        <v>Monday</v>
      </c>
      <c r="G343" t="s">
        <v>1132</v>
      </c>
      <c r="H343" t="s">
        <v>3745</v>
      </c>
      <c r="I343" t="s">
        <v>32</v>
      </c>
      <c r="J343" t="s">
        <v>4106</v>
      </c>
      <c r="K343" t="s">
        <v>1133</v>
      </c>
      <c r="L343">
        <v>18</v>
      </c>
      <c r="M343">
        <v>35</v>
      </c>
      <c r="N343" t="s">
        <v>1134</v>
      </c>
      <c r="O343" t="s">
        <v>3407</v>
      </c>
      <c r="P343">
        <v>2016</v>
      </c>
      <c r="Q343">
        <v>8</v>
      </c>
      <c r="R343">
        <v>22</v>
      </c>
      <c r="S343">
        <v>15</v>
      </c>
      <c r="T343" t="str">
        <f>TEXT(Table1[[#This Row],[Month]],"MMMM")</f>
        <v>January</v>
      </c>
    </row>
    <row r="344" spans="1:20" x14ac:dyDescent="0.25">
      <c r="A344" t="s">
        <v>1135</v>
      </c>
      <c r="B344" t="s">
        <v>2820</v>
      </c>
      <c r="C344" t="s">
        <v>1136</v>
      </c>
      <c r="D344" t="s">
        <v>3220</v>
      </c>
      <c r="E344" s="1">
        <v>43697.666666666664</v>
      </c>
      <c r="F344" s="1" t="str">
        <f t="shared" si="5"/>
        <v>Tuesday</v>
      </c>
      <c r="G344" t="s">
        <v>1137</v>
      </c>
      <c r="H344" t="s">
        <v>3746</v>
      </c>
      <c r="I344" t="s">
        <v>27</v>
      </c>
      <c r="J344" t="s">
        <v>4105</v>
      </c>
      <c r="K344" t="s">
        <v>1138</v>
      </c>
      <c r="L344">
        <v>25</v>
      </c>
      <c r="M344">
        <v>50</v>
      </c>
      <c r="N344" t="s">
        <v>1092</v>
      </c>
      <c r="O344" t="s">
        <v>60</v>
      </c>
      <c r="P344">
        <v>2019</v>
      </c>
      <c r="Q344">
        <v>8</v>
      </c>
      <c r="R344">
        <v>20</v>
      </c>
      <c r="S344">
        <v>16</v>
      </c>
      <c r="T344" t="str">
        <f>TEXT(Table1[[#This Row],[Month]],"MMMM")</f>
        <v>January</v>
      </c>
    </row>
    <row r="345" spans="1:20" x14ac:dyDescent="0.25">
      <c r="A345" t="s">
        <v>1139</v>
      </c>
      <c r="B345" t="s">
        <v>2821</v>
      </c>
      <c r="C345" t="s">
        <v>1140</v>
      </c>
      <c r="D345" t="s">
        <v>3289</v>
      </c>
      <c r="E345" s="1">
        <v>44538.8125</v>
      </c>
      <c r="F345" s="1" t="str">
        <f t="shared" si="5"/>
        <v>Wednesday</v>
      </c>
      <c r="G345" t="s">
        <v>1141</v>
      </c>
      <c r="H345" t="s">
        <v>3747</v>
      </c>
      <c r="I345" t="s">
        <v>17</v>
      </c>
      <c r="J345" t="s">
        <v>4104</v>
      </c>
      <c r="K345" t="s">
        <v>1142</v>
      </c>
      <c r="L345">
        <v>18</v>
      </c>
      <c r="M345">
        <v>35</v>
      </c>
      <c r="N345" t="s">
        <v>1097</v>
      </c>
      <c r="O345" t="s">
        <v>3401</v>
      </c>
      <c r="P345">
        <v>2021</v>
      </c>
      <c r="Q345">
        <v>12</v>
      </c>
      <c r="R345">
        <v>8</v>
      </c>
      <c r="S345">
        <v>19</v>
      </c>
      <c r="T345" t="str">
        <f>TEXT(Table1[[#This Row],[Month]],"MMMM")</f>
        <v>January</v>
      </c>
    </row>
    <row r="346" spans="1:20" x14ac:dyDescent="0.25">
      <c r="A346" t="s">
        <v>1143</v>
      </c>
      <c r="B346" t="s">
        <v>2822</v>
      </c>
      <c r="C346" t="s">
        <v>1144</v>
      </c>
      <c r="D346" t="s">
        <v>3290</v>
      </c>
      <c r="E346" s="1">
        <v>43992.864583333336</v>
      </c>
      <c r="F346" s="1" t="str">
        <f t="shared" si="5"/>
        <v>Wednesday</v>
      </c>
      <c r="G346" t="s">
        <v>1145</v>
      </c>
      <c r="H346" t="s">
        <v>3466</v>
      </c>
      <c r="I346" t="s">
        <v>27</v>
      </c>
      <c r="J346" t="s">
        <v>4105</v>
      </c>
      <c r="K346" t="s">
        <v>1146</v>
      </c>
      <c r="L346">
        <v>30</v>
      </c>
      <c r="M346">
        <v>60</v>
      </c>
      <c r="N346" t="s">
        <v>1102</v>
      </c>
      <c r="O346" t="s">
        <v>3432</v>
      </c>
      <c r="P346">
        <v>2020</v>
      </c>
      <c r="Q346">
        <v>6</v>
      </c>
      <c r="R346">
        <v>10</v>
      </c>
      <c r="S346">
        <v>20</v>
      </c>
      <c r="T346" t="str">
        <f>TEXT(Table1[[#This Row],[Month]],"MMMM")</f>
        <v>January</v>
      </c>
    </row>
    <row r="347" spans="1:20" x14ac:dyDescent="0.25">
      <c r="A347" t="s">
        <v>1147</v>
      </c>
      <c r="B347" t="s">
        <v>2823</v>
      </c>
      <c r="C347" t="s">
        <v>1148</v>
      </c>
      <c r="D347" t="s">
        <v>3291</v>
      </c>
      <c r="E347" s="1">
        <v>44620.302083333336</v>
      </c>
      <c r="F347" s="1" t="str">
        <f t="shared" si="5"/>
        <v>Monday</v>
      </c>
      <c r="G347" t="s">
        <v>1149</v>
      </c>
      <c r="H347" t="s">
        <v>3748</v>
      </c>
      <c r="I347" t="s">
        <v>32</v>
      </c>
      <c r="J347" t="s">
        <v>4106</v>
      </c>
      <c r="K347" t="s">
        <v>1150</v>
      </c>
      <c r="L347">
        <v>40</v>
      </c>
      <c r="M347">
        <v>80</v>
      </c>
      <c r="N347" t="s">
        <v>1112</v>
      </c>
      <c r="O347" t="s">
        <v>3402</v>
      </c>
      <c r="P347">
        <v>2022</v>
      </c>
      <c r="Q347">
        <v>2</v>
      </c>
      <c r="R347">
        <v>28</v>
      </c>
      <c r="S347">
        <v>7</v>
      </c>
      <c r="T347" t="str">
        <f>TEXT(Table1[[#This Row],[Month]],"MMMM")</f>
        <v>January</v>
      </c>
    </row>
    <row r="348" spans="1:20" x14ac:dyDescent="0.25">
      <c r="A348" t="s">
        <v>1151</v>
      </c>
      <c r="B348" t="s">
        <v>2824</v>
      </c>
      <c r="C348" t="s">
        <v>421</v>
      </c>
      <c r="D348" t="s">
        <v>3239</v>
      </c>
      <c r="E348" s="1">
        <v>42840.333333333336</v>
      </c>
      <c r="F348" s="1" t="str">
        <f t="shared" si="5"/>
        <v>Saturday</v>
      </c>
      <c r="G348" t="s">
        <v>1152</v>
      </c>
      <c r="H348" t="s">
        <v>3749</v>
      </c>
      <c r="I348" t="s">
        <v>17</v>
      </c>
      <c r="J348" t="s">
        <v>4104</v>
      </c>
      <c r="K348" t="s">
        <v>1153</v>
      </c>
      <c r="L348">
        <v>22</v>
      </c>
      <c r="M348">
        <v>45</v>
      </c>
      <c r="N348" t="s">
        <v>1154</v>
      </c>
      <c r="O348" t="s">
        <v>3403</v>
      </c>
      <c r="P348">
        <v>2017</v>
      </c>
      <c r="Q348">
        <v>4</v>
      </c>
      <c r="R348">
        <v>15</v>
      </c>
      <c r="S348">
        <v>8</v>
      </c>
      <c r="T348" t="str">
        <f>TEXT(Table1[[#This Row],[Month]],"MMMM")</f>
        <v>January</v>
      </c>
    </row>
    <row r="349" spans="1:20" x14ac:dyDescent="0.25">
      <c r="A349" t="s">
        <v>1155</v>
      </c>
      <c r="B349" t="s">
        <v>2825</v>
      </c>
      <c r="C349" t="s">
        <v>429</v>
      </c>
      <c r="D349" t="s">
        <v>3241</v>
      </c>
      <c r="E349" s="1">
        <v>43348.597222222219</v>
      </c>
      <c r="F349" s="1" t="str">
        <f t="shared" si="5"/>
        <v>Wednesday</v>
      </c>
      <c r="G349" t="s">
        <v>1156</v>
      </c>
      <c r="H349" t="s">
        <v>3750</v>
      </c>
      <c r="I349" t="s">
        <v>27</v>
      </c>
      <c r="J349" t="s">
        <v>4105</v>
      </c>
      <c r="K349" t="s">
        <v>1157</v>
      </c>
      <c r="L349">
        <v>35</v>
      </c>
      <c r="M349">
        <v>70</v>
      </c>
      <c r="N349" t="s">
        <v>1092</v>
      </c>
      <c r="O349" t="s">
        <v>60</v>
      </c>
      <c r="P349">
        <v>2018</v>
      </c>
      <c r="Q349">
        <v>9</v>
      </c>
      <c r="R349">
        <v>5</v>
      </c>
      <c r="S349">
        <v>14</v>
      </c>
      <c r="T349" t="str">
        <f>TEXT(Table1[[#This Row],[Month]],"MMMM")</f>
        <v>January</v>
      </c>
    </row>
    <row r="350" spans="1:20" x14ac:dyDescent="0.25">
      <c r="A350" t="s">
        <v>1158</v>
      </c>
      <c r="B350" t="s">
        <v>2826</v>
      </c>
      <c r="C350" t="s">
        <v>1159</v>
      </c>
      <c r="D350" t="s">
        <v>3218</v>
      </c>
      <c r="E350" s="1">
        <v>44856.53125</v>
      </c>
      <c r="F350" s="1" t="str">
        <f t="shared" si="5"/>
        <v>Saturday</v>
      </c>
      <c r="G350" t="s">
        <v>1160</v>
      </c>
      <c r="H350" t="s">
        <v>3751</v>
      </c>
      <c r="I350" t="s">
        <v>32</v>
      </c>
      <c r="J350" t="s">
        <v>4106</v>
      </c>
      <c r="K350" t="s">
        <v>1161</v>
      </c>
      <c r="L350">
        <v>15</v>
      </c>
      <c r="M350">
        <v>30</v>
      </c>
      <c r="N350" t="s">
        <v>1097</v>
      </c>
      <c r="O350" t="s">
        <v>3401</v>
      </c>
      <c r="P350">
        <v>2022</v>
      </c>
      <c r="Q350">
        <v>10</v>
      </c>
      <c r="R350">
        <v>22</v>
      </c>
      <c r="S350">
        <v>12</v>
      </c>
      <c r="T350" t="str">
        <f>TEXT(Table1[[#This Row],[Month]],"MMMM")</f>
        <v>January</v>
      </c>
    </row>
    <row r="351" spans="1:20" x14ac:dyDescent="0.25">
      <c r="A351" t="s">
        <v>1162</v>
      </c>
      <c r="B351" t="s">
        <v>2827</v>
      </c>
      <c r="C351" t="s">
        <v>1163</v>
      </c>
      <c r="D351" t="s">
        <v>3292</v>
      </c>
      <c r="E351" s="1">
        <v>42553.979166666664</v>
      </c>
      <c r="F351" s="1" t="str">
        <f t="shared" si="5"/>
        <v>Saturday</v>
      </c>
      <c r="G351" t="s">
        <v>333</v>
      </c>
      <c r="H351" t="s">
        <v>3522</v>
      </c>
      <c r="I351" t="s">
        <v>17</v>
      </c>
      <c r="J351" t="s">
        <v>4104</v>
      </c>
      <c r="K351" t="s">
        <v>1164</v>
      </c>
      <c r="L351">
        <v>28</v>
      </c>
      <c r="M351">
        <v>55</v>
      </c>
      <c r="N351" t="s">
        <v>1102</v>
      </c>
      <c r="O351" t="s">
        <v>3432</v>
      </c>
      <c r="P351">
        <v>2016</v>
      </c>
      <c r="Q351">
        <v>7</v>
      </c>
      <c r="R351">
        <v>2</v>
      </c>
      <c r="S351">
        <v>23</v>
      </c>
      <c r="T351" t="str">
        <f>TEXT(Table1[[#This Row],[Month]],"MMMM")</f>
        <v>January</v>
      </c>
    </row>
    <row r="352" spans="1:20" x14ac:dyDescent="0.25">
      <c r="A352" t="s">
        <v>1165</v>
      </c>
      <c r="B352" t="s">
        <v>2828</v>
      </c>
      <c r="C352" t="s">
        <v>1166</v>
      </c>
      <c r="D352" t="s">
        <v>3293</v>
      </c>
      <c r="E352" s="1">
        <v>44153.715277777781</v>
      </c>
      <c r="F352" s="1" t="str">
        <f t="shared" si="5"/>
        <v>Wednesday</v>
      </c>
      <c r="G352" t="s">
        <v>1167</v>
      </c>
      <c r="H352" t="s">
        <v>3752</v>
      </c>
      <c r="I352" t="s">
        <v>27</v>
      </c>
      <c r="J352" t="s">
        <v>4105</v>
      </c>
      <c r="K352" t="s">
        <v>1168</v>
      </c>
      <c r="L352">
        <v>20</v>
      </c>
      <c r="M352">
        <v>40</v>
      </c>
      <c r="N352" t="s">
        <v>1154</v>
      </c>
      <c r="O352" t="s">
        <v>3403</v>
      </c>
      <c r="P352">
        <v>2020</v>
      </c>
      <c r="Q352">
        <v>11</v>
      </c>
      <c r="R352">
        <v>18</v>
      </c>
      <c r="S352">
        <v>17</v>
      </c>
      <c r="T352" t="str">
        <f>TEXT(Table1[[#This Row],[Month]],"MMMM")</f>
        <v>January</v>
      </c>
    </row>
    <row r="353" spans="1:20" x14ac:dyDescent="0.25">
      <c r="A353" t="s">
        <v>1169</v>
      </c>
      <c r="B353" t="s">
        <v>2829</v>
      </c>
      <c r="C353" t="s">
        <v>1170</v>
      </c>
      <c r="D353" t="s">
        <v>3231</v>
      </c>
      <c r="E353" s="1">
        <v>44990.625</v>
      </c>
      <c r="F353" s="1" t="str">
        <f t="shared" si="5"/>
        <v>Sunday</v>
      </c>
      <c r="G353" t="s">
        <v>1171</v>
      </c>
      <c r="H353" t="s">
        <v>3753</v>
      </c>
      <c r="I353" t="s">
        <v>32</v>
      </c>
      <c r="J353" t="s">
        <v>4106</v>
      </c>
      <c r="K353" t="s">
        <v>1172</v>
      </c>
      <c r="L353">
        <v>30</v>
      </c>
      <c r="M353">
        <v>60</v>
      </c>
      <c r="N353" t="s">
        <v>1112</v>
      </c>
      <c r="O353" t="s">
        <v>3402</v>
      </c>
      <c r="P353">
        <v>2023</v>
      </c>
      <c r="Q353">
        <v>3</v>
      </c>
      <c r="R353">
        <v>5</v>
      </c>
      <c r="S353">
        <v>15</v>
      </c>
      <c r="T353" t="str">
        <f>TEXT(Table1[[#This Row],[Month]],"MMMM")</f>
        <v>January</v>
      </c>
    </row>
    <row r="354" spans="1:20" x14ac:dyDescent="0.25">
      <c r="A354" t="s">
        <v>1173</v>
      </c>
      <c r="B354" t="s">
        <v>2830</v>
      </c>
      <c r="C354" t="s">
        <v>1174</v>
      </c>
      <c r="D354" t="s">
        <v>3294</v>
      </c>
      <c r="E354" s="1">
        <v>42339.479166666664</v>
      </c>
      <c r="F354" s="1" t="str">
        <f t="shared" si="5"/>
        <v>Tuesday</v>
      </c>
      <c r="G354" t="s">
        <v>575</v>
      </c>
      <c r="H354" t="s">
        <v>3592</v>
      </c>
      <c r="I354" t="s">
        <v>17</v>
      </c>
      <c r="J354" t="s">
        <v>4104</v>
      </c>
      <c r="K354" t="s">
        <v>1175</v>
      </c>
      <c r="L354">
        <v>25</v>
      </c>
      <c r="M354">
        <v>50</v>
      </c>
      <c r="N354" t="s">
        <v>1092</v>
      </c>
      <c r="O354" t="s">
        <v>60</v>
      </c>
      <c r="P354">
        <v>2015</v>
      </c>
      <c r="Q354">
        <v>12</v>
      </c>
      <c r="R354">
        <v>1</v>
      </c>
      <c r="S354">
        <v>11</v>
      </c>
      <c r="T354" t="str">
        <f>TEXT(Table1[[#This Row],[Month]],"MMMM")</f>
        <v>January</v>
      </c>
    </row>
    <row r="355" spans="1:20" x14ac:dyDescent="0.25">
      <c r="A355" t="s">
        <v>1176</v>
      </c>
      <c r="B355" t="s">
        <v>2831</v>
      </c>
      <c r="C355" t="s">
        <v>1177</v>
      </c>
      <c r="D355" t="s">
        <v>3295</v>
      </c>
      <c r="E355" s="1">
        <v>44449.40625</v>
      </c>
      <c r="F355" s="1" t="str">
        <f t="shared" si="5"/>
        <v>Friday</v>
      </c>
      <c r="G355" t="s">
        <v>1178</v>
      </c>
      <c r="H355" t="s">
        <v>3754</v>
      </c>
      <c r="I355" t="s">
        <v>27</v>
      </c>
      <c r="J355" t="s">
        <v>4105</v>
      </c>
      <c r="K355" t="s">
        <v>1179</v>
      </c>
      <c r="L355">
        <v>18</v>
      </c>
      <c r="M355">
        <v>35</v>
      </c>
      <c r="N355" t="s">
        <v>1102</v>
      </c>
      <c r="O355" t="s">
        <v>3432</v>
      </c>
      <c r="P355">
        <v>2021</v>
      </c>
      <c r="Q355">
        <v>9</v>
      </c>
      <c r="R355">
        <v>10</v>
      </c>
      <c r="S355">
        <v>9</v>
      </c>
      <c r="T355" t="str">
        <f>TEXT(Table1[[#This Row],[Month]],"MMMM")</f>
        <v>January</v>
      </c>
    </row>
    <row r="356" spans="1:20" x14ac:dyDescent="0.25">
      <c r="A356" t="s">
        <v>1180</v>
      </c>
      <c r="B356" t="s">
        <v>2832</v>
      </c>
      <c r="C356" t="s">
        <v>416</v>
      </c>
      <c r="D356" t="s">
        <v>3238</v>
      </c>
      <c r="E356" s="1">
        <v>43232.597222222219</v>
      </c>
      <c r="F356" s="1" t="str">
        <f t="shared" si="5"/>
        <v>Saturday</v>
      </c>
      <c r="G356" t="s">
        <v>1181</v>
      </c>
      <c r="H356" t="s">
        <v>3755</v>
      </c>
      <c r="I356" t="s">
        <v>32</v>
      </c>
      <c r="J356" t="s">
        <v>4106</v>
      </c>
      <c r="K356" t="s">
        <v>1182</v>
      </c>
      <c r="L356">
        <v>22</v>
      </c>
      <c r="M356">
        <v>45</v>
      </c>
      <c r="N356" t="s">
        <v>1097</v>
      </c>
      <c r="O356" t="s">
        <v>3401</v>
      </c>
      <c r="P356">
        <v>2018</v>
      </c>
      <c r="Q356">
        <v>5</v>
      </c>
      <c r="R356">
        <v>12</v>
      </c>
      <c r="S356">
        <v>14</v>
      </c>
      <c r="T356" t="str">
        <f>TEXT(Table1[[#This Row],[Month]],"MMMM")</f>
        <v>January</v>
      </c>
    </row>
    <row r="357" spans="1:20" x14ac:dyDescent="0.25">
      <c r="A357" t="s">
        <v>1183</v>
      </c>
      <c r="B357" t="s">
        <v>2833</v>
      </c>
      <c r="C357" t="s">
        <v>1184</v>
      </c>
      <c r="D357" t="s">
        <v>3227</v>
      </c>
      <c r="E357" s="1">
        <v>44767.416666666664</v>
      </c>
      <c r="F357" s="1" t="str">
        <f t="shared" si="5"/>
        <v>Monday</v>
      </c>
      <c r="G357" t="s">
        <v>1185</v>
      </c>
      <c r="H357" t="s">
        <v>3756</v>
      </c>
      <c r="I357" t="s">
        <v>17</v>
      </c>
      <c r="J357" t="s">
        <v>4104</v>
      </c>
      <c r="K357" t="s">
        <v>1186</v>
      </c>
      <c r="L357">
        <v>40</v>
      </c>
      <c r="M357">
        <v>80</v>
      </c>
      <c r="N357" t="s">
        <v>1154</v>
      </c>
      <c r="O357" t="s">
        <v>3403</v>
      </c>
      <c r="P357">
        <v>2022</v>
      </c>
      <c r="Q357">
        <v>7</v>
      </c>
      <c r="R357">
        <v>25</v>
      </c>
      <c r="S357">
        <v>10</v>
      </c>
      <c r="T357" t="str">
        <f>TEXT(Table1[[#This Row],[Month]],"MMMM")</f>
        <v>January</v>
      </c>
    </row>
    <row r="358" spans="1:20" x14ac:dyDescent="0.25">
      <c r="A358" t="s">
        <v>1187</v>
      </c>
      <c r="B358" t="s">
        <v>2834</v>
      </c>
      <c r="C358" t="s">
        <v>1188</v>
      </c>
      <c r="D358" t="s">
        <v>3296</v>
      </c>
      <c r="E358" s="1">
        <v>43532.770833333336</v>
      </c>
      <c r="F358" s="1" t="str">
        <f t="shared" si="5"/>
        <v>Friday</v>
      </c>
      <c r="G358" t="s">
        <v>478</v>
      </c>
      <c r="H358" t="s">
        <v>3562</v>
      </c>
      <c r="I358" t="s">
        <v>27</v>
      </c>
      <c r="J358" t="s">
        <v>4105</v>
      </c>
      <c r="K358" t="s">
        <v>1189</v>
      </c>
      <c r="L358">
        <v>35</v>
      </c>
      <c r="M358">
        <v>70</v>
      </c>
      <c r="N358" t="s">
        <v>1092</v>
      </c>
      <c r="O358" t="s">
        <v>60</v>
      </c>
      <c r="P358">
        <v>2019</v>
      </c>
      <c r="Q358">
        <v>3</v>
      </c>
      <c r="R358">
        <v>8</v>
      </c>
      <c r="S358">
        <v>18</v>
      </c>
      <c r="T358" t="str">
        <f>TEXT(Table1[[#This Row],[Month]],"MMMM")</f>
        <v>January</v>
      </c>
    </row>
    <row r="359" spans="1:20" x14ac:dyDescent="0.25">
      <c r="A359" t="s">
        <v>1190</v>
      </c>
      <c r="B359" t="s">
        <v>2835</v>
      </c>
      <c r="C359" t="s">
        <v>1191</v>
      </c>
      <c r="D359" t="s">
        <v>3264</v>
      </c>
      <c r="E359" s="1">
        <v>42763.885416666664</v>
      </c>
      <c r="F359" s="1" t="str">
        <f t="shared" si="5"/>
        <v>Saturday</v>
      </c>
      <c r="G359" t="s">
        <v>1192</v>
      </c>
      <c r="H359" t="s">
        <v>3757</v>
      </c>
      <c r="I359" t="s">
        <v>32</v>
      </c>
      <c r="J359" t="s">
        <v>4106</v>
      </c>
      <c r="K359" t="s">
        <v>1193</v>
      </c>
      <c r="L359">
        <v>20</v>
      </c>
      <c r="M359">
        <v>40</v>
      </c>
      <c r="N359" t="s">
        <v>1112</v>
      </c>
      <c r="O359" t="s">
        <v>3402</v>
      </c>
      <c r="P359">
        <v>2017</v>
      </c>
      <c r="Q359">
        <v>1</v>
      </c>
      <c r="R359">
        <v>28</v>
      </c>
      <c r="S359">
        <v>21</v>
      </c>
      <c r="T359" t="str">
        <f>TEXT(Table1[[#This Row],[Month]],"MMMM")</f>
        <v>January</v>
      </c>
    </row>
    <row r="360" spans="1:20" x14ac:dyDescent="0.25">
      <c r="A360" t="s">
        <v>1194</v>
      </c>
      <c r="B360" t="s">
        <v>2836</v>
      </c>
      <c r="C360" t="s">
        <v>1195</v>
      </c>
      <c r="D360" t="s">
        <v>3297</v>
      </c>
      <c r="E360" s="1">
        <v>42688.572916666664</v>
      </c>
      <c r="F360" s="1" t="str">
        <f t="shared" si="5"/>
        <v>Monday</v>
      </c>
      <c r="G360" t="s">
        <v>1196</v>
      </c>
      <c r="H360" t="s">
        <v>3758</v>
      </c>
      <c r="I360" t="s">
        <v>17</v>
      </c>
      <c r="J360" t="s">
        <v>4104</v>
      </c>
      <c r="K360" t="s">
        <v>1197</v>
      </c>
      <c r="L360">
        <v>28</v>
      </c>
      <c r="M360">
        <v>55</v>
      </c>
      <c r="N360" t="s">
        <v>1102</v>
      </c>
      <c r="O360" t="s">
        <v>3432</v>
      </c>
      <c r="P360">
        <v>2016</v>
      </c>
      <c r="Q360">
        <v>11</v>
      </c>
      <c r="R360">
        <v>14</v>
      </c>
      <c r="S360">
        <v>13</v>
      </c>
      <c r="T360" t="str">
        <f>TEXT(Table1[[#This Row],[Month]],"MMMM")</f>
        <v>January</v>
      </c>
    </row>
    <row r="361" spans="1:20" x14ac:dyDescent="0.25">
      <c r="A361" t="s">
        <v>1198</v>
      </c>
      <c r="B361" t="s">
        <v>2837</v>
      </c>
      <c r="C361" t="s">
        <v>1199</v>
      </c>
      <c r="D361" t="s">
        <v>3298</v>
      </c>
      <c r="E361" s="1">
        <v>43923.729166666664</v>
      </c>
      <c r="F361" s="1" t="str">
        <f t="shared" si="5"/>
        <v>Thursday</v>
      </c>
      <c r="G361" t="s">
        <v>1200</v>
      </c>
      <c r="H361" t="s">
        <v>3759</v>
      </c>
      <c r="I361" t="s">
        <v>27</v>
      </c>
      <c r="J361" t="s">
        <v>4105</v>
      </c>
      <c r="K361" t="s">
        <v>1201</v>
      </c>
      <c r="L361">
        <v>15</v>
      </c>
      <c r="M361">
        <v>30</v>
      </c>
      <c r="N361" t="s">
        <v>1092</v>
      </c>
      <c r="O361" t="s">
        <v>60</v>
      </c>
      <c r="P361">
        <v>2020</v>
      </c>
      <c r="Q361">
        <v>4</v>
      </c>
      <c r="R361">
        <v>2</v>
      </c>
      <c r="S361">
        <v>17</v>
      </c>
      <c r="T361" t="str">
        <f>TEXT(Table1[[#This Row],[Month]],"MMMM")</f>
        <v>January</v>
      </c>
    </row>
    <row r="362" spans="1:20" x14ac:dyDescent="0.25">
      <c r="A362" t="s">
        <v>1202</v>
      </c>
      <c r="B362" t="s">
        <v>2838</v>
      </c>
      <c r="C362" t="s">
        <v>411</v>
      </c>
      <c r="D362" t="s">
        <v>3237</v>
      </c>
      <c r="E362" s="1">
        <v>44941.791666666664</v>
      </c>
      <c r="F362" s="1" t="str">
        <f t="shared" si="5"/>
        <v>Sunday</v>
      </c>
      <c r="G362" t="s">
        <v>1203</v>
      </c>
      <c r="H362" t="s">
        <v>3760</v>
      </c>
      <c r="I362" t="s">
        <v>32</v>
      </c>
      <c r="J362" t="s">
        <v>4106</v>
      </c>
      <c r="K362" t="s">
        <v>1204</v>
      </c>
      <c r="L362">
        <v>25</v>
      </c>
      <c r="M362">
        <v>50</v>
      </c>
      <c r="N362" t="s">
        <v>1097</v>
      </c>
      <c r="O362" t="s">
        <v>3401</v>
      </c>
      <c r="P362">
        <v>2023</v>
      </c>
      <c r="Q362">
        <v>1</v>
      </c>
      <c r="R362">
        <v>15</v>
      </c>
      <c r="S362">
        <v>19</v>
      </c>
      <c r="T362" t="str">
        <f>TEXT(Table1[[#This Row],[Month]],"MMMM")</f>
        <v>January</v>
      </c>
    </row>
    <row r="363" spans="1:20" x14ac:dyDescent="0.25">
      <c r="A363" t="s">
        <v>1205</v>
      </c>
      <c r="B363" t="s">
        <v>2839</v>
      </c>
      <c r="C363" t="s">
        <v>445</v>
      </c>
      <c r="D363" t="s">
        <v>3245</v>
      </c>
      <c r="E363" s="1">
        <v>43319.510416666664</v>
      </c>
      <c r="F363" s="1" t="str">
        <f t="shared" si="5"/>
        <v>Tuesday</v>
      </c>
      <c r="G363" t="s">
        <v>1206</v>
      </c>
      <c r="H363" t="s">
        <v>3761</v>
      </c>
      <c r="I363" t="s">
        <v>17</v>
      </c>
      <c r="J363" t="s">
        <v>4104</v>
      </c>
      <c r="K363" t="s">
        <v>1207</v>
      </c>
      <c r="L363">
        <v>30</v>
      </c>
      <c r="M363">
        <v>60</v>
      </c>
      <c r="N363" t="s">
        <v>1154</v>
      </c>
      <c r="O363" t="s">
        <v>3403</v>
      </c>
      <c r="P363">
        <v>2018</v>
      </c>
      <c r="Q363">
        <v>8</v>
      </c>
      <c r="R363">
        <v>7</v>
      </c>
      <c r="S363">
        <v>12</v>
      </c>
      <c r="T363" t="str">
        <f>TEXT(Table1[[#This Row],[Month]],"MMMM")</f>
        <v>January</v>
      </c>
    </row>
    <row r="364" spans="1:20" x14ac:dyDescent="0.25">
      <c r="A364" t="s">
        <v>1208</v>
      </c>
      <c r="B364" t="s">
        <v>2840</v>
      </c>
      <c r="C364" t="s">
        <v>1209</v>
      </c>
      <c r="D364" t="s">
        <v>3224</v>
      </c>
      <c r="E364" s="1">
        <v>43756.697916666664</v>
      </c>
      <c r="F364" s="1" t="str">
        <f t="shared" si="5"/>
        <v>Friday</v>
      </c>
      <c r="G364" t="s">
        <v>1210</v>
      </c>
      <c r="H364" t="s">
        <v>3762</v>
      </c>
      <c r="I364" t="s">
        <v>27</v>
      </c>
      <c r="J364" t="s">
        <v>4105</v>
      </c>
      <c r="K364" t="s">
        <v>1211</v>
      </c>
      <c r="L364">
        <v>18</v>
      </c>
      <c r="M364">
        <v>35</v>
      </c>
      <c r="N364" t="s">
        <v>1102</v>
      </c>
      <c r="O364" t="s">
        <v>3432</v>
      </c>
      <c r="P364">
        <v>2019</v>
      </c>
      <c r="Q364">
        <v>10</v>
      </c>
      <c r="R364">
        <v>18</v>
      </c>
      <c r="S364">
        <v>16</v>
      </c>
      <c r="T364" t="str">
        <f>TEXT(Table1[[#This Row],[Month]],"MMMM")</f>
        <v>January</v>
      </c>
    </row>
    <row r="365" spans="1:20" x14ac:dyDescent="0.25">
      <c r="A365" t="s">
        <v>1212</v>
      </c>
      <c r="B365" t="s">
        <v>2841</v>
      </c>
      <c r="C365" t="s">
        <v>1213</v>
      </c>
      <c r="D365" t="s">
        <v>3299</v>
      </c>
      <c r="E365" s="1">
        <v>44742.291666666664</v>
      </c>
      <c r="F365" s="1" t="str">
        <f t="shared" si="5"/>
        <v>Thursday</v>
      </c>
      <c r="G365" t="s">
        <v>493</v>
      </c>
      <c r="H365" t="s">
        <v>3566</v>
      </c>
      <c r="I365" t="s">
        <v>32</v>
      </c>
      <c r="J365" t="s">
        <v>4106</v>
      </c>
      <c r="K365" t="s">
        <v>1214</v>
      </c>
      <c r="L365">
        <v>22</v>
      </c>
      <c r="M365">
        <v>45</v>
      </c>
      <c r="N365" t="s">
        <v>1112</v>
      </c>
      <c r="O365" t="s">
        <v>3402</v>
      </c>
      <c r="P365">
        <v>2022</v>
      </c>
      <c r="Q365">
        <v>6</v>
      </c>
      <c r="R365">
        <v>30</v>
      </c>
      <c r="S365">
        <v>7</v>
      </c>
      <c r="T365" t="str">
        <f>TEXT(Table1[[#This Row],[Month]],"MMMM")</f>
        <v>January</v>
      </c>
    </row>
    <row r="366" spans="1:20" x14ac:dyDescent="0.25">
      <c r="A366" t="s">
        <v>1215</v>
      </c>
      <c r="B366" t="s">
        <v>2842</v>
      </c>
      <c r="C366" t="s">
        <v>1216</v>
      </c>
      <c r="D366" t="s">
        <v>3300</v>
      </c>
      <c r="E366" s="1">
        <v>42898.763888888891</v>
      </c>
      <c r="F366" s="1" t="str">
        <f t="shared" si="5"/>
        <v>Monday</v>
      </c>
      <c r="G366" t="s">
        <v>1217</v>
      </c>
      <c r="H366" t="s">
        <v>3763</v>
      </c>
      <c r="I366" t="s">
        <v>17</v>
      </c>
      <c r="J366" t="s">
        <v>4104</v>
      </c>
      <c r="K366" t="s">
        <v>1218</v>
      </c>
      <c r="L366">
        <v>35</v>
      </c>
      <c r="M366">
        <v>70</v>
      </c>
      <c r="N366" t="s">
        <v>1092</v>
      </c>
      <c r="O366" t="s">
        <v>60</v>
      </c>
      <c r="P366">
        <v>2017</v>
      </c>
      <c r="Q366">
        <v>6</v>
      </c>
      <c r="R366">
        <v>12</v>
      </c>
      <c r="S366">
        <v>18</v>
      </c>
      <c r="T366" t="str">
        <f>TEXT(Table1[[#This Row],[Month]],"MMMM")</f>
        <v>January</v>
      </c>
    </row>
    <row r="367" spans="1:20" x14ac:dyDescent="0.25">
      <c r="A367" t="s">
        <v>1219</v>
      </c>
      <c r="B367" t="s">
        <v>2843</v>
      </c>
      <c r="C367" t="s">
        <v>1220</v>
      </c>
      <c r="D367" t="s">
        <v>3301</v>
      </c>
      <c r="E367" s="1">
        <v>44382.395833333336</v>
      </c>
      <c r="F367" s="1" t="str">
        <f t="shared" si="5"/>
        <v>Monday</v>
      </c>
      <c r="G367" t="s">
        <v>1221</v>
      </c>
      <c r="H367" t="s">
        <v>3764</v>
      </c>
      <c r="I367" t="s">
        <v>27</v>
      </c>
      <c r="J367" t="s">
        <v>4105</v>
      </c>
      <c r="K367" t="s">
        <v>1222</v>
      </c>
      <c r="L367">
        <v>20</v>
      </c>
      <c r="M367">
        <v>40</v>
      </c>
      <c r="N367" t="s">
        <v>1097</v>
      </c>
      <c r="O367" t="s">
        <v>3401</v>
      </c>
      <c r="P367">
        <v>2021</v>
      </c>
      <c r="Q367">
        <v>7</v>
      </c>
      <c r="R367">
        <v>5</v>
      </c>
      <c r="S367">
        <v>9</v>
      </c>
      <c r="T367" t="str">
        <f>TEXT(Table1[[#This Row],[Month]],"MMMM")</f>
        <v>January</v>
      </c>
    </row>
    <row r="368" spans="1:20" x14ac:dyDescent="0.25">
      <c r="A368" t="s">
        <v>1223</v>
      </c>
      <c r="B368" t="s">
        <v>2844</v>
      </c>
      <c r="C368" t="s">
        <v>1224</v>
      </c>
      <c r="D368" t="s">
        <v>3233</v>
      </c>
      <c r="E368" s="1">
        <v>42475.618055555555</v>
      </c>
      <c r="F368" s="1" t="str">
        <f t="shared" si="5"/>
        <v>Friday</v>
      </c>
      <c r="G368" t="s">
        <v>1225</v>
      </c>
      <c r="H368" t="s">
        <v>3765</v>
      </c>
      <c r="I368" t="s">
        <v>32</v>
      </c>
      <c r="J368" t="s">
        <v>4106</v>
      </c>
      <c r="K368" t="s">
        <v>1226</v>
      </c>
      <c r="L368">
        <v>28</v>
      </c>
      <c r="M368">
        <v>55</v>
      </c>
      <c r="N368" t="s">
        <v>1102</v>
      </c>
      <c r="O368" t="s">
        <v>3432</v>
      </c>
      <c r="P368">
        <v>2016</v>
      </c>
      <c r="Q368">
        <v>4</v>
      </c>
      <c r="R368">
        <v>15</v>
      </c>
      <c r="S368">
        <v>14</v>
      </c>
      <c r="T368" t="str">
        <f>TEXT(Table1[[#This Row],[Month]],"MMMM")</f>
        <v>January</v>
      </c>
    </row>
    <row r="369" spans="1:20" x14ac:dyDescent="0.25">
      <c r="A369" t="s">
        <v>1227</v>
      </c>
      <c r="B369" t="s">
        <v>2845</v>
      </c>
      <c r="C369" t="s">
        <v>1228</v>
      </c>
      <c r="D369" t="s">
        <v>3215</v>
      </c>
      <c r="E369" s="1">
        <v>43871.46875</v>
      </c>
      <c r="F369" s="1" t="str">
        <f t="shared" si="5"/>
        <v>Monday</v>
      </c>
      <c r="G369" t="s">
        <v>1229</v>
      </c>
      <c r="H369" t="s">
        <v>3766</v>
      </c>
      <c r="I369" t="s">
        <v>17</v>
      </c>
      <c r="J369" t="s">
        <v>4104</v>
      </c>
      <c r="K369" t="s">
        <v>1230</v>
      </c>
      <c r="L369">
        <v>15</v>
      </c>
      <c r="M369">
        <v>30</v>
      </c>
      <c r="N369" t="s">
        <v>1154</v>
      </c>
      <c r="O369" t="s">
        <v>3403</v>
      </c>
      <c r="P369">
        <v>2020</v>
      </c>
      <c r="Q369">
        <v>2</v>
      </c>
      <c r="R369">
        <v>10</v>
      </c>
      <c r="S369">
        <v>11</v>
      </c>
      <c r="T369" t="str">
        <f>TEXT(Table1[[#This Row],[Month]],"MMMM")</f>
        <v>January</v>
      </c>
    </row>
    <row r="370" spans="1:20" x14ac:dyDescent="0.25">
      <c r="A370" t="s">
        <v>1231</v>
      </c>
      <c r="B370" t="s">
        <v>2846</v>
      </c>
      <c r="C370" t="s">
        <v>403</v>
      </c>
      <c r="D370" t="s">
        <v>3235</v>
      </c>
      <c r="E370" s="1">
        <v>43365.6875</v>
      </c>
      <c r="F370" s="1" t="str">
        <f t="shared" si="5"/>
        <v>Saturday</v>
      </c>
      <c r="G370" t="s">
        <v>1232</v>
      </c>
      <c r="H370" t="s">
        <v>3455</v>
      </c>
      <c r="I370" t="s">
        <v>27</v>
      </c>
      <c r="J370" t="s">
        <v>4105</v>
      </c>
      <c r="K370" t="s">
        <v>1233</v>
      </c>
      <c r="L370">
        <v>40</v>
      </c>
      <c r="M370">
        <v>80</v>
      </c>
      <c r="N370" t="s">
        <v>1092</v>
      </c>
      <c r="O370" t="s">
        <v>60</v>
      </c>
      <c r="P370">
        <v>2018</v>
      </c>
      <c r="Q370">
        <v>9</v>
      </c>
      <c r="R370">
        <v>22</v>
      </c>
      <c r="S370">
        <v>16</v>
      </c>
      <c r="T370" t="str">
        <f>TEXT(Table1[[#This Row],[Month]],"MMMM")</f>
        <v>January</v>
      </c>
    </row>
    <row r="371" spans="1:20" x14ac:dyDescent="0.25">
      <c r="A371" t="s">
        <v>1234</v>
      </c>
      <c r="B371" t="s">
        <v>2847</v>
      </c>
      <c r="C371" t="s">
        <v>1235</v>
      </c>
      <c r="D371" t="s">
        <v>3260</v>
      </c>
      <c r="E371" s="1">
        <v>42316.416666666664</v>
      </c>
      <c r="F371" s="1" t="str">
        <f t="shared" si="5"/>
        <v>Sunday</v>
      </c>
      <c r="G371" t="s">
        <v>1236</v>
      </c>
      <c r="H371" t="s">
        <v>3767</v>
      </c>
      <c r="I371" t="s">
        <v>32</v>
      </c>
      <c r="J371" t="s">
        <v>4106</v>
      </c>
      <c r="K371" t="s">
        <v>1237</v>
      </c>
      <c r="L371">
        <v>18</v>
      </c>
      <c r="M371">
        <v>35</v>
      </c>
      <c r="N371" t="s">
        <v>1112</v>
      </c>
      <c r="O371" t="s">
        <v>3402</v>
      </c>
      <c r="P371">
        <v>2015</v>
      </c>
      <c r="Q371">
        <v>11</v>
      </c>
      <c r="R371">
        <v>8</v>
      </c>
      <c r="S371">
        <v>10</v>
      </c>
      <c r="T371" t="str">
        <f>TEXT(Table1[[#This Row],[Month]],"MMMM")</f>
        <v>January</v>
      </c>
    </row>
    <row r="372" spans="1:20" x14ac:dyDescent="0.25">
      <c r="A372" t="s">
        <v>1238</v>
      </c>
      <c r="B372" t="s">
        <v>2848</v>
      </c>
      <c r="C372" t="s">
        <v>1239</v>
      </c>
      <c r="D372" t="s">
        <v>3302</v>
      </c>
      <c r="E372" s="1">
        <v>44783.916666666664</v>
      </c>
      <c r="F372" s="1" t="str">
        <f t="shared" si="5"/>
        <v>Wednesday</v>
      </c>
      <c r="G372" t="s">
        <v>1240</v>
      </c>
      <c r="H372" t="s">
        <v>3768</v>
      </c>
      <c r="I372" t="s">
        <v>27</v>
      </c>
      <c r="J372" t="s">
        <v>4105</v>
      </c>
      <c r="K372" t="s">
        <v>1241</v>
      </c>
      <c r="L372">
        <v>25</v>
      </c>
      <c r="M372">
        <v>50</v>
      </c>
      <c r="N372" t="s">
        <v>1242</v>
      </c>
      <c r="O372" t="s">
        <v>3405</v>
      </c>
      <c r="P372">
        <v>2022</v>
      </c>
      <c r="Q372">
        <v>8</v>
      </c>
      <c r="R372">
        <v>10</v>
      </c>
      <c r="S372">
        <v>22</v>
      </c>
      <c r="T372" t="str">
        <f>TEXT(Table1[[#This Row],[Month]],"MMMM")</f>
        <v>January</v>
      </c>
    </row>
    <row r="373" spans="1:20" x14ac:dyDescent="0.25">
      <c r="A373" t="s">
        <v>1243</v>
      </c>
      <c r="B373" t="s">
        <v>2849</v>
      </c>
      <c r="C373" t="s">
        <v>1244</v>
      </c>
      <c r="D373" t="s">
        <v>3303</v>
      </c>
      <c r="E373" s="1">
        <v>43560.729166666664</v>
      </c>
      <c r="F373" s="1" t="str">
        <f t="shared" si="5"/>
        <v>Friday</v>
      </c>
      <c r="G373" t="s">
        <v>1245</v>
      </c>
      <c r="H373" t="s">
        <v>3769</v>
      </c>
      <c r="I373" t="s">
        <v>17</v>
      </c>
      <c r="J373" t="s">
        <v>4104</v>
      </c>
      <c r="K373" t="s">
        <v>1246</v>
      </c>
      <c r="L373">
        <v>18</v>
      </c>
      <c r="M373">
        <v>35</v>
      </c>
      <c r="N373" t="s">
        <v>1247</v>
      </c>
      <c r="O373" t="s">
        <v>3404</v>
      </c>
      <c r="P373">
        <v>2019</v>
      </c>
      <c r="Q373">
        <v>4</v>
      </c>
      <c r="R373">
        <v>5</v>
      </c>
      <c r="S373">
        <v>17</v>
      </c>
      <c r="T373" t="str">
        <f>TEXT(Table1[[#This Row],[Month]],"MMMM")</f>
        <v>January</v>
      </c>
    </row>
    <row r="374" spans="1:20" x14ac:dyDescent="0.25">
      <c r="A374" t="s">
        <v>1248</v>
      </c>
      <c r="B374" t="s">
        <v>2850</v>
      </c>
      <c r="C374" t="s">
        <v>1249</v>
      </c>
      <c r="D374" t="s">
        <v>3304</v>
      </c>
      <c r="E374" s="1">
        <v>44180.65625</v>
      </c>
      <c r="F374" s="1" t="str">
        <f t="shared" si="5"/>
        <v>Tuesday</v>
      </c>
      <c r="G374" t="s">
        <v>1250</v>
      </c>
      <c r="H374" t="s">
        <v>3770</v>
      </c>
      <c r="I374" t="s">
        <v>32</v>
      </c>
      <c r="J374" t="s">
        <v>4106</v>
      </c>
      <c r="K374" t="s">
        <v>1251</v>
      </c>
      <c r="L374">
        <v>22</v>
      </c>
      <c r="M374">
        <v>45</v>
      </c>
      <c r="N374" t="s">
        <v>1252</v>
      </c>
      <c r="O374" t="s">
        <v>3406</v>
      </c>
      <c r="P374">
        <v>2020</v>
      </c>
      <c r="Q374">
        <v>12</v>
      </c>
      <c r="R374">
        <v>15</v>
      </c>
      <c r="S374">
        <v>15</v>
      </c>
      <c r="T374" t="str">
        <f>TEXT(Table1[[#This Row],[Month]],"MMMM")</f>
        <v>January</v>
      </c>
    </row>
    <row r="375" spans="1:20" x14ac:dyDescent="0.25">
      <c r="A375" t="s">
        <v>1253</v>
      </c>
      <c r="B375" t="s">
        <v>2851</v>
      </c>
      <c r="C375" t="s">
        <v>1254</v>
      </c>
      <c r="D375" t="s">
        <v>3305</v>
      </c>
      <c r="E375" s="1">
        <v>43028.34375</v>
      </c>
      <c r="F375" s="1" t="str">
        <f t="shared" si="5"/>
        <v>Friday</v>
      </c>
      <c r="G375" t="s">
        <v>1255</v>
      </c>
      <c r="H375" t="s">
        <v>3771</v>
      </c>
      <c r="I375" t="s">
        <v>27</v>
      </c>
      <c r="J375" t="s">
        <v>4105</v>
      </c>
      <c r="K375" t="s">
        <v>1256</v>
      </c>
      <c r="L375">
        <v>35</v>
      </c>
      <c r="M375">
        <v>70</v>
      </c>
      <c r="N375" t="s">
        <v>1257</v>
      </c>
      <c r="O375" t="s">
        <v>3401</v>
      </c>
      <c r="P375">
        <v>2017</v>
      </c>
      <c r="Q375">
        <v>10</v>
      </c>
      <c r="R375">
        <v>20</v>
      </c>
      <c r="S375">
        <v>8</v>
      </c>
      <c r="T375" t="str">
        <f>TEXT(Table1[[#This Row],[Month]],"MMMM")</f>
        <v>January</v>
      </c>
    </row>
    <row r="376" spans="1:20" x14ac:dyDescent="0.25">
      <c r="A376" t="s">
        <v>1258</v>
      </c>
      <c r="B376" t="s">
        <v>2852</v>
      </c>
      <c r="C376" t="s">
        <v>1259</v>
      </c>
      <c r="D376" t="s">
        <v>3306</v>
      </c>
      <c r="E376" s="1">
        <v>44255.541666666664</v>
      </c>
      <c r="F376" s="1" t="str">
        <f t="shared" si="5"/>
        <v>Sunday</v>
      </c>
      <c r="G376" t="s">
        <v>1260</v>
      </c>
      <c r="H376" t="s">
        <v>3772</v>
      </c>
      <c r="I376" t="s">
        <v>17</v>
      </c>
      <c r="J376" t="s">
        <v>4104</v>
      </c>
      <c r="K376" t="s">
        <v>1261</v>
      </c>
      <c r="L376">
        <v>30</v>
      </c>
      <c r="M376">
        <v>60</v>
      </c>
      <c r="N376" t="s">
        <v>1262</v>
      </c>
      <c r="O376" t="s">
        <v>3402</v>
      </c>
      <c r="P376">
        <v>2021</v>
      </c>
      <c r="Q376">
        <v>2</v>
      </c>
      <c r="R376">
        <v>28</v>
      </c>
      <c r="S376">
        <v>13</v>
      </c>
      <c r="T376" t="str">
        <f>TEXT(Table1[[#This Row],[Month]],"MMMM")</f>
        <v>January</v>
      </c>
    </row>
    <row r="377" spans="1:20" x14ac:dyDescent="0.25">
      <c r="A377" t="s">
        <v>1263</v>
      </c>
      <c r="B377" t="s">
        <v>2853</v>
      </c>
      <c r="C377" t="s">
        <v>1264</v>
      </c>
      <c r="D377" t="s">
        <v>3307</v>
      </c>
      <c r="E377" s="1">
        <v>43263.854166666664</v>
      </c>
      <c r="F377" s="1" t="str">
        <f t="shared" si="5"/>
        <v>Tuesday</v>
      </c>
      <c r="G377" t="s">
        <v>1265</v>
      </c>
      <c r="H377" t="s">
        <v>3773</v>
      </c>
      <c r="I377" t="s">
        <v>32</v>
      </c>
      <c r="J377" t="s">
        <v>4106</v>
      </c>
      <c r="K377" t="s">
        <v>1266</v>
      </c>
      <c r="L377">
        <v>28</v>
      </c>
      <c r="M377">
        <v>55</v>
      </c>
      <c r="N377" t="s">
        <v>1267</v>
      </c>
      <c r="O377" t="s">
        <v>3432</v>
      </c>
      <c r="P377">
        <v>2018</v>
      </c>
      <c r="Q377">
        <v>6</v>
      </c>
      <c r="R377">
        <v>12</v>
      </c>
      <c r="S377">
        <v>20</v>
      </c>
      <c r="T377" t="str">
        <f>TEXT(Table1[[#This Row],[Month]],"MMMM")</f>
        <v>January</v>
      </c>
    </row>
    <row r="378" spans="1:20" x14ac:dyDescent="0.25">
      <c r="A378" t="s">
        <v>1268</v>
      </c>
      <c r="B378" t="s">
        <v>2854</v>
      </c>
      <c r="C378" t="s">
        <v>1269</v>
      </c>
      <c r="D378" t="s">
        <v>3308</v>
      </c>
      <c r="E378" s="1">
        <v>42437.597222222219</v>
      </c>
      <c r="F378" s="1" t="str">
        <f t="shared" si="5"/>
        <v>Tuesday</v>
      </c>
      <c r="G378" t="s">
        <v>1270</v>
      </c>
      <c r="H378" t="s">
        <v>3774</v>
      </c>
      <c r="I378" t="s">
        <v>27</v>
      </c>
      <c r="J378" t="s">
        <v>4105</v>
      </c>
      <c r="K378" t="s">
        <v>1271</v>
      </c>
      <c r="L378">
        <v>20</v>
      </c>
      <c r="M378">
        <v>40</v>
      </c>
      <c r="N378" t="s">
        <v>1272</v>
      </c>
      <c r="O378" t="s">
        <v>60</v>
      </c>
      <c r="P378">
        <v>2016</v>
      </c>
      <c r="Q378">
        <v>3</v>
      </c>
      <c r="R378">
        <v>8</v>
      </c>
      <c r="S378">
        <v>14</v>
      </c>
      <c r="T378" t="str">
        <f>TEXT(Table1[[#This Row],[Month]],"MMMM")</f>
        <v>January</v>
      </c>
    </row>
    <row r="379" spans="1:20" x14ac:dyDescent="0.25">
      <c r="A379" t="s">
        <v>1273</v>
      </c>
      <c r="B379" t="s">
        <v>2855</v>
      </c>
      <c r="C379" t="s">
        <v>1274</v>
      </c>
      <c r="D379" t="s">
        <v>3309</v>
      </c>
      <c r="E379" s="1">
        <v>45034.715277777781</v>
      </c>
      <c r="F379" s="1" t="str">
        <f t="shared" si="5"/>
        <v>Tuesday</v>
      </c>
      <c r="G379" t="s">
        <v>1275</v>
      </c>
      <c r="H379" t="s">
        <v>3775</v>
      </c>
      <c r="I379" t="s">
        <v>17</v>
      </c>
      <c r="J379" t="s">
        <v>4104</v>
      </c>
      <c r="K379" t="s">
        <v>1276</v>
      </c>
      <c r="L379">
        <v>18</v>
      </c>
      <c r="M379">
        <v>35</v>
      </c>
      <c r="N379" t="s">
        <v>1277</v>
      </c>
      <c r="O379" t="s">
        <v>3407</v>
      </c>
      <c r="P379">
        <v>2023</v>
      </c>
      <c r="Q379">
        <v>4</v>
      </c>
      <c r="R379">
        <v>18</v>
      </c>
      <c r="S379">
        <v>17</v>
      </c>
      <c r="T379" t="str">
        <f>TEXT(Table1[[#This Row],[Month]],"MMMM")</f>
        <v>January</v>
      </c>
    </row>
    <row r="380" spans="1:20" x14ac:dyDescent="0.25">
      <c r="A380" t="s">
        <v>1278</v>
      </c>
      <c r="B380" t="s">
        <v>2856</v>
      </c>
      <c r="C380" t="s">
        <v>1279</v>
      </c>
      <c r="D380" t="s">
        <v>3287</v>
      </c>
      <c r="E380" s="1">
        <v>44037.53125</v>
      </c>
      <c r="F380" s="1" t="str">
        <f t="shared" si="5"/>
        <v>Saturday</v>
      </c>
      <c r="G380" t="s">
        <v>1280</v>
      </c>
      <c r="H380" t="s">
        <v>3776</v>
      </c>
      <c r="I380" t="s">
        <v>32</v>
      </c>
      <c r="J380" t="s">
        <v>4106</v>
      </c>
      <c r="K380" t="s">
        <v>1281</v>
      </c>
      <c r="L380">
        <v>22</v>
      </c>
      <c r="M380">
        <v>45</v>
      </c>
      <c r="N380" t="s">
        <v>1282</v>
      </c>
      <c r="O380" t="s">
        <v>3408</v>
      </c>
      <c r="P380">
        <v>2020</v>
      </c>
      <c r="Q380">
        <v>7</v>
      </c>
      <c r="R380">
        <v>25</v>
      </c>
      <c r="S380">
        <v>12</v>
      </c>
      <c r="T380" t="str">
        <f>TEXT(Table1[[#This Row],[Month]],"MMMM")</f>
        <v>January</v>
      </c>
    </row>
    <row r="381" spans="1:20" x14ac:dyDescent="0.25">
      <c r="A381" t="s">
        <v>1283</v>
      </c>
      <c r="B381" t="s">
        <v>2857</v>
      </c>
      <c r="C381" t="s">
        <v>1284</v>
      </c>
      <c r="D381" t="s">
        <v>3310</v>
      </c>
      <c r="E381" s="1">
        <v>43799.8125</v>
      </c>
      <c r="F381" s="1" t="str">
        <f t="shared" si="5"/>
        <v>Saturday</v>
      </c>
      <c r="G381" t="s">
        <v>1285</v>
      </c>
      <c r="H381" t="s">
        <v>3777</v>
      </c>
      <c r="I381" t="s">
        <v>27</v>
      </c>
      <c r="J381" t="s">
        <v>4105</v>
      </c>
      <c r="K381" t="s">
        <v>1286</v>
      </c>
      <c r="L381">
        <v>35</v>
      </c>
      <c r="M381">
        <v>70</v>
      </c>
      <c r="N381" t="s">
        <v>1287</v>
      </c>
      <c r="O381" t="s">
        <v>3409</v>
      </c>
      <c r="P381">
        <v>2019</v>
      </c>
      <c r="Q381">
        <v>11</v>
      </c>
      <c r="R381">
        <v>30</v>
      </c>
      <c r="S381">
        <v>19</v>
      </c>
      <c r="T381" t="str">
        <f>TEXT(Table1[[#This Row],[Month]],"MMMM")</f>
        <v>January</v>
      </c>
    </row>
    <row r="382" spans="1:20" x14ac:dyDescent="0.25">
      <c r="A382" t="s">
        <v>1288</v>
      </c>
      <c r="B382" t="s">
        <v>2858</v>
      </c>
      <c r="C382" t="s">
        <v>1289</v>
      </c>
      <c r="D382" t="s">
        <v>3311</v>
      </c>
      <c r="E382" s="1">
        <v>42248.666666666664</v>
      </c>
      <c r="F382" s="1" t="str">
        <f t="shared" si="5"/>
        <v>Tuesday</v>
      </c>
      <c r="G382" t="s">
        <v>1290</v>
      </c>
      <c r="H382" t="s">
        <v>3778</v>
      </c>
      <c r="I382" t="s">
        <v>17</v>
      </c>
      <c r="J382" t="s">
        <v>4104</v>
      </c>
      <c r="K382" t="s">
        <v>1291</v>
      </c>
      <c r="L382">
        <v>15</v>
      </c>
      <c r="M382">
        <v>30</v>
      </c>
      <c r="N382" t="s">
        <v>1292</v>
      </c>
      <c r="O382" t="s">
        <v>3410</v>
      </c>
      <c r="P382">
        <v>2015</v>
      </c>
      <c r="Q382">
        <v>9</v>
      </c>
      <c r="R382">
        <v>1</v>
      </c>
      <c r="S382">
        <v>16</v>
      </c>
      <c r="T382" t="str">
        <f>TEXT(Table1[[#This Row],[Month]],"MMMM")</f>
        <v>January</v>
      </c>
    </row>
    <row r="383" spans="1:20" x14ac:dyDescent="0.25">
      <c r="A383" t="s">
        <v>1293</v>
      </c>
      <c r="B383" t="s">
        <v>2859</v>
      </c>
      <c r="C383" t="s">
        <v>1294</v>
      </c>
      <c r="D383" t="s">
        <v>3312</v>
      </c>
      <c r="E383" s="1">
        <v>44686.427083333336</v>
      </c>
      <c r="F383" s="1" t="str">
        <f t="shared" si="5"/>
        <v>Thursday</v>
      </c>
      <c r="G383" t="s">
        <v>1295</v>
      </c>
      <c r="H383" t="s">
        <v>3779</v>
      </c>
      <c r="I383" t="s">
        <v>32</v>
      </c>
      <c r="J383" t="s">
        <v>4106</v>
      </c>
      <c r="K383" t="s">
        <v>1296</v>
      </c>
      <c r="L383">
        <v>25</v>
      </c>
      <c r="M383">
        <v>50</v>
      </c>
      <c r="N383" t="s">
        <v>1297</v>
      </c>
      <c r="O383" t="s">
        <v>3411</v>
      </c>
      <c r="P383">
        <v>2022</v>
      </c>
      <c r="Q383">
        <v>5</v>
      </c>
      <c r="R383">
        <v>5</v>
      </c>
      <c r="S383">
        <v>10</v>
      </c>
      <c r="T383" t="str">
        <f>TEXT(Table1[[#This Row],[Month]],"MMMM")</f>
        <v>January</v>
      </c>
    </row>
    <row r="384" spans="1:20" x14ac:dyDescent="0.25">
      <c r="A384" t="s">
        <v>1298</v>
      </c>
      <c r="B384" t="s">
        <v>2860</v>
      </c>
      <c r="C384" t="s">
        <v>1299</v>
      </c>
      <c r="D384" t="s">
        <v>3313</v>
      </c>
      <c r="E384" s="1">
        <v>43289.958333333336</v>
      </c>
      <c r="F384" s="1" t="str">
        <f t="shared" si="5"/>
        <v>Sunday</v>
      </c>
      <c r="G384" t="s">
        <v>1300</v>
      </c>
      <c r="H384" t="s">
        <v>3780</v>
      </c>
      <c r="I384" t="s">
        <v>27</v>
      </c>
      <c r="J384" t="s">
        <v>4105</v>
      </c>
      <c r="K384" t="s">
        <v>1301</v>
      </c>
      <c r="L384">
        <v>40</v>
      </c>
      <c r="M384">
        <v>80</v>
      </c>
      <c r="N384" t="s">
        <v>1302</v>
      </c>
      <c r="O384" t="s">
        <v>3412</v>
      </c>
      <c r="P384">
        <v>2018</v>
      </c>
      <c r="Q384">
        <v>7</v>
      </c>
      <c r="R384">
        <v>8</v>
      </c>
      <c r="S384">
        <v>23</v>
      </c>
      <c r="T384" t="str">
        <f>TEXT(Table1[[#This Row],[Month]],"MMMM")</f>
        <v>January</v>
      </c>
    </row>
    <row r="385" spans="1:20" x14ac:dyDescent="0.25">
      <c r="A385" t="s">
        <v>1303</v>
      </c>
      <c r="B385" t="s">
        <v>2861</v>
      </c>
      <c r="C385" t="s">
        <v>1304</v>
      </c>
      <c r="D385" t="s">
        <v>3314</v>
      </c>
      <c r="E385" s="1">
        <v>44459.604166666664</v>
      </c>
      <c r="F385" s="1" t="str">
        <f t="shared" si="5"/>
        <v>Monday</v>
      </c>
      <c r="G385" t="s">
        <v>1305</v>
      </c>
      <c r="H385" t="s">
        <v>3781</v>
      </c>
      <c r="I385" t="s">
        <v>17</v>
      </c>
      <c r="J385" t="s">
        <v>4104</v>
      </c>
      <c r="K385" t="s">
        <v>1306</v>
      </c>
      <c r="L385">
        <v>18</v>
      </c>
      <c r="M385">
        <v>35</v>
      </c>
      <c r="N385" t="s">
        <v>1307</v>
      </c>
      <c r="O385" t="s">
        <v>3413</v>
      </c>
      <c r="P385">
        <v>2021</v>
      </c>
      <c r="Q385">
        <v>9</v>
      </c>
      <c r="R385">
        <v>20</v>
      </c>
      <c r="S385">
        <v>14</v>
      </c>
      <c r="T385" t="str">
        <f>TEXT(Table1[[#This Row],[Month]],"MMMM")</f>
        <v>January</v>
      </c>
    </row>
    <row r="386" spans="1:20" x14ac:dyDescent="0.25">
      <c r="A386" t="s">
        <v>1308</v>
      </c>
      <c r="B386" t="s">
        <v>2862</v>
      </c>
      <c r="C386" t="s">
        <v>1309</v>
      </c>
      <c r="D386" t="s">
        <v>3290</v>
      </c>
      <c r="E386" s="1">
        <v>42689.489583333336</v>
      </c>
      <c r="F386" s="1" t="str">
        <f t="shared" si="5"/>
        <v>Tuesday</v>
      </c>
      <c r="G386" t="s">
        <v>1310</v>
      </c>
      <c r="H386" t="s">
        <v>3656</v>
      </c>
      <c r="I386" t="s">
        <v>32</v>
      </c>
      <c r="J386" t="s">
        <v>4106</v>
      </c>
      <c r="K386" t="s">
        <v>1311</v>
      </c>
      <c r="L386">
        <v>28</v>
      </c>
      <c r="M386">
        <v>55</v>
      </c>
      <c r="N386" t="s">
        <v>1312</v>
      </c>
      <c r="O386" t="s">
        <v>3414</v>
      </c>
      <c r="P386">
        <v>2016</v>
      </c>
      <c r="Q386">
        <v>11</v>
      </c>
      <c r="R386">
        <v>15</v>
      </c>
      <c r="S386">
        <v>11</v>
      </c>
      <c r="T386" t="str">
        <f>TEXT(Table1[[#This Row],[Month]],"MMMM")</f>
        <v>January</v>
      </c>
    </row>
    <row r="387" spans="1:20" x14ac:dyDescent="0.25">
      <c r="A387" t="s">
        <v>1313</v>
      </c>
      <c r="B387" t="s">
        <v>2863</v>
      </c>
      <c r="C387" t="s">
        <v>1314</v>
      </c>
      <c r="D387" t="s">
        <v>3315</v>
      </c>
      <c r="E387" s="1">
        <v>43842.75</v>
      </c>
      <c r="F387" s="1" t="str">
        <f t="shared" ref="F387:F450" si="6">TEXT(E387,"DDDD")</f>
        <v>Sunday</v>
      </c>
      <c r="G387" t="s">
        <v>484</v>
      </c>
      <c r="H387" t="s">
        <v>3564</v>
      </c>
      <c r="I387" t="s">
        <v>27</v>
      </c>
      <c r="J387" t="s">
        <v>4105</v>
      </c>
      <c r="K387" t="s">
        <v>1315</v>
      </c>
      <c r="L387">
        <v>30</v>
      </c>
      <c r="M387">
        <v>60</v>
      </c>
      <c r="N387" t="s">
        <v>1316</v>
      </c>
      <c r="O387" t="s">
        <v>3415</v>
      </c>
      <c r="P387">
        <v>2020</v>
      </c>
      <c r="Q387">
        <v>1</v>
      </c>
      <c r="R387">
        <v>12</v>
      </c>
      <c r="S387">
        <v>18</v>
      </c>
      <c r="T387" t="str">
        <f>TEXT(Table1[[#This Row],[Month]],"MMMM")</f>
        <v>January</v>
      </c>
    </row>
    <row r="388" spans="1:20" x14ac:dyDescent="0.25">
      <c r="A388" t="s">
        <v>1317</v>
      </c>
      <c r="B388" t="s">
        <v>2864</v>
      </c>
      <c r="C388" t="s">
        <v>1318</v>
      </c>
      <c r="D388" t="s">
        <v>3239</v>
      </c>
      <c r="E388" s="1">
        <v>43097.802083333336</v>
      </c>
      <c r="F388" s="1" t="str">
        <f t="shared" si="6"/>
        <v>Thursday</v>
      </c>
      <c r="G388" t="s">
        <v>1319</v>
      </c>
      <c r="H388" t="s">
        <v>3782</v>
      </c>
      <c r="I388" t="s">
        <v>32</v>
      </c>
      <c r="J388" t="s">
        <v>4106</v>
      </c>
      <c r="K388" t="s">
        <v>1320</v>
      </c>
      <c r="L388">
        <v>22</v>
      </c>
      <c r="M388">
        <v>45</v>
      </c>
      <c r="N388" t="s">
        <v>1321</v>
      </c>
      <c r="O388" t="s">
        <v>3416</v>
      </c>
      <c r="P388">
        <v>2017</v>
      </c>
      <c r="Q388">
        <v>12</v>
      </c>
      <c r="R388">
        <v>28</v>
      </c>
      <c r="S388">
        <v>19</v>
      </c>
      <c r="T388" t="str">
        <f>TEXT(Table1[[#This Row],[Month]],"MMMM")</f>
        <v>January</v>
      </c>
    </row>
    <row r="389" spans="1:20" x14ac:dyDescent="0.25">
      <c r="A389" t="s">
        <v>1322</v>
      </c>
      <c r="B389" t="s">
        <v>2865</v>
      </c>
      <c r="C389" t="s">
        <v>1323</v>
      </c>
      <c r="D389" t="s">
        <v>3316</v>
      </c>
      <c r="E389" s="1">
        <v>43526.847222222219</v>
      </c>
      <c r="F389" s="1" t="str">
        <f t="shared" si="6"/>
        <v>Saturday</v>
      </c>
      <c r="G389" t="s">
        <v>1324</v>
      </c>
      <c r="H389" t="s">
        <v>3783</v>
      </c>
      <c r="I389" t="s">
        <v>17</v>
      </c>
      <c r="J389" t="s">
        <v>4104</v>
      </c>
      <c r="K389" t="s">
        <v>1325</v>
      </c>
      <c r="L389">
        <v>35</v>
      </c>
      <c r="M389">
        <v>70</v>
      </c>
      <c r="N389" t="s">
        <v>1326</v>
      </c>
      <c r="O389" t="s">
        <v>3417</v>
      </c>
      <c r="P389">
        <v>2019</v>
      </c>
      <c r="Q389">
        <v>3</v>
      </c>
      <c r="R389">
        <v>2</v>
      </c>
      <c r="S389">
        <v>20</v>
      </c>
      <c r="T389" t="str">
        <f>TEXT(Table1[[#This Row],[Month]],"MMMM")</f>
        <v>January</v>
      </c>
    </row>
    <row r="390" spans="1:20" x14ac:dyDescent="0.25">
      <c r="A390" t="s">
        <v>1327</v>
      </c>
      <c r="B390" t="s">
        <v>2866</v>
      </c>
      <c r="C390" t="s">
        <v>1328</v>
      </c>
      <c r="D390" t="s">
        <v>3236</v>
      </c>
      <c r="E390" s="1">
        <v>44720.645833333336</v>
      </c>
      <c r="F390" s="1" t="str">
        <f t="shared" si="6"/>
        <v>Wednesday</v>
      </c>
      <c r="G390" t="s">
        <v>1329</v>
      </c>
      <c r="H390" t="s">
        <v>3784</v>
      </c>
      <c r="I390" t="s">
        <v>27</v>
      </c>
      <c r="J390" t="s">
        <v>4105</v>
      </c>
      <c r="K390" t="s">
        <v>1330</v>
      </c>
      <c r="L390">
        <v>20</v>
      </c>
      <c r="M390">
        <v>40</v>
      </c>
      <c r="N390" t="s">
        <v>1331</v>
      </c>
      <c r="O390" t="s">
        <v>3418</v>
      </c>
      <c r="P390">
        <v>2022</v>
      </c>
      <c r="Q390">
        <v>6</v>
      </c>
      <c r="R390">
        <v>8</v>
      </c>
      <c r="S390">
        <v>15</v>
      </c>
      <c r="T390" t="str">
        <f>TEXT(Table1[[#This Row],[Month]],"MMMM")</f>
        <v>January</v>
      </c>
    </row>
    <row r="391" spans="1:20" x14ac:dyDescent="0.25">
      <c r="A391" t="s">
        <v>1332</v>
      </c>
      <c r="B391" t="s">
        <v>2867</v>
      </c>
      <c r="C391" t="s">
        <v>1333</v>
      </c>
      <c r="D391" t="s">
        <v>3222</v>
      </c>
      <c r="E391" s="1">
        <v>43330.614583333336</v>
      </c>
      <c r="F391" s="1" t="str">
        <f t="shared" si="6"/>
        <v>Saturday</v>
      </c>
      <c r="G391" t="s">
        <v>1334</v>
      </c>
      <c r="H391" t="s">
        <v>3785</v>
      </c>
      <c r="I391" t="s">
        <v>32</v>
      </c>
      <c r="J391" t="s">
        <v>4106</v>
      </c>
      <c r="K391" t="s">
        <v>1335</v>
      </c>
      <c r="L391">
        <v>18</v>
      </c>
      <c r="M391">
        <v>35</v>
      </c>
      <c r="N391" t="s">
        <v>1336</v>
      </c>
      <c r="O391" t="s">
        <v>3419</v>
      </c>
      <c r="P391">
        <v>2018</v>
      </c>
      <c r="Q391">
        <v>8</v>
      </c>
      <c r="R391">
        <v>18</v>
      </c>
      <c r="S391">
        <v>14</v>
      </c>
      <c r="T391" t="str">
        <f>TEXT(Table1[[#This Row],[Month]],"MMMM")</f>
        <v>January</v>
      </c>
    </row>
    <row r="392" spans="1:20" x14ac:dyDescent="0.25">
      <c r="A392" t="s">
        <v>1337</v>
      </c>
      <c r="B392" t="s">
        <v>2868</v>
      </c>
      <c r="C392" t="s">
        <v>1239</v>
      </c>
      <c r="D392" t="s">
        <v>3302</v>
      </c>
      <c r="E392" s="1">
        <v>44783.916666666664</v>
      </c>
      <c r="F392" s="1" t="str">
        <f t="shared" si="6"/>
        <v>Wednesday</v>
      </c>
      <c r="G392" t="s">
        <v>1240</v>
      </c>
      <c r="H392" t="s">
        <v>3768</v>
      </c>
      <c r="I392" t="s">
        <v>27</v>
      </c>
      <c r="J392" t="s">
        <v>4105</v>
      </c>
      <c r="K392" t="s">
        <v>1338</v>
      </c>
      <c r="L392">
        <v>25</v>
      </c>
      <c r="M392">
        <v>50</v>
      </c>
      <c r="N392" t="s">
        <v>1242</v>
      </c>
      <c r="O392" t="s">
        <v>3405</v>
      </c>
      <c r="P392">
        <v>2022</v>
      </c>
      <c r="Q392">
        <v>8</v>
      </c>
      <c r="R392">
        <v>10</v>
      </c>
      <c r="S392">
        <v>22</v>
      </c>
      <c r="T392" t="str">
        <f>TEXT(Table1[[#This Row],[Month]],"MMMM")</f>
        <v>January</v>
      </c>
    </row>
    <row r="393" spans="1:20" x14ac:dyDescent="0.25">
      <c r="A393" t="s">
        <v>1339</v>
      </c>
      <c r="B393" t="s">
        <v>2869</v>
      </c>
      <c r="C393" t="s">
        <v>1340</v>
      </c>
      <c r="D393" t="s">
        <v>3317</v>
      </c>
      <c r="E393" s="1">
        <v>43560.729166666664</v>
      </c>
      <c r="F393" s="1" t="str">
        <f t="shared" si="6"/>
        <v>Friday</v>
      </c>
      <c r="G393" t="s">
        <v>1341</v>
      </c>
      <c r="H393" t="s">
        <v>3471</v>
      </c>
      <c r="I393" t="s">
        <v>17</v>
      </c>
      <c r="J393" t="s">
        <v>4104</v>
      </c>
      <c r="K393" t="s">
        <v>1342</v>
      </c>
      <c r="L393">
        <v>18</v>
      </c>
      <c r="M393">
        <v>35</v>
      </c>
      <c r="N393" t="s">
        <v>1247</v>
      </c>
      <c r="O393" t="s">
        <v>3404</v>
      </c>
      <c r="P393">
        <v>2019</v>
      </c>
      <c r="Q393">
        <v>4</v>
      </c>
      <c r="R393">
        <v>5</v>
      </c>
      <c r="S393">
        <v>17</v>
      </c>
      <c r="T393" t="str">
        <f>TEXT(Table1[[#This Row],[Month]],"MMMM")</f>
        <v>January</v>
      </c>
    </row>
    <row r="394" spans="1:20" x14ac:dyDescent="0.25">
      <c r="A394" t="s">
        <v>1343</v>
      </c>
      <c r="B394" t="s">
        <v>2870</v>
      </c>
      <c r="C394" t="s">
        <v>1344</v>
      </c>
      <c r="D394" t="s">
        <v>3318</v>
      </c>
      <c r="E394" s="1">
        <v>44180.65625</v>
      </c>
      <c r="F394" s="1" t="str">
        <f t="shared" si="6"/>
        <v>Tuesday</v>
      </c>
      <c r="G394" t="s">
        <v>1345</v>
      </c>
      <c r="H394" t="s">
        <v>3786</v>
      </c>
      <c r="I394" t="s">
        <v>32</v>
      </c>
      <c r="J394" t="s">
        <v>4106</v>
      </c>
      <c r="K394" t="s">
        <v>1346</v>
      </c>
      <c r="L394">
        <v>22</v>
      </c>
      <c r="M394">
        <v>45</v>
      </c>
      <c r="N394" t="s">
        <v>1252</v>
      </c>
      <c r="O394" t="s">
        <v>3406</v>
      </c>
      <c r="P394">
        <v>2020</v>
      </c>
      <c r="Q394">
        <v>12</v>
      </c>
      <c r="R394">
        <v>15</v>
      </c>
      <c r="S394">
        <v>15</v>
      </c>
      <c r="T394" t="str">
        <f>TEXT(Table1[[#This Row],[Month]],"MMMM")</f>
        <v>January</v>
      </c>
    </row>
    <row r="395" spans="1:20" x14ac:dyDescent="0.25">
      <c r="A395" t="s">
        <v>1347</v>
      </c>
      <c r="B395" t="s">
        <v>2871</v>
      </c>
      <c r="C395" t="s">
        <v>1348</v>
      </c>
      <c r="D395" t="s">
        <v>3319</v>
      </c>
      <c r="E395" s="1">
        <v>43028.34375</v>
      </c>
      <c r="F395" s="1" t="str">
        <f t="shared" si="6"/>
        <v>Friday</v>
      </c>
      <c r="G395" t="s">
        <v>1349</v>
      </c>
      <c r="H395" t="s">
        <v>3787</v>
      </c>
      <c r="I395" t="s">
        <v>27</v>
      </c>
      <c r="J395" t="s">
        <v>4105</v>
      </c>
      <c r="K395" t="s">
        <v>1350</v>
      </c>
      <c r="L395">
        <v>35</v>
      </c>
      <c r="M395">
        <v>70</v>
      </c>
      <c r="N395" t="s">
        <v>1257</v>
      </c>
      <c r="O395" t="s">
        <v>3401</v>
      </c>
      <c r="P395">
        <v>2017</v>
      </c>
      <c r="Q395">
        <v>10</v>
      </c>
      <c r="R395">
        <v>20</v>
      </c>
      <c r="S395">
        <v>8</v>
      </c>
      <c r="T395" t="str">
        <f>TEXT(Table1[[#This Row],[Month]],"MMMM")</f>
        <v>January</v>
      </c>
    </row>
    <row r="396" spans="1:20" x14ac:dyDescent="0.25">
      <c r="A396" t="s">
        <v>1351</v>
      </c>
      <c r="B396" t="s">
        <v>2872</v>
      </c>
      <c r="C396" t="s">
        <v>1352</v>
      </c>
      <c r="D396" t="s">
        <v>3320</v>
      </c>
      <c r="E396" s="1">
        <v>44255.541666666664</v>
      </c>
      <c r="F396" s="1" t="str">
        <f t="shared" si="6"/>
        <v>Sunday</v>
      </c>
      <c r="G396" t="s">
        <v>1353</v>
      </c>
      <c r="H396" t="s">
        <v>3788</v>
      </c>
      <c r="I396" t="s">
        <v>17</v>
      </c>
      <c r="J396" t="s">
        <v>4104</v>
      </c>
      <c r="K396" t="s">
        <v>1354</v>
      </c>
      <c r="L396">
        <v>30</v>
      </c>
      <c r="M396">
        <v>60</v>
      </c>
      <c r="N396" t="s">
        <v>1262</v>
      </c>
      <c r="O396" t="s">
        <v>3402</v>
      </c>
      <c r="P396">
        <v>2021</v>
      </c>
      <c r="Q396">
        <v>2</v>
      </c>
      <c r="R396">
        <v>28</v>
      </c>
      <c r="S396">
        <v>13</v>
      </c>
      <c r="T396" t="str">
        <f>TEXT(Table1[[#This Row],[Month]],"MMMM")</f>
        <v>January</v>
      </c>
    </row>
    <row r="397" spans="1:20" x14ac:dyDescent="0.25">
      <c r="A397" t="s">
        <v>1355</v>
      </c>
      <c r="B397" t="s">
        <v>2873</v>
      </c>
      <c r="C397" t="s">
        <v>1356</v>
      </c>
      <c r="D397" t="s">
        <v>3321</v>
      </c>
      <c r="E397" s="1">
        <v>43263.854166666664</v>
      </c>
      <c r="F397" s="1" t="str">
        <f t="shared" si="6"/>
        <v>Tuesday</v>
      </c>
      <c r="G397" t="s">
        <v>1357</v>
      </c>
      <c r="H397" t="s">
        <v>3789</v>
      </c>
      <c r="I397" t="s">
        <v>32</v>
      </c>
      <c r="J397" t="s">
        <v>4106</v>
      </c>
      <c r="K397" t="s">
        <v>1358</v>
      </c>
      <c r="L397">
        <v>28</v>
      </c>
      <c r="M397">
        <v>55</v>
      </c>
      <c r="N397" t="s">
        <v>1267</v>
      </c>
      <c r="O397" t="s">
        <v>3432</v>
      </c>
      <c r="P397">
        <v>2018</v>
      </c>
      <c r="Q397">
        <v>6</v>
      </c>
      <c r="R397">
        <v>12</v>
      </c>
      <c r="S397">
        <v>20</v>
      </c>
      <c r="T397" t="str">
        <f>TEXT(Table1[[#This Row],[Month]],"MMMM")</f>
        <v>January</v>
      </c>
    </row>
    <row r="398" spans="1:20" x14ac:dyDescent="0.25">
      <c r="A398" t="s">
        <v>1359</v>
      </c>
      <c r="B398" t="s">
        <v>2874</v>
      </c>
      <c r="C398" t="s">
        <v>1269</v>
      </c>
      <c r="D398" t="s">
        <v>3308</v>
      </c>
      <c r="E398" s="1">
        <v>42437.597222222219</v>
      </c>
      <c r="F398" s="1" t="str">
        <f t="shared" si="6"/>
        <v>Tuesday</v>
      </c>
      <c r="G398" t="s">
        <v>1360</v>
      </c>
      <c r="H398" t="s">
        <v>3790</v>
      </c>
      <c r="I398" t="s">
        <v>27</v>
      </c>
      <c r="J398" t="s">
        <v>4105</v>
      </c>
      <c r="K398" t="s">
        <v>1361</v>
      </c>
      <c r="L398">
        <v>20</v>
      </c>
      <c r="M398">
        <v>40</v>
      </c>
      <c r="N398" t="s">
        <v>1272</v>
      </c>
      <c r="O398" t="s">
        <v>60</v>
      </c>
      <c r="P398">
        <v>2016</v>
      </c>
      <c r="Q398">
        <v>3</v>
      </c>
      <c r="R398">
        <v>8</v>
      </c>
      <c r="S398">
        <v>14</v>
      </c>
      <c r="T398" t="str">
        <f>TEXT(Table1[[#This Row],[Month]],"MMMM")</f>
        <v>January</v>
      </c>
    </row>
    <row r="399" spans="1:20" x14ac:dyDescent="0.25">
      <c r="A399" t="s">
        <v>1362</v>
      </c>
      <c r="B399" t="s">
        <v>2875</v>
      </c>
      <c r="C399" t="s">
        <v>1188</v>
      </c>
      <c r="D399" t="s">
        <v>3296</v>
      </c>
      <c r="E399" s="1">
        <v>45034.715277777781</v>
      </c>
      <c r="F399" s="1" t="str">
        <f t="shared" si="6"/>
        <v>Tuesday</v>
      </c>
      <c r="G399" t="s">
        <v>1275</v>
      </c>
      <c r="H399" t="s">
        <v>3775</v>
      </c>
      <c r="I399" t="s">
        <v>17</v>
      </c>
      <c r="J399" t="s">
        <v>4104</v>
      </c>
      <c r="K399" t="s">
        <v>1363</v>
      </c>
      <c r="L399">
        <v>18</v>
      </c>
      <c r="M399">
        <v>35</v>
      </c>
      <c r="N399" t="s">
        <v>1277</v>
      </c>
      <c r="O399" t="s">
        <v>3407</v>
      </c>
      <c r="P399">
        <v>2023</v>
      </c>
      <c r="Q399">
        <v>4</v>
      </c>
      <c r="R399">
        <v>18</v>
      </c>
      <c r="S399">
        <v>17</v>
      </c>
      <c r="T399" t="str">
        <f>TEXT(Table1[[#This Row],[Month]],"MMMM")</f>
        <v>January</v>
      </c>
    </row>
    <row r="400" spans="1:20" x14ac:dyDescent="0.25">
      <c r="A400" t="s">
        <v>1364</v>
      </c>
      <c r="B400" t="s">
        <v>2876</v>
      </c>
      <c r="C400" t="s">
        <v>1365</v>
      </c>
      <c r="D400" t="s">
        <v>3322</v>
      </c>
      <c r="E400" s="1">
        <v>44037.53125</v>
      </c>
      <c r="F400" s="1" t="str">
        <f t="shared" si="6"/>
        <v>Saturday</v>
      </c>
      <c r="G400" t="s">
        <v>1366</v>
      </c>
      <c r="H400" t="s">
        <v>3791</v>
      </c>
      <c r="I400" t="s">
        <v>32</v>
      </c>
      <c r="J400" t="s">
        <v>4106</v>
      </c>
      <c r="K400" t="s">
        <v>1367</v>
      </c>
      <c r="L400">
        <v>22</v>
      </c>
      <c r="M400">
        <v>45</v>
      </c>
      <c r="N400" t="s">
        <v>1282</v>
      </c>
      <c r="O400" t="s">
        <v>3408</v>
      </c>
      <c r="P400">
        <v>2020</v>
      </c>
      <c r="Q400">
        <v>7</v>
      </c>
      <c r="R400">
        <v>25</v>
      </c>
      <c r="S400">
        <v>12</v>
      </c>
      <c r="T400" t="str">
        <f>TEXT(Table1[[#This Row],[Month]],"MMMM")</f>
        <v>January</v>
      </c>
    </row>
    <row r="401" spans="1:20" x14ac:dyDescent="0.25">
      <c r="A401" t="s">
        <v>1368</v>
      </c>
      <c r="B401" t="s">
        <v>2877</v>
      </c>
      <c r="C401" t="s">
        <v>1369</v>
      </c>
      <c r="D401" t="s">
        <v>3310</v>
      </c>
      <c r="E401" s="1">
        <v>43799.8125</v>
      </c>
      <c r="F401" s="1" t="str">
        <f t="shared" si="6"/>
        <v>Saturday</v>
      </c>
      <c r="G401" t="s">
        <v>1285</v>
      </c>
      <c r="H401" t="s">
        <v>3777</v>
      </c>
      <c r="I401" t="s">
        <v>27</v>
      </c>
      <c r="J401" t="s">
        <v>4105</v>
      </c>
      <c r="K401" t="s">
        <v>1286</v>
      </c>
      <c r="L401">
        <v>35</v>
      </c>
      <c r="M401">
        <v>70</v>
      </c>
      <c r="N401" t="s">
        <v>1287</v>
      </c>
      <c r="O401" t="s">
        <v>3409</v>
      </c>
      <c r="P401">
        <v>2019</v>
      </c>
      <c r="Q401">
        <v>11</v>
      </c>
      <c r="R401">
        <v>30</v>
      </c>
      <c r="S401">
        <v>19</v>
      </c>
      <c r="T401" t="str">
        <f>TEXT(Table1[[#This Row],[Month]],"MMMM")</f>
        <v>January</v>
      </c>
    </row>
    <row r="402" spans="1:20" x14ac:dyDescent="0.25">
      <c r="A402" t="s">
        <v>1370</v>
      </c>
      <c r="B402" t="s">
        <v>2878</v>
      </c>
      <c r="C402" t="s">
        <v>1371</v>
      </c>
      <c r="D402" t="s">
        <v>3323</v>
      </c>
      <c r="E402" s="1">
        <v>42248.666666666664</v>
      </c>
      <c r="F402" s="1" t="str">
        <f t="shared" si="6"/>
        <v>Tuesday</v>
      </c>
      <c r="G402" t="s">
        <v>1290</v>
      </c>
      <c r="H402" t="s">
        <v>3778</v>
      </c>
      <c r="I402" t="s">
        <v>17</v>
      </c>
      <c r="J402" t="s">
        <v>4104</v>
      </c>
      <c r="K402" t="s">
        <v>1372</v>
      </c>
      <c r="L402">
        <v>15</v>
      </c>
      <c r="M402">
        <v>30</v>
      </c>
      <c r="N402" t="s">
        <v>1292</v>
      </c>
      <c r="O402" t="s">
        <v>3410</v>
      </c>
      <c r="P402">
        <v>2015</v>
      </c>
      <c r="Q402">
        <v>9</v>
      </c>
      <c r="R402">
        <v>1</v>
      </c>
      <c r="S402">
        <v>16</v>
      </c>
      <c r="T402" t="str">
        <f>TEXT(Table1[[#This Row],[Month]],"MMMM")</f>
        <v>January</v>
      </c>
    </row>
    <row r="403" spans="1:20" x14ac:dyDescent="0.25">
      <c r="A403" t="s">
        <v>1373</v>
      </c>
      <c r="B403" t="s">
        <v>2879</v>
      </c>
      <c r="C403" t="s">
        <v>1374</v>
      </c>
      <c r="D403" t="s">
        <v>3312</v>
      </c>
      <c r="E403" s="1">
        <v>44686.427083333336</v>
      </c>
      <c r="F403" s="1" t="str">
        <f t="shared" si="6"/>
        <v>Thursday</v>
      </c>
      <c r="G403" t="s">
        <v>1295</v>
      </c>
      <c r="H403" t="s">
        <v>3779</v>
      </c>
      <c r="I403" t="s">
        <v>32</v>
      </c>
      <c r="J403" t="s">
        <v>4106</v>
      </c>
      <c r="K403" t="s">
        <v>1296</v>
      </c>
      <c r="L403">
        <v>25</v>
      </c>
      <c r="M403">
        <v>50</v>
      </c>
      <c r="N403" t="s">
        <v>1297</v>
      </c>
      <c r="O403" t="s">
        <v>3411</v>
      </c>
      <c r="P403">
        <v>2022</v>
      </c>
      <c r="Q403">
        <v>5</v>
      </c>
      <c r="R403">
        <v>5</v>
      </c>
      <c r="S403">
        <v>10</v>
      </c>
      <c r="T403" t="str">
        <f>TEXT(Table1[[#This Row],[Month]],"MMMM")</f>
        <v>January</v>
      </c>
    </row>
    <row r="404" spans="1:20" x14ac:dyDescent="0.25">
      <c r="A404" t="s">
        <v>1375</v>
      </c>
      <c r="B404" t="s">
        <v>2880</v>
      </c>
      <c r="C404" t="s">
        <v>1376</v>
      </c>
      <c r="D404" t="s">
        <v>3313</v>
      </c>
      <c r="E404" s="1">
        <v>43289.958333333336</v>
      </c>
      <c r="F404" s="1" t="str">
        <f t="shared" si="6"/>
        <v>Sunday</v>
      </c>
      <c r="G404" t="s">
        <v>1300</v>
      </c>
      <c r="H404" t="s">
        <v>3780</v>
      </c>
      <c r="I404" t="s">
        <v>27</v>
      </c>
      <c r="J404" t="s">
        <v>4105</v>
      </c>
      <c r="K404" t="s">
        <v>1301</v>
      </c>
      <c r="L404">
        <v>40</v>
      </c>
      <c r="M404">
        <v>80</v>
      </c>
      <c r="N404" t="s">
        <v>1302</v>
      </c>
      <c r="O404" t="s">
        <v>3412</v>
      </c>
      <c r="P404">
        <v>2018</v>
      </c>
      <c r="Q404">
        <v>7</v>
      </c>
      <c r="R404">
        <v>8</v>
      </c>
      <c r="S404">
        <v>23</v>
      </c>
      <c r="T404" t="str">
        <f>TEXT(Table1[[#This Row],[Month]],"MMMM")</f>
        <v>January</v>
      </c>
    </row>
    <row r="405" spans="1:20" x14ac:dyDescent="0.25">
      <c r="A405" t="s">
        <v>1303</v>
      </c>
      <c r="B405" t="s">
        <v>2861</v>
      </c>
      <c r="C405" t="s">
        <v>1304</v>
      </c>
      <c r="D405" t="s">
        <v>3314</v>
      </c>
      <c r="E405" s="1">
        <v>44459.604166666664</v>
      </c>
      <c r="F405" s="1" t="str">
        <f t="shared" si="6"/>
        <v>Monday</v>
      </c>
      <c r="G405" t="s">
        <v>1305</v>
      </c>
      <c r="H405" t="s">
        <v>3781</v>
      </c>
      <c r="I405" t="s">
        <v>17</v>
      </c>
      <c r="J405" t="s">
        <v>4104</v>
      </c>
      <c r="K405" t="s">
        <v>1306</v>
      </c>
      <c r="L405">
        <v>18</v>
      </c>
      <c r="M405">
        <v>35</v>
      </c>
      <c r="N405" t="s">
        <v>1307</v>
      </c>
      <c r="O405" t="s">
        <v>3413</v>
      </c>
      <c r="P405">
        <v>2021</v>
      </c>
      <c r="Q405">
        <v>9</v>
      </c>
      <c r="R405">
        <v>20</v>
      </c>
      <c r="S405">
        <v>14</v>
      </c>
      <c r="T405" t="str">
        <f>TEXT(Table1[[#This Row],[Month]],"MMMM")</f>
        <v>January</v>
      </c>
    </row>
    <row r="406" spans="1:20" x14ac:dyDescent="0.25">
      <c r="A406" t="s">
        <v>1308</v>
      </c>
      <c r="B406" t="s">
        <v>2862</v>
      </c>
      <c r="C406" t="s">
        <v>1377</v>
      </c>
      <c r="D406" t="s">
        <v>3290</v>
      </c>
      <c r="E406" s="1">
        <v>42689.489583333336</v>
      </c>
      <c r="F406" s="1" t="str">
        <f t="shared" si="6"/>
        <v>Tuesday</v>
      </c>
      <c r="G406" t="s">
        <v>1310</v>
      </c>
      <c r="H406" t="s">
        <v>3656</v>
      </c>
      <c r="I406" t="s">
        <v>32</v>
      </c>
      <c r="J406" t="s">
        <v>4106</v>
      </c>
      <c r="K406" t="s">
        <v>1311</v>
      </c>
      <c r="L406">
        <v>28</v>
      </c>
      <c r="M406">
        <v>55</v>
      </c>
      <c r="N406" t="s">
        <v>1312</v>
      </c>
      <c r="O406" t="s">
        <v>3414</v>
      </c>
      <c r="P406">
        <v>2016</v>
      </c>
      <c r="Q406">
        <v>11</v>
      </c>
      <c r="R406">
        <v>15</v>
      </c>
      <c r="S406">
        <v>11</v>
      </c>
      <c r="T406" t="str">
        <f>TEXT(Table1[[#This Row],[Month]],"MMMM")</f>
        <v>January</v>
      </c>
    </row>
    <row r="407" spans="1:20" x14ac:dyDescent="0.25">
      <c r="A407" t="s">
        <v>1313</v>
      </c>
      <c r="B407" t="s">
        <v>2863</v>
      </c>
      <c r="C407" t="s">
        <v>1314</v>
      </c>
      <c r="D407" t="s">
        <v>3315</v>
      </c>
      <c r="E407" s="1">
        <v>43842.75</v>
      </c>
      <c r="F407" s="1" t="str">
        <f t="shared" si="6"/>
        <v>Sunday</v>
      </c>
      <c r="G407" t="s">
        <v>484</v>
      </c>
      <c r="H407" t="s">
        <v>3564</v>
      </c>
      <c r="I407" t="s">
        <v>27</v>
      </c>
      <c r="J407" t="s">
        <v>4105</v>
      </c>
      <c r="K407" t="s">
        <v>1315</v>
      </c>
      <c r="L407">
        <v>30</v>
      </c>
      <c r="M407">
        <v>60</v>
      </c>
      <c r="N407" t="s">
        <v>1316</v>
      </c>
      <c r="O407" t="s">
        <v>3415</v>
      </c>
      <c r="P407">
        <v>2020</v>
      </c>
      <c r="Q407">
        <v>1</v>
      </c>
      <c r="R407">
        <v>12</v>
      </c>
      <c r="S407">
        <v>18</v>
      </c>
      <c r="T407" t="str">
        <f>TEXT(Table1[[#This Row],[Month]],"MMMM")</f>
        <v>January</v>
      </c>
    </row>
    <row r="408" spans="1:20" x14ac:dyDescent="0.25">
      <c r="A408" t="s">
        <v>1317</v>
      </c>
      <c r="B408" t="s">
        <v>2864</v>
      </c>
      <c r="C408" t="s">
        <v>1318</v>
      </c>
      <c r="D408" t="s">
        <v>3239</v>
      </c>
      <c r="E408" s="1">
        <v>43097.802083333336</v>
      </c>
      <c r="F408" s="1" t="str">
        <f t="shared" si="6"/>
        <v>Thursday</v>
      </c>
      <c r="G408" t="s">
        <v>1319</v>
      </c>
      <c r="H408" t="s">
        <v>3782</v>
      </c>
      <c r="I408" t="s">
        <v>32</v>
      </c>
      <c r="J408" t="s">
        <v>4106</v>
      </c>
      <c r="K408" t="s">
        <v>1320</v>
      </c>
      <c r="L408">
        <v>22</v>
      </c>
      <c r="M408">
        <v>45</v>
      </c>
      <c r="N408" t="s">
        <v>1321</v>
      </c>
      <c r="O408" t="s">
        <v>3416</v>
      </c>
      <c r="P408">
        <v>2017</v>
      </c>
      <c r="Q408">
        <v>12</v>
      </c>
      <c r="R408">
        <v>28</v>
      </c>
      <c r="S408">
        <v>19</v>
      </c>
      <c r="T408" t="str">
        <f>TEXT(Table1[[#This Row],[Month]],"MMMM")</f>
        <v>January</v>
      </c>
    </row>
    <row r="409" spans="1:20" x14ac:dyDescent="0.25">
      <c r="A409" t="s">
        <v>1378</v>
      </c>
      <c r="B409" t="s">
        <v>2881</v>
      </c>
      <c r="C409" t="s">
        <v>1379</v>
      </c>
      <c r="D409" t="s">
        <v>3324</v>
      </c>
      <c r="E409" s="1">
        <v>43526.847222222219</v>
      </c>
      <c r="F409" s="1" t="str">
        <f t="shared" si="6"/>
        <v>Saturday</v>
      </c>
      <c r="G409" t="s">
        <v>1324</v>
      </c>
      <c r="H409" t="s">
        <v>3783</v>
      </c>
      <c r="I409" t="s">
        <v>17</v>
      </c>
      <c r="J409" t="s">
        <v>4104</v>
      </c>
      <c r="K409" t="s">
        <v>1380</v>
      </c>
      <c r="L409">
        <v>35</v>
      </c>
      <c r="M409">
        <v>70</v>
      </c>
      <c r="N409" t="s">
        <v>1326</v>
      </c>
      <c r="O409" t="s">
        <v>3417</v>
      </c>
      <c r="P409">
        <v>2019</v>
      </c>
      <c r="Q409">
        <v>3</v>
      </c>
      <c r="R409">
        <v>2</v>
      </c>
      <c r="S409">
        <v>20</v>
      </c>
      <c r="T409" t="str">
        <f>TEXT(Table1[[#This Row],[Month]],"MMMM")</f>
        <v>January</v>
      </c>
    </row>
    <row r="410" spans="1:20" x14ac:dyDescent="0.25">
      <c r="A410" t="s">
        <v>1381</v>
      </c>
      <c r="B410" t="s">
        <v>2882</v>
      </c>
      <c r="C410" t="s">
        <v>1382</v>
      </c>
      <c r="D410" t="s">
        <v>3236</v>
      </c>
      <c r="E410" s="1">
        <v>44720.645833333336</v>
      </c>
      <c r="F410" s="1" t="str">
        <f t="shared" si="6"/>
        <v>Wednesday</v>
      </c>
      <c r="G410" t="s">
        <v>1329</v>
      </c>
      <c r="H410" t="s">
        <v>3784</v>
      </c>
      <c r="I410" t="s">
        <v>27</v>
      </c>
      <c r="J410" t="s">
        <v>4105</v>
      </c>
      <c r="K410" t="s">
        <v>1383</v>
      </c>
      <c r="L410">
        <v>20</v>
      </c>
      <c r="M410">
        <v>40</v>
      </c>
      <c r="N410" t="s">
        <v>1331</v>
      </c>
      <c r="O410" t="s">
        <v>3418</v>
      </c>
      <c r="P410">
        <v>2022</v>
      </c>
      <c r="Q410">
        <v>6</v>
      </c>
      <c r="R410">
        <v>8</v>
      </c>
      <c r="S410">
        <v>15</v>
      </c>
      <c r="T410" t="str">
        <f>TEXT(Table1[[#This Row],[Month]],"MMMM")</f>
        <v>January</v>
      </c>
    </row>
    <row r="411" spans="1:20" x14ac:dyDescent="0.25">
      <c r="A411" t="s">
        <v>1384</v>
      </c>
      <c r="B411" t="s">
        <v>2883</v>
      </c>
      <c r="C411" t="s">
        <v>1333</v>
      </c>
      <c r="D411" t="s">
        <v>3222</v>
      </c>
      <c r="E411" s="1">
        <v>43330.614583333336</v>
      </c>
      <c r="F411" s="1" t="str">
        <f t="shared" si="6"/>
        <v>Saturday</v>
      </c>
      <c r="G411" t="s">
        <v>1334</v>
      </c>
      <c r="H411" t="s">
        <v>3785</v>
      </c>
      <c r="I411" t="s">
        <v>32</v>
      </c>
      <c r="J411" t="s">
        <v>4106</v>
      </c>
      <c r="K411" t="s">
        <v>1335</v>
      </c>
      <c r="L411">
        <v>18</v>
      </c>
      <c r="M411">
        <v>35</v>
      </c>
      <c r="N411" t="s">
        <v>1336</v>
      </c>
      <c r="O411" t="s">
        <v>3419</v>
      </c>
      <c r="P411">
        <v>2018</v>
      </c>
      <c r="Q411">
        <v>8</v>
      </c>
      <c r="R411">
        <v>18</v>
      </c>
      <c r="S411">
        <v>14</v>
      </c>
      <c r="T411" t="str">
        <f>TEXT(Table1[[#This Row],[Month]],"MMMM")</f>
        <v>January</v>
      </c>
    </row>
    <row r="412" spans="1:20" x14ac:dyDescent="0.25">
      <c r="A412" t="s">
        <v>1385</v>
      </c>
      <c r="B412" t="s">
        <v>2884</v>
      </c>
      <c r="C412" t="s">
        <v>1386</v>
      </c>
      <c r="D412" t="s">
        <v>3260</v>
      </c>
      <c r="E412" s="1">
        <v>42316.416666666664</v>
      </c>
      <c r="F412" s="1" t="str">
        <f t="shared" si="6"/>
        <v>Sunday</v>
      </c>
      <c r="G412" t="s">
        <v>1236</v>
      </c>
      <c r="H412" t="s">
        <v>3767</v>
      </c>
      <c r="I412" t="s">
        <v>27</v>
      </c>
      <c r="J412" t="s">
        <v>4105</v>
      </c>
      <c r="K412" t="s">
        <v>1387</v>
      </c>
      <c r="L412">
        <v>18</v>
      </c>
      <c r="M412">
        <v>35</v>
      </c>
      <c r="N412" t="s">
        <v>39</v>
      </c>
      <c r="O412" t="s">
        <v>3402</v>
      </c>
      <c r="P412">
        <v>2015</v>
      </c>
      <c r="Q412">
        <v>11</v>
      </c>
      <c r="R412">
        <v>8</v>
      </c>
      <c r="S412">
        <v>10</v>
      </c>
      <c r="T412" t="str">
        <f>TEXT(Table1[[#This Row],[Month]],"MMMM")</f>
        <v>January</v>
      </c>
    </row>
    <row r="413" spans="1:20" x14ac:dyDescent="0.25">
      <c r="A413" t="s">
        <v>1388</v>
      </c>
      <c r="B413" t="s">
        <v>2885</v>
      </c>
      <c r="C413" t="s">
        <v>284</v>
      </c>
      <c r="D413" t="s">
        <v>3231</v>
      </c>
      <c r="E413" s="1">
        <v>44167.729166666664</v>
      </c>
      <c r="F413" s="1" t="str">
        <f t="shared" si="6"/>
        <v>Wednesday</v>
      </c>
      <c r="G413" t="s">
        <v>1389</v>
      </c>
      <c r="H413" t="s">
        <v>3792</v>
      </c>
      <c r="I413" t="s">
        <v>17</v>
      </c>
      <c r="J413" t="s">
        <v>4104</v>
      </c>
      <c r="K413" t="s">
        <v>1390</v>
      </c>
      <c r="L413">
        <v>22</v>
      </c>
      <c r="M413">
        <v>45</v>
      </c>
      <c r="N413" t="s">
        <v>1391</v>
      </c>
      <c r="O413" t="s">
        <v>3401</v>
      </c>
      <c r="P413">
        <v>2020</v>
      </c>
      <c r="Q413">
        <v>12</v>
      </c>
      <c r="R413">
        <v>2</v>
      </c>
      <c r="S413">
        <v>17</v>
      </c>
      <c r="T413" t="str">
        <f>TEXT(Table1[[#This Row],[Month]],"MMMM")</f>
        <v>January</v>
      </c>
    </row>
    <row r="414" spans="1:20" x14ac:dyDescent="0.25">
      <c r="A414" t="s">
        <v>1392</v>
      </c>
      <c r="B414" t="s">
        <v>2886</v>
      </c>
      <c r="C414" t="s">
        <v>878</v>
      </c>
      <c r="D414" t="s">
        <v>3237</v>
      </c>
      <c r="E414" s="1">
        <v>42896.510416666664</v>
      </c>
      <c r="F414" s="1" t="str">
        <f t="shared" si="6"/>
        <v>Saturday</v>
      </c>
      <c r="G414" t="s">
        <v>1393</v>
      </c>
      <c r="H414" t="s">
        <v>3793</v>
      </c>
      <c r="I414" t="s">
        <v>27</v>
      </c>
      <c r="J414" t="s">
        <v>4105</v>
      </c>
      <c r="K414" t="s">
        <v>1394</v>
      </c>
      <c r="L414">
        <v>28</v>
      </c>
      <c r="M414">
        <v>55</v>
      </c>
      <c r="N414" t="s">
        <v>1395</v>
      </c>
      <c r="O414" t="s">
        <v>3404</v>
      </c>
      <c r="P414">
        <v>2017</v>
      </c>
      <c r="Q414">
        <v>6</v>
      </c>
      <c r="R414">
        <v>10</v>
      </c>
      <c r="S414">
        <v>12</v>
      </c>
      <c r="T414" t="str">
        <f>TEXT(Table1[[#This Row],[Month]],"MMMM")</f>
        <v>January</v>
      </c>
    </row>
    <row r="415" spans="1:20" x14ac:dyDescent="0.25">
      <c r="A415" t="s">
        <v>1396</v>
      </c>
      <c r="B415" t="s">
        <v>2887</v>
      </c>
      <c r="C415" t="s">
        <v>1397</v>
      </c>
      <c r="D415" t="s">
        <v>3325</v>
      </c>
      <c r="E415" s="1">
        <v>44301.597222222219</v>
      </c>
      <c r="F415" s="1" t="str">
        <f t="shared" si="6"/>
        <v>Thursday</v>
      </c>
      <c r="G415" t="s">
        <v>1398</v>
      </c>
      <c r="H415" t="s">
        <v>3794</v>
      </c>
      <c r="I415" t="s">
        <v>32</v>
      </c>
      <c r="J415" t="s">
        <v>4106</v>
      </c>
      <c r="K415" t="s">
        <v>1399</v>
      </c>
      <c r="L415">
        <v>35</v>
      </c>
      <c r="M415">
        <v>70</v>
      </c>
      <c r="N415" t="s">
        <v>1272</v>
      </c>
      <c r="O415" t="s">
        <v>60</v>
      </c>
      <c r="P415">
        <v>2021</v>
      </c>
      <c r="Q415">
        <v>4</v>
      </c>
      <c r="R415">
        <v>15</v>
      </c>
      <c r="S415">
        <v>14</v>
      </c>
      <c r="T415" t="str">
        <f>TEXT(Table1[[#This Row],[Month]],"MMMM")</f>
        <v>January</v>
      </c>
    </row>
    <row r="416" spans="1:20" x14ac:dyDescent="0.25">
      <c r="A416" t="s">
        <v>1400</v>
      </c>
      <c r="B416" t="s">
        <v>2888</v>
      </c>
      <c r="C416" t="s">
        <v>1401</v>
      </c>
      <c r="D416" t="s">
        <v>3326</v>
      </c>
      <c r="E416" s="1">
        <v>43736.822916666664</v>
      </c>
      <c r="F416" s="1" t="str">
        <f t="shared" si="6"/>
        <v>Saturday</v>
      </c>
      <c r="G416" t="s">
        <v>1402</v>
      </c>
      <c r="H416" t="s">
        <v>3455</v>
      </c>
      <c r="I416" t="s">
        <v>17</v>
      </c>
      <c r="J416" t="s">
        <v>4104</v>
      </c>
      <c r="K416" t="s">
        <v>1403</v>
      </c>
      <c r="L416">
        <v>20</v>
      </c>
      <c r="M416">
        <v>40</v>
      </c>
      <c r="N416" t="s">
        <v>1404</v>
      </c>
      <c r="O416" t="s">
        <v>3432</v>
      </c>
      <c r="P416">
        <v>2019</v>
      </c>
      <c r="Q416">
        <v>9</v>
      </c>
      <c r="R416">
        <v>28</v>
      </c>
      <c r="S416">
        <v>19</v>
      </c>
      <c r="T416" t="str">
        <f>TEXT(Table1[[#This Row],[Month]],"MMMM")</f>
        <v>January</v>
      </c>
    </row>
    <row r="417" spans="1:20" x14ac:dyDescent="0.25">
      <c r="A417" t="s">
        <v>1405</v>
      </c>
      <c r="B417" t="s">
        <v>2889</v>
      </c>
      <c r="C417" t="s">
        <v>1406</v>
      </c>
      <c r="D417" t="s">
        <v>3264</v>
      </c>
      <c r="E417" s="1">
        <v>42709.875</v>
      </c>
      <c r="F417" s="1" t="str">
        <f t="shared" si="6"/>
        <v>Monday</v>
      </c>
      <c r="G417" t="s">
        <v>1407</v>
      </c>
      <c r="H417" t="s">
        <v>3795</v>
      </c>
      <c r="I417" t="s">
        <v>27</v>
      </c>
      <c r="J417" t="s">
        <v>4105</v>
      </c>
      <c r="K417" t="s">
        <v>1408</v>
      </c>
      <c r="L417">
        <v>25</v>
      </c>
      <c r="M417">
        <v>50</v>
      </c>
      <c r="N417" t="s">
        <v>1409</v>
      </c>
      <c r="O417" t="s">
        <v>3403</v>
      </c>
      <c r="P417">
        <v>2016</v>
      </c>
      <c r="Q417">
        <v>12</v>
      </c>
      <c r="R417">
        <v>5</v>
      </c>
      <c r="S417">
        <v>21</v>
      </c>
      <c r="T417" t="str">
        <f>TEXT(Table1[[#This Row],[Month]],"MMMM")</f>
        <v>January</v>
      </c>
    </row>
    <row r="418" spans="1:20" x14ac:dyDescent="0.25">
      <c r="A418" t="s">
        <v>1410</v>
      </c>
      <c r="B418" t="s">
        <v>2890</v>
      </c>
      <c r="C418" t="s">
        <v>1411</v>
      </c>
      <c r="D418" t="s">
        <v>3327</v>
      </c>
      <c r="E418" s="1">
        <v>43141.979166666664</v>
      </c>
      <c r="F418" s="1" t="str">
        <f t="shared" si="6"/>
        <v>Saturday</v>
      </c>
      <c r="G418" t="s">
        <v>1412</v>
      </c>
      <c r="H418" t="s">
        <v>3796</v>
      </c>
      <c r="I418" t="s">
        <v>32</v>
      </c>
      <c r="J418" t="s">
        <v>4106</v>
      </c>
      <c r="K418" t="s">
        <v>1413</v>
      </c>
      <c r="L418">
        <v>30</v>
      </c>
      <c r="M418">
        <v>60</v>
      </c>
      <c r="N418" t="s">
        <v>1414</v>
      </c>
      <c r="O418" t="s">
        <v>3402</v>
      </c>
      <c r="P418">
        <v>2018</v>
      </c>
      <c r="Q418">
        <v>2</v>
      </c>
      <c r="R418">
        <v>10</v>
      </c>
      <c r="S418">
        <v>23</v>
      </c>
      <c r="T418" t="str">
        <f>TEXT(Table1[[#This Row],[Month]],"MMMM")</f>
        <v>January</v>
      </c>
    </row>
    <row r="419" spans="1:20" x14ac:dyDescent="0.25">
      <c r="A419" t="s">
        <v>1415</v>
      </c>
      <c r="B419" t="s">
        <v>2891</v>
      </c>
      <c r="C419" t="s">
        <v>1416</v>
      </c>
      <c r="D419" t="s">
        <v>3239</v>
      </c>
      <c r="E419" s="1">
        <v>44972.354166666664</v>
      </c>
      <c r="F419" s="1" t="str">
        <f t="shared" si="6"/>
        <v>Wednesday</v>
      </c>
      <c r="G419" t="s">
        <v>1417</v>
      </c>
      <c r="H419" t="s">
        <v>3797</v>
      </c>
      <c r="I419" t="s">
        <v>17</v>
      </c>
      <c r="J419" t="s">
        <v>4104</v>
      </c>
      <c r="K419" t="s">
        <v>1418</v>
      </c>
      <c r="L419">
        <v>18</v>
      </c>
      <c r="M419">
        <v>35</v>
      </c>
      <c r="N419" t="s">
        <v>1419</v>
      </c>
      <c r="O419" t="s">
        <v>3406</v>
      </c>
      <c r="P419">
        <v>2023</v>
      </c>
      <c r="Q419">
        <v>2</v>
      </c>
      <c r="R419">
        <v>15</v>
      </c>
      <c r="S419">
        <v>8</v>
      </c>
      <c r="T419" t="str">
        <f>TEXT(Table1[[#This Row],[Month]],"MMMM")</f>
        <v>January</v>
      </c>
    </row>
    <row r="420" spans="1:20" x14ac:dyDescent="0.25">
      <c r="A420" t="s">
        <v>1420</v>
      </c>
      <c r="B420" t="s">
        <v>2892</v>
      </c>
      <c r="C420" t="s">
        <v>1421</v>
      </c>
      <c r="D420" t="s">
        <v>3328</v>
      </c>
      <c r="E420" s="1">
        <v>42238.625</v>
      </c>
      <c r="F420" s="1" t="str">
        <f t="shared" si="6"/>
        <v>Saturday</v>
      </c>
      <c r="G420" t="s">
        <v>1422</v>
      </c>
      <c r="H420" t="s">
        <v>3798</v>
      </c>
      <c r="I420" t="s">
        <v>27</v>
      </c>
      <c r="J420" t="s">
        <v>4105</v>
      </c>
      <c r="K420" t="s">
        <v>1423</v>
      </c>
      <c r="L420">
        <v>22</v>
      </c>
      <c r="M420">
        <v>45</v>
      </c>
      <c r="N420" t="s">
        <v>1424</v>
      </c>
      <c r="O420" t="s">
        <v>3405</v>
      </c>
      <c r="P420">
        <v>2015</v>
      </c>
      <c r="Q420">
        <v>8</v>
      </c>
      <c r="R420">
        <v>22</v>
      </c>
      <c r="S420">
        <v>15</v>
      </c>
      <c r="T420" t="str">
        <f>TEXT(Table1[[#This Row],[Month]],"MMMM")</f>
        <v>January</v>
      </c>
    </row>
    <row r="421" spans="1:20" x14ac:dyDescent="0.25">
      <c r="A421" t="s">
        <v>1425</v>
      </c>
      <c r="B421" t="s">
        <v>2893</v>
      </c>
      <c r="C421" t="s">
        <v>1426</v>
      </c>
      <c r="D421" t="s">
        <v>3238</v>
      </c>
      <c r="E421" s="1">
        <v>44155.78125</v>
      </c>
      <c r="F421" s="1" t="str">
        <f t="shared" si="6"/>
        <v>Friday</v>
      </c>
      <c r="G421" t="s">
        <v>1427</v>
      </c>
      <c r="H421" t="s">
        <v>3799</v>
      </c>
      <c r="I421" t="s">
        <v>32</v>
      </c>
      <c r="J421" t="s">
        <v>4106</v>
      </c>
      <c r="K421" t="s">
        <v>1428</v>
      </c>
      <c r="L421">
        <v>28</v>
      </c>
      <c r="M421">
        <v>55</v>
      </c>
      <c r="N421" t="s">
        <v>1429</v>
      </c>
      <c r="O421" t="s">
        <v>3408</v>
      </c>
      <c r="P421">
        <v>2020</v>
      </c>
      <c r="Q421">
        <v>11</v>
      </c>
      <c r="R421">
        <v>20</v>
      </c>
      <c r="S421">
        <v>18</v>
      </c>
      <c r="T421" t="str">
        <f>TEXT(Table1[[#This Row],[Month]],"MMMM")</f>
        <v>January</v>
      </c>
    </row>
    <row r="422" spans="1:20" x14ac:dyDescent="0.25">
      <c r="A422" t="s">
        <v>1430</v>
      </c>
      <c r="B422" t="s">
        <v>2894</v>
      </c>
      <c r="C422" t="s">
        <v>1431</v>
      </c>
      <c r="D422" t="s">
        <v>3329</v>
      </c>
      <c r="E422" s="1">
        <v>43682.875</v>
      </c>
      <c r="F422" s="1" t="str">
        <f t="shared" si="6"/>
        <v>Monday</v>
      </c>
      <c r="G422" t="s">
        <v>1432</v>
      </c>
      <c r="H422" t="s">
        <v>3800</v>
      </c>
      <c r="I422" t="s">
        <v>27</v>
      </c>
      <c r="J422" t="s">
        <v>4105</v>
      </c>
      <c r="K422" t="s">
        <v>1433</v>
      </c>
      <c r="L422">
        <v>15</v>
      </c>
      <c r="M422">
        <v>30</v>
      </c>
      <c r="N422" t="s">
        <v>1272</v>
      </c>
      <c r="O422" t="s">
        <v>60</v>
      </c>
      <c r="P422">
        <v>2019</v>
      </c>
      <c r="Q422">
        <v>8</v>
      </c>
      <c r="R422">
        <v>5</v>
      </c>
      <c r="S422">
        <v>21</v>
      </c>
      <c r="T422" t="str">
        <f>TEXT(Table1[[#This Row],[Month]],"MMMM")</f>
        <v>January</v>
      </c>
    </row>
    <row r="423" spans="1:20" x14ac:dyDescent="0.25">
      <c r="A423" t="s">
        <v>1434</v>
      </c>
      <c r="B423" t="s">
        <v>2895</v>
      </c>
      <c r="C423" t="s">
        <v>1435</v>
      </c>
      <c r="D423" t="s">
        <v>3250</v>
      </c>
      <c r="E423" s="1">
        <v>44239.697916666664</v>
      </c>
      <c r="F423" s="1" t="str">
        <f t="shared" si="6"/>
        <v>Friday</v>
      </c>
      <c r="G423" t="s">
        <v>1436</v>
      </c>
      <c r="H423" t="s">
        <v>3801</v>
      </c>
      <c r="I423" t="s">
        <v>17</v>
      </c>
      <c r="J423" t="s">
        <v>4104</v>
      </c>
      <c r="K423" t="s">
        <v>1437</v>
      </c>
      <c r="L423">
        <v>18</v>
      </c>
      <c r="M423">
        <v>35</v>
      </c>
      <c r="N423" t="s">
        <v>594</v>
      </c>
      <c r="O423" t="s">
        <v>3401</v>
      </c>
      <c r="P423">
        <v>2021</v>
      </c>
      <c r="Q423">
        <v>2</v>
      </c>
      <c r="R423">
        <v>12</v>
      </c>
      <c r="S423">
        <v>16</v>
      </c>
      <c r="T423" t="str">
        <f>TEXT(Table1[[#This Row],[Month]],"MMMM")</f>
        <v>January</v>
      </c>
    </row>
    <row r="424" spans="1:20" x14ac:dyDescent="0.25">
      <c r="A424" t="s">
        <v>1438</v>
      </c>
      <c r="B424" t="s">
        <v>2896</v>
      </c>
      <c r="C424" t="s">
        <v>1439</v>
      </c>
      <c r="D424" t="s">
        <v>3249</v>
      </c>
      <c r="E424" s="1">
        <v>44163.597222222219</v>
      </c>
      <c r="F424" s="1" t="str">
        <f t="shared" si="6"/>
        <v>Saturday</v>
      </c>
      <c r="G424" t="s">
        <v>1440</v>
      </c>
      <c r="H424" t="s">
        <v>3802</v>
      </c>
      <c r="I424" t="s">
        <v>32</v>
      </c>
      <c r="J424" t="s">
        <v>4106</v>
      </c>
      <c r="K424" t="s">
        <v>1441</v>
      </c>
      <c r="L424">
        <v>22</v>
      </c>
      <c r="M424">
        <v>45</v>
      </c>
      <c r="N424" t="s">
        <v>1404</v>
      </c>
      <c r="O424" t="s">
        <v>3432</v>
      </c>
      <c r="P424">
        <v>2020</v>
      </c>
      <c r="Q424">
        <v>11</v>
      </c>
      <c r="R424">
        <v>28</v>
      </c>
      <c r="S424">
        <v>14</v>
      </c>
      <c r="T424" t="str">
        <f>TEXT(Table1[[#This Row],[Month]],"MMMM")</f>
        <v>January</v>
      </c>
    </row>
    <row r="425" spans="1:20" x14ac:dyDescent="0.25">
      <c r="A425" t="s">
        <v>1442</v>
      </c>
      <c r="B425" t="s">
        <v>2897</v>
      </c>
      <c r="C425" t="s">
        <v>1443</v>
      </c>
      <c r="D425" t="s">
        <v>3248</v>
      </c>
      <c r="E425" s="1">
        <v>42505.9375</v>
      </c>
      <c r="F425" s="1" t="str">
        <f t="shared" si="6"/>
        <v>Sunday</v>
      </c>
      <c r="G425" t="s">
        <v>1444</v>
      </c>
      <c r="H425" t="s">
        <v>3803</v>
      </c>
      <c r="I425" t="s">
        <v>27</v>
      </c>
      <c r="J425" t="s">
        <v>4105</v>
      </c>
      <c r="K425" t="s">
        <v>1445</v>
      </c>
      <c r="L425">
        <v>28</v>
      </c>
      <c r="M425">
        <v>55</v>
      </c>
      <c r="N425" t="s">
        <v>1446</v>
      </c>
      <c r="O425" t="s">
        <v>3402</v>
      </c>
      <c r="P425">
        <v>2016</v>
      </c>
      <c r="Q425">
        <v>5</v>
      </c>
      <c r="R425">
        <v>15</v>
      </c>
      <c r="S425">
        <v>22</v>
      </c>
      <c r="T425" t="str">
        <f>TEXT(Table1[[#This Row],[Month]],"MMMM")</f>
        <v>January</v>
      </c>
    </row>
    <row r="426" spans="1:20" x14ac:dyDescent="0.25">
      <c r="A426" t="s">
        <v>1447</v>
      </c>
      <c r="B426" t="s">
        <v>2898</v>
      </c>
      <c r="C426" t="s">
        <v>1448</v>
      </c>
      <c r="D426" t="s">
        <v>3330</v>
      </c>
      <c r="E426" s="1">
        <v>43353.552083333336</v>
      </c>
      <c r="F426" s="1" t="str">
        <f t="shared" si="6"/>
        <v>Monday</v>
      </c>
      <c r="G426" t="s">
        <v>1449</v>
      </c>
      <c r="H426" t="s">
        <v>3612</v>
      </c>
      <c r="I426" t="s">
        <v>17</v>
      </c>
      <c r="J426" t="s">
        <v>4104</v>
      </c>
      <c r="K426" t="s">
        <v>1450</v>
      </c>
      <c r="L426">
        <v>22</v>
      </c>
      <c r="M426">
        <v>45</v>
      </c>
      <c r="N426" t="s">
        <v>1282</v>
      </c>
      <c r="O426" t="s">
        <v>3408</v>
      </c>
      <c r="P426">
        <v>2018</v>
      </c>
      <c r="Q426">
        <v>9</v>
      </c>
      <c r="R426">
        <v>10</v>
      </c>
      <c r="S426">
        <v>13</v>
      </c>
      <c r="T426" t="str">
        <f>TEXT(Table1[[#This Row],[Month]],"MMMM")</f>
        <v>January</v>
      </c>
    </row>
    <row r="427" spans="1:20" x14ac:dyDescent="0.25">
      <c r="A427" t="s">
        <v>1451</v>
      </c>
      <c r="B427" t="s">
        <v>2899</v>
      </c>
      <c r="C427" t="s">
        <v>1452</v>
      </c>
      <c r="D427" t="s">
        <v>3331</v>
      </c>
      <c r="E427" s="1">
        <v>44640.8125</v>
      </c>
      <c r="F427" s="1" t="str">
        <f t="shared" si="6"/>
        <v>Sunday</v>
      </c>
      <c r="G427" t="s">
        <v>1453</v>
      </c>
      <c r="H427" t="s">
        <v>3804</v>
      </c>
      <c r="I427" t="s">
        <v>32</v>
      </c>
      <c r="J427" t="s">
        <v>4106</v>
      </c>
      <c r="K427" t="s">
        <v>1454</v>
      </c>
      <c r="L427">
        <v>25</v>
      </c>
      <c r="M427">
        <v>50</v>
      </c>
      <c r="N427" t="s">
        <v>1424</v>
      </c>
      <c r="O427" t="s">
        <v>3405</v>
      </c>
      <c r="P427">
        <v>2022</v>
      </c>
      <c r="Q427">
        <v>3</v>
      </c>
      <c r="R427">
        <v>20</v>
      </c>
      <c r="S427">
        <v>19</v>
      </c>
      <c r="T427" t="str">
        <f>TEXT(Table1[[#This Row],[Month]],"MMMM")</f>
        <v>January</v>
      </c>
    </row>
    <row r="428" spans="1:20" x14ac:dyDescent="0.25">
      <c r="A428" t="s">
        <v>1455</v>
      </c>
      <c r="B428" t="s">
        <v>2900</v>
      </c>
      <c r="C428" t="s">
        <v>1456</v>
      </c>
      <c r="D428" t="s">
        <v>3332</v>
      </c>
      <c r="E428" s="1">
        <v>42934.739583333336</v>
      </c>
      <c r="F428" s="1" t="str">
        <f t="shared" si="6"/>
        <v>Tuesday</v>
      </c>
      <c r="G428" t="s">
        <v>1457</v>
      </c>
      <c r="H428" t="s">
        <v>3805</v>
      </c>
      <c r="I428" t="s">
        <v>27</v>
      </c>
      <c r="J428" t="s">
        <v>4105</v>
      </c>
      <c r="K428" t="s">
        <v>1458</v>
      </c>
      <c r="L428">
        <v>30</v>
      </c>
      <c r="M428">
        <v>60</v>
      </c>
      <c r="N428" t="s">
        <v>1409</v>
      </c>
      <c r="O428" t="s">
        <v>3403</v>
      </c>
      <c r="P428">
        <v>2017</v>
      </c>
      <c r="Q428">
        <v>7</v>
      </c>
      <c r="R428">
        <v>18</v>
      </c>
      <c r="S428">
        <v>17</v>
      </c>
      <c r="T428" t="str">
        <f>TEXT(Table1[[#This Row],[Month]],"MMMM")</f>
        <v>January</v>
      </c>
    </row>
    <row r="429" spans="1:20" x14ac:dyDescent="0.25">
      <c r="A429" t="s">
        <v>1459</v>
      </c>
      <c r="B429" t="s">
        <v>2901</v>
      </c>
      <c r="C429" t="s">
        <v>1460</v>
      </c>
      <c r="D429" t="s">
        <v>3259</v>
      </c>
      <c r="E429" s="1">
        <v>43449.416666666664</v>
      </c>
      <c r="F429" s="1" t="str">
        <f t="shared" si="6"/>
        <v>Saturday</v>
      </c>
      <c r="G429" t="s">
        <v>1461</v>
      </c>
      <c r="H429" t="s">
        <v>3806</v>
      </c>
      <c r="I429" t="s">
        <v>17</v>
      </c>
      <c r="J429" t="s">
        <v>4104</v>
      </c>
      <c r="K429" t="s">
        <v>1462</v>
      </c>
      <c r="L429">
        <v>18</v>
      </c>
      <c r="M429">
        <v>35</v>
      </c>
      <c r="N429" t="s">
        <v>1463</v>
      </c>
      <c r="O429" t="s">
        <v>3404</v>
      </c>
      <c r="P429">
        <v>2018</v>
      </c>
      <c r="Q429">
        <v>12</v>
      </c>
      <c r="R429">
        <v>15</v>
      </c>
      <c r="S429">
        <v>10</v>
      </c>
      <c r="T429" t="str">
        <f>TEXT(Table1[[#This Row],[Month]],"MMMM")</f>
        <v>January</v>
      </c>
    </row>
    <row r="430" spans="1:20" x14ac:dyDescent="0.25">
      <c r="A430" t="s">
        <v>1464</v>
      </c>
      <c r="B430" t="s">
        <v>2902</v>
      </c>
      <c r="C430" t="s">
        <v>1439</v>
      </c>
      <c r="D430" t="s">
        <v>3249</v>
      </c>
      <c r="E430" s="1">
        <v>42183.885416666664</v>
      </c>
      <c r="F430" s="1" t="str">
        <f t="shared" si="6"/>
        <v>Sunday</v>
      </c>
      <c r="G430" t="s">
        <v>1465</v>
      </c>
      <c r="H430" t="s">
        <v>3807</v>
      </c>
      <c r="I430" t="s">
        <v>32</v>
      </c>
      <c r="J430" t="s">
        <v>4106</v>
      </c>
      <c r="K430" t="s">
        <v>1466</v>
      </c>
      <c r="L430">
        <v>28</v>
      </c>
      <c r="M430">
        <v>55</v>
      </c>
      <c r="N430" t="s">
        <v>1467</v>
      </c>
      <c r="O430" t="s">
        <v>3410</v>
      </c>
      <c r="P430">
        <v>2015</v>
      </c>
      <c r="Q430">
        <v>6</v>
      </c>
      <c r="R430">
        <v>28</v>
      </c>
      <c r="S430">
        <v>21</v>
      </c>
      <c r="T430" t="str">
        <f>TEXT(Table1[[#This Row],[Month]],"MMMM")</f>
        <v>January</v>
      </c>
    </row>
    <row r="431" spans="1:20" x14ac:dyDescent="0.25">
      <c r="A431" t="s">
        <v>1468</v>
      </c>
      <c r="B431" t="s">
        <v>2903</v>
      </c>
      <c r="C431" t="s">
        <v>1469</v>
      </c>
      <c r="D431" t="s">
        <v>3333</v>
      </c>
      <c r="E431" s="1">
        <v>43923.597222222219</v>
      </c>
      <c r="F431" s="1" t="str">
        <f t="shared" si="6"/>
        <v>Thursday</v>
      </c>
      <c r="G431" t="s">
        <v>1470</v>
      </c>
      <c r="H431" t="s">
        <v>3808</v>
      </c>
      <c r="I431" t="s">
        <v>27</v>
      </c>
      <c r="J431" t="s">
        <v>4105</v>
      </c>
      <c r="K431" t="s">
        <v>1471</v>
      </c>
      <c r="L431">
        <v>35</v>
      </c>
      <c r="M431">
        <v>70</v>
      </c>
      <c r="N431" t="s">
        <v>1472</v>
      </c>
      <c r="O431" t="s">
        <v>3406</v>
      </c>
      <c r="P431">
        <v>2020</v>
      </c>
      <c r="Q431">
        <v>4</v>
      </c>
      <c r="R431">
        <v>2</v>
      </c>
      <c r="S431">
        <v>14</v>
      </c>
      <c r="T431" t="str">
        <f>TEXT(Table1[[#This Row],[Month]],"MMMM")</f>
        <v>January</v>
      </c>
    </row>
    <row r="432" spans="1:20" x14ac:dyDescent="0.25">
      <c r="A432" t="s">
        <v>1473</v>
      </c>
      <c r="B432" t="s">
        <v>2904</v>
      </c>
      <c r="C432" t="s">
        <v>1474</v>
      </c>
      <c r="D432" t="s">
        <v>3334</v>
      </c>
      <c r="E432" s="1">
        <v>43746.770833333336</v>
      </c>
      <c r="F432" s="1" t="str">
        <f t="shared" si="6"/>
        <v>Tuesday</v>
      </c>
      <c r="G432" t="s">
        <v>1475</v>
      </c>
      <c r="H432" t="s">
        <v>3809</v>
      </c>
      <c r="I432" t="s">
        <v>17</v>
      </c>
      <c r="J432" t="s">
        <v>4104</v>
      </c>
      <c r="K432" t="s">
        <v>1476</v>
      </c>
      <c r="L432">
        <v>20</v>
      </c>
      <c r="M432">
        <v>40</v>
      </c>
      <c r="N432" t="s">
        <v>1477</v>
      </c>
      <c r="O432" t="s">
        <v>3413</v>
      </c>
      <c r="P432">
        <v>2019</v>
      </c>
      <c r="Q432">
        <v>10</v>
      </c>
      <c r="R432">
        <v>8</v>
      </c>
      <c r="S432">
        <v>18</v>
      </c>
      <c r="T432" t="str">
        <f>TEXT(Table1[[#This Row],[Month]],"MMMM")</f>
        <v>January</v>
      </c>
    </row>
    <row r="433" spans="1:20" x14ac:dyDescent="0.25">
      <c r="A433" t="s">
        <v>1478</v>
      </c>
      <c r="B433" t="s">
        <v>2905</v>
      </c>
      <c r="C433" t="s">
        <v>1479</v>
      </c>
      <c r="D433" t="s">
        <v>3335</v>
      </c>
      <c r="E433" s="1">
        <v>42696.40625</v>
      </c>
      <c r="F433" s="1" t="str">
        <f t="shared" si="6"/>
        <v>Tuesday</v>
      </c>
      <c r="G433" t="s">
        <v>1480</v>
      </c>
      <c r="H433" t="s">
        <v>3810</v>
      </c>
      <c r="I433" t="s">
        <v>32</v>
      </c>
      <c r="J433" t="s">
        <v>4106</v>
      </c>
      <c r="K433" t="s">
        <v>1481</v>
      </c>
      <c r="L433">
        <v>22</v>
      </c>
      <c r="M433">
        <v>45</v>
      </c>
      <c r="N433" t="s">
        <v>1482</v>
      </c>
      <c r="O433" t="s">
        <v>3411</v>
      </c>
      <c r="P433">
        <v>2016</v>
      </c>
      <c r="Q433">
        <v>11</v>
      </c>
      <c r="R433">
        <v>22</v>
      </c>
      <c r="S433">
        <v>9</v>
      </c>
      <c r="T433" t="str">
        <f>TEXT(Table1[[#This Row],[Month]],"MMMM")</f>
        <v>January</v>
      </c>
    </row>
    <row r="434" spans="1:20" x14ac:dyDescent="0.25">
      <c r="A434" t="s">
        <v>1483</v>
      </c>
      <c r="B434" t="s">
        <v>2906</v>
      </c>
      <c r="C434" t="s">
        <v>1443</v>
      </c>
      <c r="D434" t="s">
        <v>3248</v>
      </c>
      <c r="E434" s="1">
        <v>44791.916666666664</v>
      </c>
      <c r="F434" s="1" t="str">
        <f t="shared" si="6"/>
        <v>Thursday</v>
      </c>
      <c r="G434" t="s">
        <v>1484</v>
      </c>
      <c r="H434" t="s">
        <v>3811</v>
      </c>
      <c r="I434" t="s">
        <v>27</v>
      </c>
      <c r="J434" t="s">
        <v>4105</v>
      </c>
      <c r="K434" t="s">
        <v>1485</v>
      </c>
      <c r="L434">
        <v>40</v>
      </c>
      <c r="M434">
        <v>80</v>
      </c>
      <c r="N434" t="s">
        <v>1486</v>
      </c>
      <c r="O434" t="s">
        <v>3412</v>
      </c>
      <c r="P434">
        <v>2022</v>
      </c>
      <c r="Q434">
        <v>8</v>
      </c>
      <c r="R434">
        <v>18</v>
      </c>
      <c r="S434">
        <v>22</v>
      </c>
      <c r="T434" t="str">
        <f>TEXT(Table1[[#This Row],[Month]],"MMMM")</f>
        <v>January</v>
      </c>
    </row>
    <row r="435" spans="1:20" x14ac:dyDescent="0.25">
      <c r="A435" t="s">
        <v>1487</v>
      </c>
      <c r="B435" t="s">
        <v>2907</v>
      </c>
      <c r="C435" t="s">
        <v>1488</v>
      </c>
      <c r="D435" t="s">
        <v>3263</v>
      </c>
      <c r="E435" s="1">
        <v>42806.979166666664</v>
      </c>
      <c r="F435" s="1" t="str">
        <f t="shared" si="6"/>
        <v>Sunday</v>
      </c>
      <c r="G435" t="s">
        <v>1489</v>
      </c>
      <c r="H435" t="s">
        <v>3812</v>
      </c>
      <c r="I435" t="s">
        <v>875</v>
      </c>
      <c r="J435" t="s">
        <v>4104</v>
      </c>
      <c r="K435" t="s">
        <v>1490</v>
      </c>
      <c r="L435">
        <v>18</v>
      </c>
      <c r="M435">
        <v>35</v>
      </c>
      <c r="N435" t="s">
        <v>191</v>
      </c>
      <c r="O435" t="s">
        <v>3432</v>
      </c>
      <c r="P435">
        <v>2017</v>
      </c>
      <c r="Q435">
        <v>3</v>
      </c>
      <c r="R435">
        <v>12</v>
      </c>
      <c r="S435">
        <v>23</v>
      </c>
      <c r="T435" t="str">
        <f>TEXT(Table1[[#This Row],[Month]],"MMMM")</f>
        <v>January</v>
      </c>
    </row>
    <row r="436" spans="1:20" x14ac:dyDescent="0.25">
      <c r="A436" t="s">
        <v>1491</v>
      </c>
      <c r="B436" t="s">
        <v>2908</v>
      </c>
      <c r="C436" t="s">
        <v>985</v>
      </c>
      <c r="D436" t="s">
        <v>3277</v>
      </c>
      <c r="E436" s="1">
        <v>42353.677083333336</v>
      </c>
      <c r="F436" s="1" t="str">
        <f t="shared" si="6"/>
        <v>Tuesday</v>
      </c>
      <c r="G436" t="s">
        <v>1492</v>
      </c>
      <c r="H436" t="s">
        <v>3813</v>
      </c>
      <c r="I436" t="s">
        <v>32</v>
      </c>
      <c r="J436" t="s">
        <v>4106</v>
      </c>
      <c r="K436" t="s">
        <v>1493</v>
      </c>
      <c r="L436">
        <v>25</v>
      </c>
      <c r="M436">
        <v>50</v>
      </c>
      <c r="N436" t="s">
        <v>250</v>
      </c>
      <c r="O436" t="s">
        <v>3402</v>
      </c>
      <c r="P436">
        <v>2015</v>
      </c>
      <c r="Q436">
        <v>12</v>
      </c>
      <c r="R436">
        <v>15</v>
      </c>
      <c r="S436">
        <v>16</v>
      </c>
      <c r="T436" t="str">
        <f>TEXT(Table1[[#This Row],[Month]],"MMMM")</f>
        <v>January</v>
      </c>
    </row>
    <row r="437" spans="1:20" x14ac:dyDescent="0.25">
      <c r="A437" t="s">
        <v>1494</v>
      </c>
      <c r="B437" t="s">
        <v>2909</v>
      </c>
      <c r="C437" t="s">
        <v>1495</v>
      </c>
      <c r="D437" t="s">
        <v>3336</v>
      </c>
      <c r="E437" s="1">
        <v>44444.5625</v>
      </c>
      <c r="F437" s="1" t="str">
        <f t="shared" si="6"/>
        <v>Sunday</v>
      </c>
      <c r="G437" t="s">
        <v>1496</v>
      </c>
      <c r="H437" t="s">
        <v>3814</v>
      </c>
      <c r="I437" t="s">
        <v>27</v>
      </c>
      <c r="J437" t="s">
        <v>4105</v>
      </c>
      <c r="K437" t="s">
        <v>1497</v>
      </c>
      <c r="L437">
        <v>35</v>
      </c>
      <c r="M437">
        <v>70</v>
      </c>
      <c r="N437" t="s">
        <v>200</v>
      </c>
      <c r="O437" t="s">
        <v>3401</v>
      </c>
      <c r="P437">
        <v>2021</v>
      </c>
      <c r="Q437">
        <v>9</v>
      </c>
      <c r="R437">
        <v>5</v>
      </c>
      <c r="S437">
        <v>13</v>
      </c>
      <c r="T437" t="str">
        <f>TEXT(Table1[[#This Row],[Month]],"MMMM")</f>
        <v>January</v>
      </c>
    </row>
    <row r="438" spans="1:20" x14ac:dyDescent="0.25">
      <c r="A438" t="s">
        <v>1498</v>
      </c>
      <c r="B438" t="s">
        <v>2910</v>
      </c>
      <c r="C438" t="s">
        <v>1499</v>
      </c>
      <c r="D438" t="s">
        <v>3337</v>
      </c>
      <c r="E438" s="1">
        <v>43242.864583333336</v>
      </c>
      <c r="F438" s="1" t="str">
        <f t="shared" si="6"/>
        <v>Tuesday</v>
      </c>
      <c r="G438" t="s">
        <v>1500</v>
      </c>
      <c r="H438" t="s">
        <v>3815</v>
      </c>
      <c r="I438" t="s">
        <v>17</v>
      </c>
      <c r="J438" t="s">
        <v>4104</v>
      </c>
      <c r="K438" t="s">
        <v>1501</v>
      </c>
      <c r="L438">
        <v>18</v>
      </c>
      <c r="M438">
        <v>35</v>
      </c>
      <c r="N438" t="s">
        <v>1502</v>
      </c>
      <c r="O438" t="s">
        <v>3408</v>
      </c>
      <c r="P438">
        <v>2018</v>
      </c>
      <c r="Q438">
        <v>5</v>
      </c>
      <c r="R438">
        <v>22</v>
      </c>
      <c r="S438">
        <v>20</v>
      </c>
      <c r="T438" t="str">
        <f>TEXT(Table1[[#This Row],[Month]],"MMMM")</f>
        <v>January</v>
      </c>
    </row>
    <row r="439" spans="1:20" x14ac:dyDescent="0.25">
      <c r="A439" t="s">
        <v>1503</v>
      </c>
      <c r="B439" t="s">
        <v>2911</v>
      </c>
      <c r="C439" t="s">
        <v>1504</v>
      </c>
      <c r="D439" t="s">
        <v>3338</v>
      </c>
      <c r="E439" s="1">
        <v>42561.763888888891</v>
      </c>
      <c r="F439" s="1" t="str">
        <f t="shared" si="6"/>
        <v>Sunday</v>
      </c>
      <c r="G439" t="s">
        <v>1505</v>
      </c>
      <c r="H439" t="s">
        <v>3816</v>
      </c>
      <c r="I439" t="s">
        <v>32</v>
      </c>
      <c r="J439" t="s">
        <v>4106</v>
      </c>
      <c r="K439" t="s">
        <v>1506</v>
      </c>
      <c r="L439">
        <v>28</v>
      </c>
      <c r="M439">
        <v>55</v>
      </c>
      <c r="N439" t="s">
        <v>1507</v>
      </c>
      <c r="O439" t="s">
        <v>60</v>
      </c>
      <c r="P439">
        <v>2016</v>
      </c>
      <c r="Q439">
        <v>7</v>
      </c>
      <c r="R439">
        <v>10</v>
      </c>
      <c r="S439">
        <v>18</v>
      </c>
      <c r="T439" t="str">
        <f>TEXT(Table1[[#This Row],[Month]],"MMMM")</f>
        <v>January</v>
      </c>
    </row>
    <row r="440" spans="1:20" x14ac:dyDescent="0.25">
      <c r="A440" t="s">
        <v>1508</v>
      </c>
      <c r="B440" t="s">
        <v>2912</v>
      </c>
      <c r="C440" t="s">
        <v>1509</v>
      </c>
      <c r="D440" t="s">
        <v>3339</v>
      </c>
      <c r="E440" s="1">
        <v>43585.583333333336</v>
      </c>
      <c r="F440" s="1" t="str">
        <f t="shared" si="6"/>
        <v>Tuesday</v>
      </c>
      <c r="G440" t="s">
        <v>1510</v>
      </c>
      <c r="H440" t="s">
        <v>3817</v>
      </c>
      <c r="I440" t="s">
        <v>27</v>
      </c>
      <c r="J440" t="s">
        <v>4105</v>
      </c>
      <c r="K440" t="s">
        <v>1511</v>
      </c>
      <c r="L440">
        <v>22</v>
      </c>
      <c r="M440">
        <v>45</v>
      </c>
      <c r="N440" t="s">
        <v>1512</v>
      </c>
      <c r="O440" t="s">
        <v>3404</v>
      </c>
      <c r="P440">
        <v>2019</v>
      </c>
      <c r="Q440">
        <v>4</v>
      </c>
      <c r="R440">
        <v>30</v>
      </c>
      <c r="S440">
        <v>14</v>
      </c>
      <c r="T440" t="str">
        <f>TEXT(Table1[[#This Row],[Month]],"MMMM")</f>
        <v>January</v>
      </c>
    </row>
    <row r="441" spans="1:20" x14ac:dyDescent="0.25">
      <c r="A441" t="s">
        <v>1513</v>
      </c>
      <c r="B441" t="s">
        <v>2913</v>
      </c>
      <c r="C441" t="s">
        <v>1514</v>
      </c>
      <c r="D441" t="s">
        <v>3340</v>
      </c>
      <c r="E441" s="1">
        <v>44569.479166666664</v>
      </c>
      <c r="F441" s="1" t="str">
        <f t="shared" si="6"/>
        <v>Saturday</v>
      </c>
      <c r="G441" t="s">
        <v>1515</v>
      </c>
      <c r="H441" t="s">
        <v>3818</v>
      </c>
      <c r="I441" t="s">
        <v>17</v>
      </c>
      <c r="J441" t="s">
        <v>4104</v>
      </c>
      <c r="K441" t="s">
        <v>1516</v>
      </c>
      <c r="L441">
        <v>20</v>
      </c>
      <c r="M441">
        <v>40</v>
      </c>
      <c r="N441" t="s">
        <v>1517</v>
      </c>
      <c r="O441" t="s">
        <v>3405</v>
      </c>
      <c r="P441">
        <v>2022</v>
      </c>
      <c r="Q441">
        <v>1</v>
      </c>
      <c r="R441">
        <v>8</v>
      </c>
      <c r="S441">
        <v>11</v>
      </c>
      <c r="T441" t="str">
        <f>TEXT(Table1[[#This Row],[Month]],"MMMM")</f>
        <v>January</v>
      </c>
    </row>
    <row r="442" spans="1:20" x14ac:dyDescent="0.25">
      <c r="A442" t="s">
        <v>1518</v>
      </c>
      <c r="B442" t="s">
        <v>2914</v>
      </c>
      <c r="C442" t="s">
        <v>1519</v>
      </c>
      <c r="D442" t="s">
        <v>3341</v>
      </c>
      <c r="E442" s="1">
        <v>42988.802083333336</v>
      </c>
      <c r="F442" s="1" t="str">
        <f t="shared" si="6"/>
        <v>Sunday</v>
      </c>
      <c r="G442" t="s">
        <v>1520</v>
      </c>
      <c r="H442" t="s">
        <v>3819</v>
      </c>
      <c r="I442" t="s">
        <v>875</v>
      </c>
      <c r="J442" t="s">
        <v>4104</v>
      </c>
      <c r="K442" t="s">
        <v>1521</v>
      </c>
      <c r="L442">
        <v>20</v>
      </c>
      <c r="M442">
        <v>40</v>
      </c>
      <c r="N442" t="s">
        <v>39</v>
      </c>
      <c r="O442" t="s">
        <v>3402</v>
      </c>
      <c r="P442">
        <v>2017</v>
      </c>
      <c r="Q442">
        <v>9</v>
      </c>
      <c r="R442">
        <v>10</v>
      </c>
      <c r="S442">
        <v>19</v>
      </c>
      <c r="T442" t="str">
        <f>TEXT(Table1[[#This Row],[Month]],"MMMM")</f>
        <v>January</v>
      </c>
    </row>
    <row r="443" spans="1:20" x14ac:dyDescent="0.25">
      <c r="A443" t="s">
        <v>1522</v>
      </c>
      <c r="B443" t="s">
        <v>2915</v>
      </c>
      <c r="C443" t="s">
        <v>1523</v>
      </c>
      <c r="D443" t="s">
        <v>3259</v>
      </c>
      <c r="E443" s="1">
        <v>44669.479166666664</v>
      </c>
      <c r="F443" s="1" t="str">
        <f t="shared" si="6"/>
        <v>Monday</v>
      </c>
      <c r="G443" t="s">
        <v>1524</v>
      </c>
      <c r="H443" t="s">
        <v>3820</v>
      </c>
      <c r="I443" t="s">
        <v>27</v>
      </c>
      <c r="J443" t="s">
        <v>4105</v>
      </c>
      <c r="K443" t="s">
        <v>1525</v>
      </c>
      <c r="L443">
        <v>25</v>
      </c>
      <c r="M443">
        <v>50</v>
      </c>
      <c r="N443" t="s">
        <v>124</v>
      </c>
      <c r="O443" t="s">
        <v>3401</v>
      </c>
      <c r="P443">
        <v>2022</v>
      </c>
      <c r="Q443">
        <v>4</v>
      </c>
      <c r="R443">
        <v>18</v>
      </c>
      <c r="S443">
        <v>11</v>
      </c>
      <c r="T443" t="str">
        <f>TEXT(Table1[[#This Row],[Month]],"MMMM")</f>
        <v>January</v>
      </c>
    </row>
    <row r="444" spans="1:20" x14ac:dyDescent="0.25">
      <c r="A444" t="s">
        <v>1526</v>
      </c>
      <c r="B444" t="s">
        <v>2916</v>
      </c>
      <c r="C444" t="s">
        <v>1527</v>
      </c>
      <c r="D444" t="s">
        <v>3249</v>
      </c>
      <c r="E444" s="1">
        <v>43439.90625</v>
      </c>
      <c r="F444" s="1" t="str">
        <f t="shared" si="6"/>
        <v>Wednesday</v>
      </c>
      <c r="G444" t="s">
        <v>1528</v>
      </c>
      <c r="H444" t="s">
        <v>3821</v>
      </c>
      <c r="I444" t="s">
        <v>32</v>
      </c>
      <c r="J444" t="s">
        <v>4106</v>
      </c>
      <c r="K444" t="s">
        <v>1529</v>
      </c>
      <c r="L444">
        <v>18</v>
      </c>
      <c r="M444">
        <v>35</v>
      </c>
      <c r="N444" t="s">
        <v>99</v>
      </c>
      <c r="O444" t="s">
        <v>60</v>
      </c>
      <c r="P444">
        <v>2018</v>
      </c>
      <c r="Q444">
        <v>12</v>
      </c>
      <c r="R444">
        <v>5</v>
      </c>
      <c r="S444">
        <v>21</v>
      </c>
      <c r="T444" t="str">
        <f>TEXT(Table1[[#This Row],[Month]],"MMMM")</f>
        <v>January</v>
      </c>
    </row>
    <row r="445" spans="1:20" x14ac:dyDescent="0.25">
      <c r="A445" t="s">
        <v>1530</v>
      </c>
      <c r="B445" t="s">
        <v>2917</v>
      </c>
      <c r="C445" t="s">
        <v>650</v>
      </c>
      <c r="D445" t="s">
        <v>3250</v>
      </c>
      <c r="E445" s="1">
        <v>42549.597222222219</v>
      </c>
      <c r="F445" s="1" t="str">
        <f t="shared" si="6"/>
        <v>Tuesday</v>
      </c>
      <c r="G445" t="s">
        <v>1531</v>
      </c>
      <c r="H445" t="s">
        <v>3822</v>
      </c>
      <c r="I445" t="s">
        <v>875</v>
      </c>
      <c r="J445" t="s">
        <v>4104</v>
      </c>
      <c r="K445" t="s">
        <v>1532</v>
      </c>
      <c r="L445">
        <v>22</v>
      </c>
      <c r="M445">
        <v>45</v>
      </c>
      <c r="N445" t="s">
        <v>110</v>
      </c>
      <c r="O445" t="s">
        <v>3432</v>
      </c>
      <c r="P445">
        <v>2016</v>
      </c>
      <c r="Q445">
        <v>6</v>
      </c>
      <c r="R445">
        <v>28</v>
      </c>
      <c r="S445">
        <v>14</v>
      </c>
      <c r="T445" t="str">
        <f>TEXT(Table1[[#This Row],[Month]],"MMMM")</f>
        <v>January</v>
      </c>
    </row>
    <row r="446" spans="1:20" x14ac:dyDescent="0.25">
      <c r="A446" t="s">
        <v>1533</v>
      </c>
      <c r="B446" t="s">
        <v>2918</v>
      </c>
      <c r="C446" t="s">
        <v>985</v>
      </c>
      <c r="D446" t="s">
        <v>3277</v>
      </c>
      <c r="E446" s="1">
        <v>43760.708333333336</v>
      </c>
      <c r="F446" s="1" t="str">
        <f t="shared" si="6"/>
        <v>Tuesday</v>
      </c>
      <c r="G446" t="s">
        <v>1534</v>
      </c>
      <c r="H446" t="s">
        <v>3823</v>
      </c>
      <c r="I446" t="s">
        <v>27</v>
      </c>
      <c r="J446" t="s">
        <v>4105</v>
      </c>
      <c r="K446" t="s">
        <v>1535</v>
      </c>
      <c r="L446">
        <v>15</v>
      </c>
      <c r="M446">
        <v>30</v>
      </c>
      <c r="N446" t="s">
        <v>1536</v>
      </c>
      <c r="O446" t="s">
        <v>3408</v>
      </c>
      <c r="P446">
        <v>2019</v>
      </c>
      <c r="Q446">
        <v>10</v>
      </c>
      <c r="R446">
        <v>22</v>
      </c>
      <c r="S446">
        <v>17</v>
      </c>
      <c r="T446" t="str">
        <f>TEXT(Table1[[#This Row],[Month]],"MMMM")</f>
        <v>January</v>
      </c>
    </row>
    <row r="447" spans="1:20" x14ac:dyDescent="0.25">
      <c r="A447" t="s">
        <v>1537</v>
      </c>
      <c r="B447" t="s">
        <v>2919</v>
      </c>
      <c r="C447" t="s">
        <v>1519</v>
      </c>
      <c r="D447" t="s">
        <v>3341</v>
      </c>
      <c r="E447" s="1">
        <v>44270.947916666664</v>
      </c>
      <c r="F447" s="1" t="str">
        <f t="shared" si="6"/>
        <v>Monday</v>
      </c>
      <c r="G447" t="s">
        <v>1538</v>
      </c>
      <c r="H447" t="s">
        <v>3824</v>
      </c>
      <c r="I447" t="s">
        <v>32</v>
      </c>
      <c r="J447" t="s">
        <v>4106</v>
      </c>
      <c r="K447" t="s">
        <v>1539</v>
      </c>
      <c r="L447">
        <v>28</v>
      </c>
      <c r="M447">
        <v>55</v>
      </c>
      <c r="N447" t="s">
        <v>1540</v>
      </c>
      <c r="O447" t="s">
        <v>3405</v>
      </c>
      <c r="P447">
        <v>2021</v>
      </c>
      <c r="Q447">
        <v>3</v>
      </c>
      <c r="R447">
        <v>15</v>
      </c>
      <c r="S447">
        <v>22</v>
      </c>
      <c r="T447" t="str">
        <f>TEXT(Table1[[#This Row],[Month]],"MMMM")</f>
        <v>January</v>
      </c>
    </row>
    <row r="448" spans="1:20" x14ac:dyDescent="0.25">
      <c r="A448" t="s">
        <v>1541</v>
      </c>
      <c r="B448" t="s">
        <v>2920</v>
      </c>
      <c r="C448" t="s">
        <v>1542</v>
      </c>
      <c r="D448" t="s">
        <v>3329</v>
      </c>
      <c r="E448" s="1">
        <v>42957.8125</v>
      </c>
      <c r="F448" s="1" t="str">
        <f t="shared" si="6"/>
        <v>Thursday</v>
      </c>
      <c r="G448" t="s">
        <v>1543</v>
      </c>
      <c r="H448" t="s">
        <v>3825</v>
      </c>
      <c r="I448" t="s">
        <v>875</v>
      </c>
      <c r="J448" t="s">
        <v>4104</v>
      </c>
      <c r="K448" t="s">
        <v>1544</v>
      </c>
      <c r="L448">
        <v>22</v>
      </c>
      <c r="M448">
        <v>45</v>
      </c>
      <c r="N448" t="s">
        <v>1545</v>
      </c>
      <c r="O448" t="s">
        <v>3404</v>
      </c>
      <c r="P448">
        <v>2017</v>
      </c>
      <c r="Q448">
        <v>8</v>
      </c>
      <c r="R448">
        <v>10</v>
      </c>
      <c r="S448">
        <v>19</v>
      </c>
      <c r="T448" t="str">
        <f>TEXT(Table1[[#This Row],[Month]],"MMMM")</f>
        <v>January</v>
      </c>
    </row>
    <row r="449" spans="1:20" x14ac:dyDescent="0.25">
      <c r="A449" t="s">
        <v>1546</v>
      </c>
      <c r="B449" t="s">
        <v>2921</v>
      </c>
      <c r="C449" t="s">
        <v>1527</v>
      </c>
      <c r="D449" t="s">
        <v>3249</v>
      </c>
      <c r="E449" s="1">
        <v>44954.604166666664</v>
      </c>
      <c r="F449" s="1" t="str">
        <f t="shared" si="6"/>
        <v>Saturday</v>
      </c>
      <c r="G449" t="s">
        <v>1547</v>
      </c>
      <c r="H449" t="s">
        <v>3826</v>
      </c>
      <c r="I449" t="s">
        <v>27</v>
      </c>
      <c r="J449" t="s">
        <v>4105</v>
      </c>
      <c r="K449" t="s">
        <v>1548</v>
      </c>
      <c r="L449">
        <v>30</v>
      </c>
      <c r="M449">
        <v>60</v>
      </c>
      <c r="N449" t="s">
        <v>165</v>
      </c>
      <c r="O449" t="s">
        <v>3403</v>
      </c>
      <c r="P449">
        <v>2023</v>
      </c>
      <c r="Q449">
        <v>1</v>
      </c>
      <c r="R449">
        <v>28</v>
      </c>
      <c r="S449">
        <v>14</v>
      </c>
      <c r="T449" t="str">
        <f>TEXT(Table1[[#This Row],[Month]],"MMMM")</f>
        <v>January</v>
      </c>
    </row>
    <row r="450" spans="1:20" x14ac:dyDescent="0.25">
      <c r="A450" t="s">
        <v>1549</v>
      </c>
      <c r="B450" t="s">
        <v>2922</v>
      </c>
      <c r="C450" t="s">
        <v>1550</v>
      </c>
      <c r="D450" t="s">
        <v>3330</v>
      </c>
      <c r="E450" s="1">
        <v>42716.416666666664</v>
      </c>
      <c r="F450" s="1" t="str">
        <f t="shared" si="6"/>
        <v>Monday</v>
      </c>
      <c r="G450" t="s">
        <v>1551</v>
      </c>
      <c r="H450" t="s">
        <v>3827</v>
      </c>
      <c r="I450" t="s">
        <v>32</v>
      </c>
      <c r="J450" t="s">
        <v>4106</v>
      </c>
      <c r="K450" t="s">
        <v>1552</v>
      </c>
      <c r="L450">
        <v>25</v>
      </c>
      <c r="M450">
        <v>50</v>
      </c>
      <c r="N450" t="s">
        <v>1553</v>
      </c>
      <c r="O450" t="s">
        <v>3410</v>
      </c>
      <c r="P450">
        <v>2016</v>
      </c>
      <c r="Q450">
        <v>12</v>
      </c>
      <c r="R450">
        <v>12</v>
      </c>
      <c r="S450">
        <v>10</v>
      </c>
      <c r="T450" t="str">
        <f>TEXT(Table1[[#This Row],[Month]],"MMMM")</f>
        <v>January</v>
      </c>
    </row>
    <row r="451" spans="1:20" x14ac:dyDescent="0.25">
      <c r="A451" t="s">
        <v>1554</v>
      </c>
      <c r="B451" t="s">
        <v>2923</v>
      </c>
      <c r="C451" t="s">
        <v>1555</v>
      </c>
      <c r="D451" t="s">
        <v>3325</v>
      </c>
      <c r="E451" s="1">
        <v>44030.635416666664</v>
      </c>
      <c r="F451" s="1" t="str">
        <f t="shared" ref="F451:F514" si="7">TEXT(E451,"DDDD")</f>
        <v>Saturday</v>
      </c>
      <c r="G451" t="s">
        <v>1556</v>
      </c>
      <c r="H451" t="s">
        <v>3828</v>
      </c>
      <c r="I451" t="s">
        <v>875</v>
      </c>
      <c r="J451" t="s">
        <v>4104</v>
      </c>
      <c r="K451" t="s">
        <v>1557</v>
      </c>
      <c r="L451">
        <v>35</v>
      </c>
      <c r="M451">
        <v>70</v>
      </c>
      <c r="N451" t="s">
        <v>1558</v>
      </c>
      <c r="O451" t="s">
        <v>3406</v>
      </c>
      <c r="P451">
        <v>2020</v>
      </c>
      <c r="Q451">
        <v>7</v>
      </c>
      <c r="R451">
        <v>18</v>
      </c>
      <c r="S451">
        <v>15</v>
      </c>
      <c r="T451" t="str">
        <f>TEXT(Table1[[#This Row],[Month]],"MMMM")</f>
        <v>January</v>
      </c>
    </row>
    <row r="452" spans="1:20" x14ac:dyDescent="0.25">
      <c r="A452" t="s">
        <v>1559</v>
      </c>
      <c r="B452" t="s">
        <v>2924</v>
      </c>
      <c r="C452" t="s">
        <v>1469</v>
      </c>
      <c r="D452" t="s">
        <v>3333</v>
      </c>
      <c r="E452" s="1">
        <v>44701.854166666664</v>
      </c>
      <c r="F452" s="1" t="str">
        <f t="shared" si="7"/>
        <v>Friday</v>
      </c>
      <c r="G452" t="s">
        <v>1560</v>
      </c>
      <c r="H452" t="s">
        <v>3829</v>
      </c>
      <c r="I452" t="s">
        <v>27</v>
      </c>
      <c r="J452" t="s">
        <v>4105</v>
      </c>
      <c r="K452" t="s">
        <v>1561</v>
      </c>
      <c r="L452">
        <v>30</v>
      </c>
      <c r="M452">
        <v>60</v>
      </c>
      <c r="N452" t="s">
        <v>1486</v>
      </c>
      <c r="O452" t="s">
        <v>3412</v>
      </c>
      <c r="P452">
        <v>2022</v>
      </c>
      <c r="Q452">
        <v>5</v>
      </c>
      <c r="R452">
        <v>20</v>
      </c>
      <c r="S452">
        <v>20</v>
      </c>
      <c r="T452" t="str">
        <f>TEXT(Table1[[#This Row],[Month]],"MMMM")</f>
        <v>January</v>
      </c>
    </row>
    <row r="453" spans="1:20" x14ac:dyDescent="0.25">
      <c r="A453" t="s">
        <v>1562</v>
      </c>
      <c r="B453" t="s">
        <v>2925</v>
      </c>
      <c r="C453" t="s">
        <v>1523</v>
      </c>
      <c r="D453" t="s">
        <v>3259</v>
      </c>
      <c r="E453" s="1">
        <v>43777.614583333336</v>
      </c>
      <c r="F453" s="1" t="str">
        <f t="shared" si="7"/>
        <v>Friday</v>
      </c>
      <c r="G453" t="s">
        <v>1563</v>
      </c>
      <c r="H453" t="s">
        <v>3830</v>
      </c>
      <c r="I453" t="s">
        <v>875</v>
      </c>
      <c r="J453" t="s">
        <v>4104</v>
      </c>
      <c r="K453" t="s">
        <v>1564</v>
      </c>
      <c r="L453">
        <v>18</v>
      </c>
      <c r="M453">
        <v>35</v>
      </c>
      <c r="N453" t="s">
        <v>1565</v>
      </c>
      <c r="O453" t="s">
        <v>3413</v>
      </c>
      <c r="P453">
        <v>2019</v>
      </c>
      <c r="Q453">
        <v>11</v>
      </c>
      <c r="R453">
        <v>8</v>
      </c>
      <c r="S453">
        <v>14</v>
      </c>
      <c r="T453" t="str">
        <f>TEXT(Table1[[#This Row],[Month]],"MMMM")</f>
        <v>January</v>
      </c>
    </row>
    <row r="454" spans="1:20" x14ac:dyDescent="0.25">
      <c r="A454" t="s">
        <v>1566</v>
      </c>
      <c r="B454" t="s">
        <v>2926</v>
      </c>
      <c r="C454" t="s">
        <v>981</v>
      </c>
      <c r="D454" t="s">
        <v>3248</v>
      </c>
      <c r="E454" s="1">
        <v>42822.916666666664</v>
      </c>
      <c r="F454" s="1" t="str">
        <f t="shared" si="7"/>
        <v>Tuesday</v>
      </c>
      <c r="G454" t="s">
        <v>1567</v>
      </c>
      <c r="H454" t="s">
        <v>3831</v>
      </c>
      <c r="I454" t="s">
        <v>32</v>
      </c>
      <c r="J454" t="s">
        <v>4106</v>
      </c>
      <c r="K454" t="s">
        <v>1568</v>
      </c>
      <c r="L454">
        <v>28</v>
      </c>
      <c r="M454">
        <v>55</v>
      </c>
      <c r="N454" t="s">
        <v>39</v>
      </c>
      <c r="O454" t="s">
        <v>3402</v>
      </c>
      <c r="P454">
        <v>2017</v>
      </c>
      <c r="Q454">
        <v>3</v>
      </c>
      <c r="R454">
        <v>28</v>
      </c>
      <c r="S454">
        <v>22</v>
      </c>
      <c r="T454" t="str">
        <f>TEXT(Table1[[#This Row],[Month]],"MMMM")</f>
        <v>January</v>
      </c>
    </row>
    <row r="455" spans="1:20" x14ac:dyDescent="0.25">
      <c r="A455" t="s">
        <v>1569</v>
      </c>
      <c r="B455" t="s">
        <v>2927</v>
      </c>
      <c r="C455" t="s">
        <v>1570</v>
      </c>
      <c r="D455" t="s">
        <v>3337</v>
      </c>
      <c r="E455" s="1">
        <v>44089.760416666664</v>
      </c>
      <c r="F455" s="1" t="str">
        <f t="shared" si="7"/>
        <v>Tuesday</v>
      </c>
      <c r="G455" t="s">
        <v>1571</v>
      </c>
      <c r="H455" t="s">
        <v>3832</v>
      </c>
      <c r="I455" t="s">
        <v>27</v>
      </c>
      <c r="J455" t="s">
        <v>4105</v>
      </c>
      <c r="K455" t="s">
        <v>1572</v>
      </c>
      <c r="L455">
        <v>22</v>
      </c>
      <c r="M455">
        <v>45</v>
      </c>
      <c r="N455" t="s">
        <v>124</v>
      </c>
      <c r="O455" t="s">
        <v>3401</v>
      </c>
      <c r="P455">
        <v>2020</v>
      </c>
      <c r="Q455">
        <v>9</v>
      </c>
      <c r="R455">
        <v>15</v>
      </c>
      <c r="S455">
        <v>18</v>
      </c>
      <c r="T455" t="str">
        <f>TEXT(Table1[[#This Row],[Month]],"MMMM")</f>
        <v>January</v>
      </c>
    </row>
    <row r="456" spans="1:20" x14ac:dyDescent="0.25">
      <c r="A456" t="s">
        <v>1573</v>
      </c>
      <c r="B456" t="s">
        <v>2928</v>
      </c>
      <c r="C456" t="s">
        <v>1519</v>
      </c>
      <c r="D456" t="s">
        <v>3341</v>
      </c>
      <c r="E456" s="1">
        <v>43261.5625</v>
      </c>
      <c r="F456" s="1" t="str">
        <f t="shared" si="7"/>
        <v>Sunday</v>
      </c>
      <c r="G456" t="s">
        <v>1574</v>
      </c>
      <c r="H456" t="s">
        <v>3833</v>
      </c>
      <c r="I456" t="s">
        <v>875</v>
      </c>
      <c r="J456" t="s">
        <v>4104</v>
      </c>
      <c r="K456" t="s">
        <v>1575</v>
      </c>
      <c r="L456">
        <v>20</v>
      </c>
      <c r="M456">
        <v>40</v>
      </c>
      <c r="N456" t="s">
        <v>110</v>
      </c>
      <c r="O456" t="s">
        <v>3432</v>
      </c>
      <c r="P456">
        <v>2018</v>
      </c>
      <c r="Q456">
        <v>6</v>
      </c>
      <c r="R456">
        <v>10</v>
      </c>
      <c r="S456">
        <v>13</v>
      </c>
      <c r="T456" t="str">
        <f>TEXT(Table1[[#This Row],[Month]],"MMMM")</f>
        <v>January</v>
      </c>
    </row>
    <row r="457" spans="1:20" x14ac:dyDescent="0.25">
      <c r="A457" t="s">
        <v>1576</v>
      </c>
      <c r="B457" t="s">
        <v>2929</v>
      </c>
      <c r="C457" t="s">
        <v>1527</v>
      </c>
      <c r="D457" t="s">
        <v>3249</v>
      </c>
      <c r="E457" s="1">
        <v>42726.90625</v>
      </c>
      <c r="F457" s="1" t="str">
        <f t="shared" si="7"/>
        <v>Thursday</v>
      </c>
      <c r="G457" t="s">
        <v>1577</v>
      </c>
      <c r="H457" t="s">
        <v>3834</v>
      </c>
      <c r="I457" t="s">
        <v>32</v>
      </c>
      <c r="J457" t="s">
        <v>4106</v>
      </c>
      <c r="K457" t="s">
        <v>1578</v>
      </c>
      <c r="L457">
        <v>25</v>
      </c>
      <c r="M457">
        <v>50</v>
      </c>
      <c r="N457" t="s">
        <v>99</v>
      </c>
      <c r="O457" t="s">
        <v>60</v>
      </c>
      <c r="P457">
        <v>2016</v>
      </c>
      <c r="Q457">
        <v>12</v>
      </c>
      <c r="R457">
        <v>22</v>
      </c>
      <c r="S457">
        <v>21</v>
      </c>
      <c r="T457" t="str">
        <f>TEXT(Table1[[#This Row],[Month]],"MMMM")</f>
        <v>January</v>
      </c>
    </row>
    <row r="458" spans="1:20" x14ac:dyDescent="0.25">
      <c r="A458" t="s">
        <v>1579</v>
      </c>
      <c r="B458" t="s">
        <v>2930</v>
      </c>
      <c r="C458" t="s">
        <v>1550</v>
      </c>
      <c r="D458" t="s">
        <v>3330</v>
      </c>
      <c r="E458" s="1">
        <v>44201.680555555555</v>
      </c>
      <c r="F458" s="1" t="str">
        <f t="shared" si="7"/>
        <v>Tuesday</v>
      </c>
      <c r="G458" t="s">
        <v>1580</v>
      </c>
      <c r="H458" t="s">
        <v>3835</v>
      </c>
      <c r="I458" t="s">
        <v>27</v>
      </c>
      <c r="J458" t="s">
        <v>4105</v>
      </c>
      <c r="K458" t="s">
        <v>1581</v>
      </c>
      <c r="L458">
        <v>15</v>
      </c>
      <c r="M458">
        <v>30</v>
      </c>
      <c r="N458" t="s">
        <v>1536</v>
      </c>
      <c r="O458" t="s">
        <v>3408</v>
      </c>
      <c r="P458">
        <v>2021</v>
      </c>
      <c r="Q458">
        <v>1</v>
      </c>
      <c r="R458">
        <v>5</v>
      </c>
      <c r="S458">
        <v>16</v>
      </c>
      <c r="T458" t="str">
        <f>TEXT(Table1[[#This Row],[Month]],"MMMM")</f>
        <v>January</v>
      </c>
    </row>
    <row r="459" spans="1:20" x14ac:dyDescent="0.25">
      <c r="A459" t="s">
        <v>1582</v>
      </c>
      <c r="B459" t="s">
        <v>2931</v>
      </c>
      <c r="C459" t="s">
        <v>1542</v>
      </c>
      <c r="D459" t="s">
        <v>3329</v>
      </c>
      <c r="E459" s="1">
        <v>43573.458333333336</v>
      </c>
      <c r="F459" s="1" t="str">
        <f t="shared" si="7"/>
        <v>Thursday</v>
      </c>
      <c r="G459" t="s">
        <v>1583</v>
      </c>
      <c r="H459" t="s">
        <v>3836</v>
      </c>
      <c r="I459" t="s">
        <v>875</v>
      </c>
      <c r="J459" t="s">
        <v>4104</v>
      </c>
      <c r="K459" t="s">
        <v>1584</v>
      </c>
      <c r="L459">
        <v>22</v>
      </c>
      <c r="M459">
        <v>45</v>
      </c>
      <c r="N459" t="s">
        <v>1540</v>
      </c>
      <c r="O459" t="s">
        <v>3405</v>
      </c>
      <c r="P459">
        <v>2019</v>
      </c>
      <c r="Q459">
        <v>4</v>
      </c>
      <c r="R459">
        <v>18</v>
      </c>
      <c r="S459">
        <v>11</v>
      </c>
      <c r="T459" t="str">
        <f>TEXT(Table1[[#This Row],[Month]],"MMMM")</f>
        <v>January</v>
      </c>
    </row>
    <row r="460" spans="1:20" x14ac:dyDescent="0.25">
      <c r="A460" t="s">
        <v>1585</v>
      </c>
      <c r="B460" t="s">
        <v>2932</v>
      </c>
      <c r="C460" t="s">
        <v>981</v>
      </c>
      <c r="D460" t="s">
        <v>3248</v>
      </c>
      <c r="E460" s="1">
        <v>42975.8125</v>
      </c>
      <c r="F460" s="1" t="str">
        <f t="shared" si="7"/>
        <v>Monday</v>
      </c>
      <c r="G460" t="s">
        <v>1586</v>
      </c>
      <c r="H460" t="s">
        <v>3837</v>
      </c>
      <c r="I460" t="s">
        <v>32</v>
      </c>
      <c r="J460" t="s">
        <v>4106</v>
      </c>
      <c r="K460" t="s">
        <v>1587</v>
      </c>
      <c r="L460">
        <v>18</v>
      </c>
      <c r="M460">
        <v>35</v>
      </c>
      <c r="N460" t="s">
        <v>165</v>
      </c>
      <c r="O460" t="s">
        <v>3403</v>
      </c>
      <c r="P460">
        <v>2017</v>
      </c>
      <c r="Q460">
        <v>8</v>
      </c>
      <c r="R460">
        <v>28</v>
      </c>
      <c r="S460">
        <v>19</v>
      </c>
      <c r="T460" t="str">
        <f>TEXT(Table1[[#This Row],[Month]],"MMMM")</f>
        <v>January</v>
      </c>
    </row>
    <row r="461" spans="1:20" x14ac:dyDescent="0.25">
      <c r="A461" t="s">
        <v>1588</v>
      </c>
      <c r="B461" t="s">
        <v>2933</v>
      </c>
      <c r="C461" t="s">
        <v>1589</v>
      </c>
      <c r="D461" t="s">
        <v>3342</v>
      </c>
      <c r="E461" s="1">
        <v>44967.604166666664</v>
      </c>
      <c r="F461" s="1" t="str">
        <f t="shared" si="7"/>
        <v>Friday</v>
      </c>
      <c r="G461" t="s">
        <v>1590</v>
      </c>
      <c r="H461" t="s">
        <v>3838</v>
      </c>
      <c r="I461" t="s">
        <v>27</v>
      </c>
      <c r="J461" t="s">
        <v>4105</v>
      </c>
      <c r="K461" t="s">
        <v>1591</v>
      </c>
      <c r="L461">
        <v>28</v>
      </c>
      <c r="M461">
        <v>55</v>
      </c>
      <c r="N461" t="s">
        <v>1545</v>
      </c>
      <c r="O461" t="s">
        <v>3404</v>
      </c>
      <c r="P461">
        <v>2023</v>
      </c>
      <c r="Q461">
        <v>2</v>
      </c>
      <c r="R461">
        <v>10</v>
      </c>
      <c r="S461">
        <v>14</v>
      </c>
      <c r="T461" t="str">
        <f>TEXT(Table1[[#This Row],[Month]],"MMMM")</f>
        <v>January</v>
      </c>
    </row>
    <row r="462" spans="1:20" x14ac:dyDescent="0.25">
      <c r="A462" t="s">
        <v>1592</v>
      </c>
      <c r="B462" t="s">
        <v>2934</v>
      </c>
      <c r="C462" t="s">
        <v>1593</v>
      </c>
      <c r="D462" t="s">
        <v>3343</v>
      </c>
      <c r="E462" s="1">
        <v>44752.927083333336</v>
      </c>
      <c r="F462" s="1" t="str">
        <f t="shared" si="7"/>
        <v>Sunday</v>
      </c>
      <c r="G462" t="s">
        <v>1594</v>
      </c>
      <c r="H462" t="s">
        <v>3839</v>
      </c>
      <c r="I462" t="s">
        <v>27</v>
      </c>
      <c r="J462" t="s">
        <v>4105</v>
      </c>
      <c r="K462" t="s">
        <v>1595</v>
      </c>
      <c r="L462">
        <v>30</v>
      </c>
      <c r="M462">
        <v>60</v>
      </c>
      <c r="N462" t="s">
        <v>1558</v>
      </c>
      <c r="O462" t="s">
        <v>3406</v>
      </c>
      <c r="P462">
        <v>2022</v>
      </c>
      <c r="Q462">
        <v>7</v>
      </c>
      <c r="R462">
        <v>10</v>
      </c>
      <c r="S462">
        <v>22</v>
      </c>
      <c r="T462" t="str">
        <f>TEXT(Table1[[#This Row],[Month]],"MMMM")</f>
        <v>January</v>
      </c>
    </row>
    <row r="463" spans="1:20" x14ac:dyDescent="0.25">
      <c r="A463" t="s">
        <v>1596</v>
      </c>
      <c r="B463" t="s">
        <v>2935</v>
      </c>
      <c r="C463" t="s">
        <v>1406</v>
      </c>
      <c r="D463" t="s">
        <v>3264</v>
      </c>
      <c r="E463" s="1">
        <v>43600.895833333336</v>
      </c>
      <c r="F463" s="1" t="str">
        <f t="shared" si="7"/>
        <v>Wednesday</v>
      </c>
      <c r="G463" t="s">
        <v>1597</v>
      </c>
      <c r="H463" t="s">
        <v>3840</v>
      </c>
      <c r="I463" t="s">
        <v>875</v>
      </c>
      <c r="J463" t="s">
        <v>4104</v>
      </c>
      <c r="K463" t="s">
        <v>1598</v>
      </c>
      <c r="L463">
        <v>18</v>
      </c>
      <c r="M463">
        <v>35</v>
      </c>
      <c r="N463" t="s">
        <v>1553</v>
      </c>
      <c r="O463" t="s">
        <v>3410</v>
      </c>
      <c r="P463">
        <v>2019</v>
      </c>
      <c r="Q463">
        <v>5</v>
      </c>
      <c r="R463">
        <v>15</v>
      </c>
      <c r="S463">
        <v>21</v>
      </c>
      <c r="T463" t="str">
        <f>TEXT(Table1[[#This Row],[Month]],"MMMM")</f>
        <v>January</v>
      </c>
    </row>
    <row r="464" spans="1:20" x14ac:dyDescent="0.25">
      <c r="A464" t="s">
        <v>1599</v>
      </c>
      <c r="B464" t="s">
        <v>2936</v>
      </c>
      <c r="C464" t="s">
        <v>1527</v>
      </c>
      <c r="D464" t="s">
        <v>3249</v>
      </c>
      <c r="E464" s="1">
        <v>43432.583333333336</v>
      </c>
      <c r="F464" s="1" t="str">
        <f t="shared" si="7"/>
        <v>Wednesday</v>
      </c>
      <c r="G464" t="s">
        <v>1600</v>
      </c>
      <c r="H464" t="s">
        <v>3841</v>
      </c>
      <c r="I464" t="s">
        <v>32</v>
      </c>
      <c r="J464" t="s">
        <v>4106</v>
      </c>
      <c r="K464" t="s">
        <v>1601</v>
      </c>
      <c r="L464">
        <v>22</v>
      </c>
      <c r="M464">
        <v>45</v>
      </c>
      <c r="N464" t="s">
        <v>1536</v>
      </c>
      <c r="O464" t="s">
        <v>3408</v>
      </c>
      <c r="P464">
        <v>2018</v>
      </c>
      <c r="Q464">
        <v>11</v>
      </c>
      <c r="R464">
        <v>28</v>
      </c>
      <c r="S464">
        <v>14</v>
      </c>
      <c r="T464" t="str">
        <f>TEXT(Table1[[#This Row],[Month]],"MMMM")</f>
        <v>January</v>
      </c>
    </row>
    <row r="465" spans="1:20" x14ac:dyDescent="0.25">
      <c r="A465" t="s">
        <v>1602</v>
      </c>
      <c r="B465" t="s">
        <v>2937</v>
      </c>
      <c r="C465" t="s">
        <v>1550</v>
      </c>
      <c r="D465" t="s">
        <v>3330</v>
      </c>
      <c r="E465" s="1">
        <v>44257.739583333336</v>
      </c>
      <c r="F465" s="1" t="str">
        <f t="shared" si="7"/>
        <v>Tuesday</v>
      </c>
      <c r="G465" t="s">
        <v>1603</v>
      </c>
      <c r="H465" t="s">
        <v>3842</v>
      </c>
      <c r="I465" t="s">
        <v>27</v>
      </c>
      <c r="J465" t="s">
        <v>4105</v>
      </c>
      <c r="K465" t="s">
        <v>1604</v>
      </c>
      <c r="L465">
        <v>25</v>
      </c>
      <c r="M465">
        <v>50</v>
      </c>
      <c r="N465" t="s">
        <v>124</v>
      </c>
      <c r="O465" t="s">
        <v>3401</v>
      </c>
      <c r="P465">
        <v>2021</v>
      </c>
      <c r="Q465">
        <v>3</v>
      </c>
      <c r="R465">
        <v>2</v>
      </c>
      <c r="S465">
        <v>17</v>
      </c>
      <c r="T465" t="str">
        <f>TEXT(Table1[[#This Row],[Month]],"MMMM")</f>
        <v>January</v>
      </c>
    </row>
    <row r="466" spans="1:20" x14ac:dyDescent="0.25">
      <c r="A466" t="s">
        <v>1605</v>
      </c>
      <c r="B466" t="s">
        <v>2938</v>
      </c>
      <c r="C466" t="s">
        <v>981</v>
      </c>
      <c r="D466" t="s">
        <v>3248</v>
      </c>
      <c r="E466" s="1">
        <v>42661.8125</v>
      </c>
      <c r="F466" s="1" t="str">
        <f t="shared" si="7"/>
        <v>Tuesday</v>
      </c>
      <c r="G466" t="s">
        <v>1606</v>
      </c>
      <c r="H466" t="s">
        <v>3843</v>
      </c>
      <c r="I466" t="s">
        <v>875</v>
      </c>
      <c r="J466" t="s">
        <v>4104</v>
      </c>
      <c r="K466" t="s">
        <v>1607</v>
      </c>
      <c r="L466">
        <v>20</v>
      </c>
      <c r="M466">
        <v>40</v>
      </c>
      <c r="N466" t="s">
        <v>99</v>
      </c>
      <c r="O466" t="s">
        <v>60</v>
      </c>
      <c r="P466">
        <v>2016</v>
      </c>
      <c r="Q466">
        <v>10</v>
      </c>
      <c r="R466">
        <v>18</v>
      </c>
      <c r="S466">
        <v>19</v>
      </c>
      <c r="T466" t="str">
        <f>TEXT(Table1[[#This Row],[Month]],"MMMM")</f>
        <v>January</v>
      </c>
    </row>
    <row r="467" spans="1:20" x14ac:dyDescent="0.25">
      <c r="A467" t="s">
        <v>1608</v>
      </c>
      <c r="B467" t="s">
        <v>2939</v>
      </c>
      <c r="C467" t="s">
        <v>1519</v>
      </c>
      <c r="D467" t="s">
        <v>3341</v>
      </c>
      <c r="E467" s="1">
        <v>44058.520833333336</v>
      </c>
      <c r="F467" s="1" t="str">
        <f t="shared" si="7"/>
        <v>Saturday</v>
      </c>
      <c r="G467" t="s">
        <v>1609</v>
      </c>
      <c r="H467" t="s">
        <v>3844</v>
      </c>
      <c r="I467" t="s">
        <v>32</v>
      </c>
      <c r="J467" t="s">
        <v>4106</v>
      </c>
      <c r="K467" t="s">
        <v>1610</v>
      </c>
      <c r="L467">
        <v>28</v>
      </c>
      <c r="M467">
        <v>55</v>
      </c>
      <c r="N467" t="s">
        <v>1545</v>
      </c>
      <c r="O467" t="s">
        <v>3404</v>
      </c>
      <c r="P467">
        <v>2020</v>
      </c>
      <c r="Q467">
        <v>8</v>
      </c>
      <c r="R467">
        <v>15</v>
      </c>
      <c r="S467">
        <v>12</v>
      </c>
      <c r="T467" t="str">
        <f>TEXT(Table1[[#This Row],[Month]],"MMMM")</f>
        <v>January</v>
      </c>
    </row>
    <row r="468" spans="1:20" x14ac:dyDescent="0.25">
      <c r="A468" t="s">
        <v>1611</v>
      </c>
      <c r="B468" t="s">
        <v>2940</v>
      </c>
      <c r="C468" t="s">
        <v>1523</v>
      </c>
      <c r="D468" t="s">
        <v>3259</v>
      </c>
      <c r="E468" s="1">
        <v>42853.680555555555</v>
      </c>
      <c r="F468" s="1" t="str">
        <f t="shared" si="7"/>
        <v>Friday</v>
      </c>
      <c r="G468" t="s">
        <v>1612</v>
      </c>
      <c r="H468" t="s">
        <v>3845</v>
      </c>
      <c r="I468" t="s">
        <v>27</v>
      </c>
      <c r="J468" t="s">
        <v>4105</v>
      </c>
      <c r="K468" t="s">
        <v>1613</v>
      </c>
      <c r="L468">
        <v>18</v>
      </c>
      <c r="M468">
        <v>35</v>
      </c>
      <c r="N468" t="s">
        <v>110</v>
      </c>
      <c r="O468" t="s">
        <v>3432</v>
      </c>
      <c r="P468">
        <v>2017</v>
      </c>
      <c r="Q468">
        <v>4</v>
      </c>
      <c r="R468">
        <v>28</v>
      </c>
      <c r="S468">
        <v>16</v>
      </c>
      <c r="T468" t="str">
        <f>TEXT(Table1[[#This Row],[Month]],"MMMM")</f>
        <v>January</v>
      </c>
    </row>
    <row r="469" spans="1:20" x14ac:dyDescent="0.25">
      <c r="A469" t="s">
        <v>1614</v>
      </c>
      <c r="B469" t="s">
        <v>2941</v>
      </c>
      <c r="C469" t="s">
        <v>1589</v>
      </c>
      <c r="D469" t="s">
        <v>3342</v>
      </c>
      <c r="E469" s="1">
        <v>43718.875</v>
      </c>
      <c r="F469" s="1" t="str">
        <f t="shared" si="7"/>
        <v>Tuesday</v>
      </c>
      <c r="G469" t="s">
        <v>1615</v>
      </c>
      <c r="H469" t="s">
        <v>3846</v>
      </c>
      <c r="I469" t="s">
        <v>875</v>
      </c>
      <c r="J469" t="s">
        <v>4104</v>
      </c>
      <c r="K469" t="s">
        <v>1616</v>
      </c>
      <c r="L469">
        <v>22</v>
      </c>
      <c r="M469">
        <v>45</v>
      </c>
      <c r="N469" t="s">
        <v>39</v>
      </c>
      <c r="O469" t="s">
        <v>3402</v>
      </c>
      <c r="P469">
        <v>2019</v>
      </c>
      <c r="Q469">
        <v>9</v>
      </c>
      <c r="R469">
        <v>10</v>
      </c>
      <c r="S469">
        <v>21</v>
      </c>
      <c r="T469" t="str">
        <f>TEXT(Table1[[#This Row],[Month]],"MMMM")</f>
        <v>January</v>
      </c>
    </row>
    <row r="470" spans="1:20" x14ac:dyDescent="0.25">
      <c r="A470" t="s">
        <v>1617</v>
      </c>
      <c r="B470" t="s">
        <v>2942</v>
      </c>
      <c r="C470" t="s">
        <v>1550</v>
      </c>
      <c r="D470" t="s">
        <v>3330</v>
      </c>
      <c r="E470" s="1">
        <v>44589.572916666664</v>
      </c>
      <c r="F470" s="1" t="str">
        <f t="shared" si="7"/>
        <v>Friday</v>
      </c>
      <c r="G470" t="s">
        <v>1618</v>
      </c>
      <c r="H470" t="s">
        <v>3847</v>
      </c>
      <c r="I470" t="s">
        <v>32</v>
      </c>
      <c r="J470" t="s">
        <v>4106</v>
      </c>
      <c r="K470" t="s">
        <v>1619</v>
      </c>
      <c r="L470">
        <v>15</v>
      </c>
      <c r="M470">
        <v>30</v>
      </c>
      <c r="N470" t="s">
        <v>1540</v>
      </c>
      <c r="O470" t="s">
        <v>3405</v>
      </c>
      <c r="P470">
        <v>2022</v>
      </c>
      <c r="Q470">
        <v>1</v>
      </c>
      <c r="R470">
        <v>28</v>
      </c>
      <c r="S470">
        <v>13</v>
      </c>
      <c r="T470" t="str">
        <f>TEXT(Table1[[#This Row],[Month]],"MMMM")</f>
        <v>January</v>
      </c>
    </row>
    <row r="471" spans="1:20" x14ac:dyDescent="0.25">
      <c r="A471" t="s">
        <v>1620</v>
      </c>
      <c r="B471" t="s">
        <v>2943</v>
      </c>
      <c r="C471" t="s">
        <v>1621</v>
      </c>
      <c r="D471" t="s">
        <v>3344</v>
      </c>
      <c r="E471" s="1">
        <v>42536.9375</v>
      </c>
      <c r="F471" s="1" t="str">
        <f t="shared" si="7"/>
        <v>Wednesday</v>
      </c>
      <c r="G471" t="s">
        <v>1622</v>
      </c>
      <c r="H471" t="s">
        <v>3848</v>
      </c>
      <c r="I471" t="s">
        <v>27</v>
      </c>
      <c r="J471" t="s">
        <v>4105</v>
      </c>
      <c r="K471" t="s">
        <v>1623</v>
      </c>
      <c r="L471">
        <v>30</v>
      </c>
      <c r="M471">
        <v>60</v>
      </c>
      <c r="N471" t="s">
        <v>1565</v>
      </c>
      <c r="O471" t="s">
        <v>3413</v>
      </c>
      <c r="P471">
        <v>2016</v>
      </c>
      <c r="Q471">
        <v>6</v>
      </c>
      <c r="R471">
        <v>15</v>
      </c>
      <c r="S471">
        <v>22</v>
      </c>
      <c r="T471" t="str">
        <f>TEXT(Table1[[#This Row],[Month]],"MMMM")</f>
        <v>January</v>
      </c>
    </row>
    <row r="472" spans="1:20" x14ac:dyDescent="0.25">
      <c r="A472" t="s">
        <v>1624</v>
      </c>
      <c r="B472" t="s">
        <v>2944</v>
      </c>
      <c r="C472" t="s">
        <v>1625</v>
      </c>
      <c r="D472" t="s">
        <v>3216</v>
      </c>
      <c r="E472" s="1">
        <v>44428.65625</v>
      </c>
      <c r="F472" s="1" t="str">
        <f t="shared" si="7"/>
        <v>Friday</v>
      </c>
      <c r="G472" t="s">
        <v>1626</v>
      </c>
      <c r="H472" t="s">
        <v>3849</v>
      </c>
      <c r="I472" t="s">
        <v>27</v>
      </c>
      <c r="J472" t="s">
        <v>4105</v>
      </c>
      <c r="K472" t="s">
        <v>1627</v>
      </c>
      <c r="L472">
        <v>40</v>
      </c>
      <c r="M472">
        <v>80</v>
      </c>
      <c r="N472" t="s">
        <v>99</v>
      </c>
      <c r="O472" t="s">
        <v>60</v>
      </c>
      <c r="P472">
        <v>2021</v>
      </c>
      <c r="Q472">
        <v>8</v>
      </c>
      <c r="R472">
        <v>20</v>
      </c>
      <c r="S472">
        <v>15</v>
      </c>
      <c r="T472" t="str">
        <f>TEXT(Table1[[#This Row],[Month]],"MMMM")</f>
        <v>January</v>
      </c>
    </row>
    <row r="473" spans="1:20" x14ac:dyDescent="0.25">
      <c r="A473" t="s">
        <v>1628</v>
      </c>
      <c r="B473" t="s">
        <v>2945</v>
      </c>
      <c r="C473" t="s">
        <v>1629</v>
      </c>
      <c r="D473" t="s">
        <v>3215</v>
      </c>
      <c r="E473" s="1">
        <v>43202.770833333336</v>
      </c>
      <c r="F473" s="1" t="str">
        <f t="shared" si="7"/>
        <v>Thursday</v>
      </c>
      <c r="G473" t="s">
        <v>1560</v>
      </c>
      <c r="H473" t="s">
        <v>3829</v>
      </c>
      <c r="I473" t="s">
        <v>875</v>
      </c>
      <c r="J473" t="s">
        <v>4104</v>
      </c>
      <c r="K473" t="s">
        <v>1630</v>
      </c>
      <c r="L473">
        <v>35</v>
      </c>
      <c r="M473">
        <v>70</v>
      </c>
      <c r="N473" t="s">
        <v>124</v>
      </c>
      <c r="O473" t="s">
        <v>3401</v>
      </c>
      <c r="P473">
        <v>2018</v>
      </c>
      <c r="Q473">
        <v>4</v>
      </c>
      <c r="R473">
        <v>12</v>
      </c>
      <c r="S473">
        <v>18</v>
      </c>
      <c r="T473" t="str">
        <f>TEXT(Table1[[#This Row],[Month]],"MMMM")</f>
        <v>January</v>
      </c>
    </row>
    <row r="474" spans="1:20" x14ac:dyDescent="0.25">
      <c r="A474" t="s">
        <v>1631</v>
      </c>
      <c r="B474" t="s">
        <v>2946</v>
      </c>
      <c r="C474" t="s">
        <v>878</v>
      </c>
      <c r="D474" t="s">
        <v>3237</v>
      </c>
      <c r="E474" s="1">
        <v>44607.513888888891</v>
      </c>
      <c r="F474" s="1" t="str">
        <f t="shared" si="7"/>
        <v>Tuesday</v>
      </c>
      <c r="G474" t="s">
        <v>1632</v>
      </c>
      <c r="H474" t="s">
        <v>3850</v>
      </c>
      <c r="I474" t="s">
        <v>32</v>
      </c>
      <c r="J474" t="s">
        <v>4106</v>
      </c>
      <c r="K474" t="s">
        <v>1633</v>
      </c>
      <c r="L474">
        <v>25</v>
      </c>
      <c r="M474">
        <v>50</v>
      </c>
      <c r="N474" t="s">
        <v>110</v>
      </c>
      <c r="O474" t="s">
        <v>3432</v>
      </c>
      <c r="P474">
        <v>2022</v>
      </c>
      <c r="Q474">
        <v>2</v>
      </c>
      <c r="R474">
        <v>15</v>
      </c>
      <c r="S474">
        <v>12</v>
      </c>
      <c r="T474" t="str">
        <f>TEXT(Table1[[#This Row],[Month]],"MMMM")</f>
        <v>January</v>
      </c>
    </row>
    <row r="475" spans="1:20" x14ac:dyDescent="0.25">
      <c r="A475" t="s">
        <v>1634</v>
      </c>
      <c r="B475" t="s">
        <v>2947</v>
      </c>
      <c r="C475" t="s">
        <v>1635</v>
      </c>
      <c r="D475" t="s">
        <v>3245</v>
      </c>
      <c r="E475" s="1">
        <v>43766.59375</v>
      </c>
      <c r="F475" s="1" t="str">
        <f t="shared" si="7"/>
        <v>Monday</v>
      </c>
      <c r="G475" t="s">
        <v>1636</v>
      </c>
      <c r="H475" t="s">
        <v>3306</v>
      </c>
      <c r="I475" t="s">
        <v>27</v>
      </c>
      <c r="J475" t="s">
        <v>4105</v>
      </c>
      <c r="K475" t="s">
        <v>1637</v>
      </c>
      <c r="L475">
        <v>30</v>
      </c>
      <c r="M475">
        <v>60</v>
      </c>
      <c r="N475" t="s">
        <v>39</v>
      </c>
      <c r="O475" t="s">
        <v>3402</v>
      </c>
      <c r="P475">
        <v>2019</v>
      </c>
      <c r="Q475">
        <v>10</v>
      </c>
      <c r="R475">
        <v>28</v>
      </c>
      <c r="S475">
        <v>14</v>
      </c>
      <c r="T475" t="str">
        <f>TEXT(Table1[[#This Row],[Month]],"MMMM")</f>
        <v>January</v>
      </c>
    </row>
    <row r="476" spans="1:20" x14ac:dyDescent="0.25">
      <c r="A476" t="s">
        <v>1638</v>
      </c>
      <c r="B476" t="s">
        <v>2948</v>
      </c>
      <c r="C476" t="s">
        <v>1639</v>
      </c>
      <c r="D476" t="s">
        <v>3239</v>
      </c>
      <c r="E476" s="1">
        <v>43091.875</v>
      </c>
      <c r="F476" s="1" t="str">
        <f t="shared" si="7"/>
        <v>Friday</v>
      </c>
      <c r="G476" t="s">
        <v>1640</v>
      </c>
      <c r="H476" t="s">
        <v>3851</v>
      </c>
      <c r="I476" t="s">
        <v>875</v>
      </c>
      <c r="J476" t="s">
        <v>4104</v>
      </c>
      <c r="K476" t="s">
        <v>1641</v>
      </c>
      <c r="L476">
        <v>22</v>
      </c>
      <c r="M476">
        <v>45</v>
      </c>
      <c r="N476" t="s">
        <v>165</v>
      </c>
      <c r="O476" t="s">
        <v>3403</v>
      </c>
      <c r="P476">
        <v>2017</v>
      </c>
      <c r="Q476">
        <v>12</v>
      </c>
      <c r="R476">
        <v>22</v>
      </c>
      <c r="S476">
        <v>21</v>
      </c>
      <c r="T476" t="str">
        <f>TEXT(Table1[[#This Row],[Month]],"MMMM")</f>
        <v>January</v>
      </c>
    </row>
    <row r="477" spans="1:20" x14ac:dyDescent="0.25">
      <c r="A477" t="s">
        <v>1642</v>
      </c>
      <c r="B477" t="s">
        <v>2949</v>
      </c>
      <c r="C477" t="s">
        <v>1213</v>
      </c>
      <c r="D477" t="s">
        <v>3299</v>
      </c>
      <c r="E477" s="1">
        <v>43992.729166666664</v>
      </c>
      <c r="F477" s="1" t="str">
        <f t="shared" si="7"/>
        <v>Wednesday</v>
      </c>
      <c r="G477" t="s">
        <v>1643</v>
      </c>
      <c r="H477" t="s">
        <v>3852</v>
      </c>
      <c r="I477" t="s">
        <v>32</v>
      </c>
      <c r="J477" t="s">
        <v>4106</v>
      </c>
      <c r="K477" t="s">
        <v>1644</v>
      </c>
      <c r="L477">
        <v>28</v>
      </c>
      <c r="M477">
        <v>55</v>
      </c>
      <c r="N477" t="s">
        <v>1536</v>
      </c>
      <c r="O477" t="s">
        <v>3408</v>
      </c>
      <c r="P477">
        <v>2020</v>
      </c>
      <c r="Q477">
        <v>6</v>
      </c>
      <c r="R477">
        <v>10</v>
      </c>
      <c r="S477">
        <v>17</v>
      </c>
      <c r="T477" t="str">
        <f>TEXT(Table1[[#This Row],[Month]],"MMMM")</f>
        <v>January</v>
      </c>
    </row>
    <row r="478" spans="1:20" x14ac:dyDescent="0.25">
      <c r="A478" t="s">
        <v>1645</v>
      </c>
      <c r="B478" t="s">
        <v>2950</v>
      </c>
      <c r="C478" t="s">
        <v>1646</v>
      </c>
      <c r="D478" t="s">
        <v>3345</v>
      </c>
      <c r="E478" s="1">
        <v>42631.822916666664</v>
      </c>
      <c r="F478" s="1" t="str">
        <f t="shared" si="7"/>
        <v>Sunday</v>
      </c>
      <c r="G478" t="s">
        <v>1647</v>
      </c>
      <c r="H478" t="s">
        <v>3853</v>
      </c>
      <c r="I478" t="s">
        <v>27</v>
      </c>
      <c r="J478" t="s">
        <v>4105</v>
      </c>
      <c r="K478" t="s">
        <v>1648</v>
      </c>
      <c r="L478">
        <v>18</v>
      </c>
      <c r="M478">
        <v>35</v>
      </c>
      <c r="N478" t="s">
        <v>1545</v>
      </c>
      <c r="O478" t="s">
        <v>3404</v>
      </c>
      <c r="P478">
        <v>2016</v>
      </c>
      <c r="Q478">
        <v>9</v>
      </c>
      <c r="R478">
        <v>18</v>
      </c>
      <c r="S478">
        <v>19</v>
      </c>
      <c r="T478" t="str">
        <f>TEXT(Table1[[#This Row],[Month]],"MMMM")</f>
        <v>January</v>
      </c>
    </row>
    <row r="479" spans="1:20" x14ac:dyDescent="0.25">
      <c r="A479" t="s">
        <v>1649</v>
      </c>
      <c r="B479" t="s">
        <v>2951</v>
      </c>
      <c r="C479" t="s">
        <v>1625</v>
      </c>
      <c r="D479" t="s">
        <v>3216</v>
      </c>
      <c r="E479" s="1">
        <v>44995.604166666664</v>
      </c>
      <c r="F479" s="1" t="str">
        <f t="shared" si="7"/>
        <v>Friday</v>
      </c>
      <c r="G479" t="s">
        <v>1650</v>
      </c>
      <c r="H479" t="s">
        <v>3854</v>
      </c>
      <c r="I479" t="s">
        <v>875</v>
      </c>
      <c r="J479" t="s">
        <v>4104</v>
      </c>
      <c r="K479" t="s">
        <v>1651</v>
      </c>
      <c r="L479">
        <v>20</v>
      </c>
      <c r="M479">
        <v>40</v>
      </c>
      <c r="N479" t="s">
        <v>1558</v>
      </c>
      <c r="O479" t="s">
        <v>3406</v>
      </c>
      <c r="P479">
        <v>2023</v>
      </c>
      <c r="Q479">
        <v>3</v>
      </c>
      <c r="R479">
        <v>10</v>
      </c>
      <c r="S479">
        <v>14</v>
      </c>
      <c r="T479" t="str">
        <f>TEXT(Table1[[#This Row],[Month]],"MMMM")</f>
        <v>January</v>
      </c>
    </row>
    <row r="480" spans="1:20" x14ac:dyDescent="0.25">
      <c r="A480" t="s">
        <v>1652</v>
      </c>
      <c r="B480" t="s">
        <v>2952</v>
      </c>
      <c r="C480" t="s">
        <v>1653</v>
      </c>
      <c r="D480" t="s">
        <v>3346</v>
      </c>
      <c r="E480" s="1">
        <v>43590.510416666664</v>
      </c>
      <c r="F480" s="1" t="str">
        <f t="shared" si="7"/>
        <v>Sunday</v>
      </c>
      <c r="G480" t="s">
        <v>1654</v>
      </c>
      <c r="H480" t="s">
        <v>3855</v>
      </c>
      <c r="I480" t="s">
        <v>32</v>
      </c>
      <c r="J480" t="s">
        <v>4106</v>
      </c>
      <c r="K480" t="s">
        <v>1655</v>
      </c>
      <c r="L480">
        <v>25</v>
      </c>
      <c r="M480">
        <v>50</v>
      </c>
      <c r="N480" t="s">
        <v>1540</v>
      </c>
      <c r="O480" t="s">
        <v>3405</v>
      </c>
      <c r="P480">
        <v>2019</v>
      </c>
      <c r="Q480">
        <v>5</v>
      </c>
      <c r="R480">
        <v>5</v>
      </c>
      <c r="S480">
        <v>12</v>
      </c>
      <c r="T480" t="str">
        <f>TEXT(Table1[[#This Row],[Month]],"MMMM")</f>
        <v>January</v>
      </c>
    </row>
    <row r="481" spans="1:20" x14ac:dyDescent="0.25">
      <c r="A481" t="s">
        <v>1656</v>
      </c>
      <c r="B481" t="s">
        <v>2953</v>
      </c>
      <c r="C481" t="s">
        <v>1657</v>
      </c>
      <c r="D481" t="s">
        <v>3347</v>
      </c>
      <c r="E481" s="1">
        <v>43340.666666666664</v>
      </c>
      <c r="F481" s="1" t="str">
        <f t="shared" si="7"/>
        <v>Tuesday</v>
      </c>
      <c r="G481" t="s">
        <v>1658</v>
      </c>
      <c r="H481" t="s">
        <v>3856</v>
      </c>
      <c r="I481" t="s">
        <v>27</v>
      </c>
      <c r="J481" t="s">
        <v>4105</v>
      </c>
      <c r="K481" t="s">
        <v>1659</v>
      </c>
      <c r="L481">
        <v>30</v>
      </c>
      <c r="M481">
        <v>60</v>
      </c>
      <c r="N481" t="s">
        <v>1486</v>
      </c>
      <c r="O481" t="s">
        <v>3412</v>
      </c>
      <c r="P481">
        <v>2018</v>
      </c>
      <c r="Q481">
        <v>8</v>
      </c>
      <c r="R481">
        <v>28</v>
      </c>
      <c r="S481">
        <v>16</v>
      </c>
      <c r="T481" t="str">
        <f>TEXT(Table1[[#This Row],[Month]],"MMMM")</f>
        <v>January</v>
      </c>
    </row>
    <row r="482" spans="1:20" x14ac:dyDescent="0.25">
      <c r="A482" t="s">
        <v>1660</v>
      </c>
      <c r="B482" t="s">
        <v>2954</v>
      </c>
      <c r="C482" t="s">
        <v>1661</v>
      </c>
      <c r="D482" t="s">
        <v>3217</v>
      </c>
      <c r="E482" s="1">
        <v>44880.864583333336</v>
      </c>
      <c r="F482" s="1" t="str">
        <f t="shared" si="7"/>
        <v>Tuesday</v>
      </c>
      <c r="G482" t="s">
        <v>1662</v>
      </c>
      <c r="H482" t="s">
        <v>3857</v>
      </c>
      <c r="I482" t="s">
        <v>875</v>
      </c>
      <c r="J482" t="s">
        <v>4104</v>
      </c>
      <c r="K482" t="s">
        <v>1663</v>
      </c>
      <c r="L482">
        <v>35</v>
      </c>
      <c r="M482">
        <v>70</v>
      </c>
      <c r="N482" t="s">
        <v>99</v>
      </c>
      <c r="O482" t="s">
        <v>60</v>
      </c>
      <c r="P482">
        <v>2022</v>
      </c>
      <c r="Q482">
        <v>11</v>
      </c>
      <c r="R482">
        <v>15</v>
      </c>
      <c r="S482">
        <v>20</v>
      </c>
      <c r="T482" t="str">
        <f>TEXT(Table1[[#This Row],[Month]],"MMMM")</f>
        <v>January</v>
      </c>
    </row>
    <row r="483" spans="1:20" x14ac:dyDescent="0.25">
      <c r="A483" t="s">
        <v>1664</v>
      </c>
      <c r="B483" t="s">
        <v>2955</v>
      </c>
      <c r="C483" t="s">
        <v>1625</v>
      </c>
      <c r="D483" t="s">
        <v>3216</v>
      </c>
      <c r="E483" s="1">
        <v>43648.708333333336</v>
      </c>
      <c r="F483" s="1" t="str">
        <f t="shared" si="7"/>
        <v>Tuesday</v>
      </c>
      <c r="G483" t="s">
        <v>1665</v>
      </c>
      <c r="H483" t="s">
        <v>3858</v>
      </c>
      <c r="I483" t="s">
        <v>27</v>
      </c>
      <c r="J483" t="s">
        <v>4105</v>
      </c>
      <c r="K483" t="s">
        <v>1666</v>
      </c>
      <c r="L483">
        <v>40</v>
      </c>
      <c r="M483">
        <v>80</v>
      </c>
      <c r="N483" t="s">
        <v>124</v>
      </c>
      <c r="O483" t="s">
        <v>3401</v>
      </c>
      <c r="P483">
        <v>2019</v>
      </c>
      <c r="Q483">
        <v>7</v>
      </c>
      <c r="R483">
        <v>2</v>
      </c>
      <c r="S483">
        <v>17</v>
      </c>
      <c r="T483" t="str">
        <f>TEXT(Table1[[#This Row],[Month]],"MMMM")</f>
        <v>January</v>
      </c>
    </row>
    <row r="484" spans="1:20" x14ac:dyDescent="0.25">
      <c r="A484" t="s">
        <v>1667</v>
      </c>
      <c r="B484" t="s">
        <v>2956</v>
      </c>
      <c r="C484" t="s">
        <v>389</v>
      </c>
      <c r="D484" t="s">
        <v>3231</v>
      </c>
      <c r="E484" s="1">
        <v>44304.597222222219</v>
      </c>
      <c r="F484" s="1" t="str">
        <f t="shared" si="7"/>
        <v>Sunday</v>
      </c>
      <c r="G484" t="s">
        <v>1668</v>
      </c>
      <c r="H484" t="s">
        <v>3859</v>
      </c>
      <c r="I484" t="s">
        <v>32</v>
      </c>
      <c r="J484" t="s">
        <v>4106</v>
      </c>
      <c r="K484" t="s">
        <v>1669</v>
      </c>
      <c r="L484">
        <v>30</v>
      </c>
      <c r="M484">
        <v>60</v>
      </c>
      <c r="N484" t="s">
        <v>110</v>
      </c>
      <c r="O484" t="s">
        <v>3432</v>
      </c>
      <c r="P484">
        <v>2021</v>
      </c>
      <c r="Q484">
        <v>4</v>
      </c>
      <c r="R484">
        <v>18</v>
      </c>
      <c r="S484">
        <v>14</v>
      </c>
      <c r="T484" t="str">
        <f>TEXT(Table1[[#This Row],[Month]],"MMMM")</f>
        <v>January</v>
      </c>
    </row>
    <row r="485" spans="1:20" x14ac:dyDescent="0.25">
      <c r="A485" t="s">
        <v>1670</v>
      </c>
      <c r="B485" t="s">
        <v>2957</v>
      </c>
      <c r="C485" t="s">
        <v>1671</v>
      </c>
      <c r="D485" t="s">
        <v>3224</v>
      </c>
      <c r="E485" s="1">
        <v>44962.8125</v>
      </c>
      <c r="F485" s="1" t="str">
        <f t="shared" si="7"/>
        <v>Sunday</v>
      </c>
      <c r="G485" t="s">
        <v>1672</v>
      </c>
      <c r="H485" t="s">
        <v>3860</v>
      </c>
      <c r="I485" t="s">
        <v>875</v>
      </c>
      <c r="J485" t="s">
        <v>4104</v>
      </c>
      <c r="K485" t="s">
        <v>1673</v>
      </c>
      <c r="L485">
        <v>25</v>
      </c>
      <c r="M485">
        <v>50</v>
      </c>
      <c r="N485" t="s">
        <v>39</v>
      </c>
      <c r="O485" t="s">
        <v>3402</v>
      </c>
      <c r="P485">
        <v>2023</v>
      </c>
      <c r="Q485">
        <v>2</v>
      </c>
      <c r="R485">
        <v>5</v>
      </c>
      <c r="S485">
        <v>19</v>
      </c>
      <c r="T485" t="str">
        <f>TEXT(Table1[[#This Row],[Month]],"MMMM")</f>
        <v>January</v>
      </c>
    </row>
    <row r="486" spans="1:20" x14ac:dyDescent="0.25">
      <c r="A486" t="s">
        <v>1674</v>
      </c>
      <c r="B486" t="s">
        <v>2958</v>
      </c>
      <c r="C486" t="s">
        <v>925</v>
      </c>
      <c r="D486" t="s">
        <v>3260</v>
      </c>
      <c r="E486" s="1">
        <v>43365.53125</v>
      </c>
      <c r="F486" s="1" t="str">
        <f t="shared" si="7"/>
        <v>Saturday</v>
      </c>
      <c r="G486" t="s">
        <v>1675</v>
      </c>
      <c r="H486" t="s">
        <v>3861</v>
      </c>
      <c r="I486" t="s">
        <v>27</v>
      </c>
      <c r="J486" t="s">
        <v>4105</v>
      </c>
      <c r="K486" t="s">
        <v>1676</v>
      </c>
      <c r="L486">
        <v>22</v>
      </c>
      <c r="M486">
        <v>45</v>
      </c>
      <c r="N486" t="s">
        <v>165</v>
      </c>
      <c r="O486" t="s">
        <v>3403</v>
      </c>
      <c r="P486">
        <v>2018</v>
      </c>
      <c r="Q486">
        <v>9</v>
      </c>
      <c r="R486">
        <v>22</v>
      </c>
      <c r="S486">
        <v>12</v>
      </c>
      <c r="T486" t="str">
        <f>TEXT(Table1[[#This Row],[Month]],"MMMM")</f>
        <v>January</v>
      </c>
    </row>
    <row r="487" spans="1:20" x14ac:dyDescent="0.25">
      <c r="A487" t="s">
        <v>1677</v>
      </c>
      <c r="B487" t="s">
        <v>2959</v>
      </c>
      <c r="C487" t="s">
        <v>1639</v>
      </c>
      <c r="D487" t="s">
        <v>3239</v>
      </c>
      <c r="E487" s="1">
        <v>42714.885416666664</v>
      </c>
      <c r="F487" s="1" t="str">
        <f t="shared" si="7"/>
        <v>Saturday</v>
      </c>
      <c r="G487" t="s">
        <v>1678</v>
      </c>
      <c r="H487" t="s">
        <v>3862</v>
      </c>
      <c r="I487" t="s">
        <v>32</v>
      </c>
      <c r="J487" t="s">
        <v>4106</v>
      </c>
      <c r="K487" t="s">
        <v>1679</v>
      </c>
      <c r="L487">
        <v>28</v>
      </c>
      <c r="M487">
        <v>55</v>
      </c>
      <c r="N487" t="s">
        <v>1536</v>
      </c>
      <c r="O487" t="s">
        <v>3408</v>
      </c>
      <c r="P487">
        <v>2016</v>
      </c>
      <c r="Q487">
        <v>12</v>
      </c>
      <c r="R487">
        <v>10</v>
      </c>
      <c r="S487">
        <v>21</v>
      </c>
      <c r="T487" t="str">
        <f>TEXT(Table1[[#This Row],[Month]],"MMMM")</f>
        <v>January</v>
      </c>
    </row>
    <row r="488" spans="1:20" x14ac:dyDescent="0.25">
      <c r="A488" t="s">
        <v>1680</v>
      </c>
      <c r="B488" t="s">
        <v>2960</v>
      </c>
      <c r="C488" t="s">
        <v>1309</v>
      </c>
      <c r="D488" t="s">
        <v>3290</v>
      </c>
      <c r="E488" s="1">
        <v>43979.666666666664</v>
      </c>
      <c r="F488" s="1" t="str">
        <f t="shared" si="7"/>
        <v>Thursday</v>
      </c>
      <c r="G488" t="s">
        <v>1681</v>
      </c>
      <c r="H488" t="s">
        <v>3863</v>
      </c>
      <c r="I488" t="s">
        <v>875</v>
      </c>
      <c r="J488" t="s">
        <v>4104</v>
      </c>
      <c r="K488" t="s">
        <v>1682</v>
      </c>
      <c r="L488">
        <v>18</v>
      </c>
      <c r="M488">
        <v>35</v>
      </c>
      <c r="N488" t="s">
        <v>1545</v>
      </c>
      <c r="O488" t="s">
        <v>3404</v>
      </c>
      <c r="P488">
        <v>2020</v>
      </c>
      <c r="Q488">
        <v>5</v>
      </c>
      <c r="R488">
        <v>28</v>
      </c>
      <c r="S488">
        <v>16</v>
      </c>
      <c r="T488" t="str">
        <f>TEXT(Table1[[#This Row],[Month]],"MMMM")</f>
        <v>January</v>
      </c>
    </row>
    <row r="489" spans="1:20" x14ac:dyDescent="0.25">
      <c r="A489" t="s">
        <v>1683</v>
      </c>
      <c r="B489" t="s">
        <v>2961</v>
      </c>
      <c r="C489" t="s">
        <v>1684</v>
      </c>
      <c r="D489" t="s">
        <v>3348</v>
      </c>
      <c r="E489" s="1">
        <v>43054.9375</v>
      </c>
      <c r="F489" s="1" t="str">
        <f t="shared" si="7"/>
        <v>Wednesday</v>
      </c>
      <c r="G489" t="s">
        <v>1685</v>
      </c>
      <c r="H489" t="s">
        <v>3864</v>
      </c>
      <c r="I489" t="s">
        <v>27</v>
      </c>
      <c r="J489" t="s">
        <v>4105</v>
      </c>
      <c r="K489" t="s">
        <v>1686</v>
      </c>
      <c r="L489">
        <v>22</v>
      </c>
      <c r="M489">
        <v>45</v>
      </c>
      <c r="N489" t="s">
        <v>1558</v>
      </c>
      <c r="O489" t="s">
        <v>3406</v>
      </c>
      <c r="P489">
        <v>2017</v>
      </c>
      <c r="Q489">
        <v>11</v>
      </c>
      <c r="R489">
        <v>15</v>
      </c>
      <c r="S489">
        <v>22</v>
      </c>
      <c r="T489" t="str">
        <f>TEXT(Table1[[#This Row],[Month]],"MMMM")</f>
        <v>January</v>
      </c>
    </row>
    <row r="490" spans="1:20" x14ac:dyDescent="0.25">
      <c r="A490" t="s">
        <v>1687</v>
      </c>
      <c r="B490" t="s">
        <v>2962</v>
      </c>
      <c r="C490" t="s">
        <v>1629</v>
      </c>
      <c r="D490" t="s">
        <v>3215</v>
      </c>
      <c r="E490" s="1">
        <v>44410.791666666664</v>
      </c>
      <c r="F490" s="1" t="str">
        <f t="shared" si="7"/>
        <v>Monday</v>
      </c>
      <c r="G490" t="s">
        <v>1688</v>
      </c>
      <c r="H490" t="s">
        <v>3865</v>
      </c>
      <c r="I490" t="s">
        <v>32</v>
      </c>
      <c r="J490" t="s">
        <v>4106</v>
      </c>
      <c r="K490" t="s">
        <v>1689</v>
      </c>
      <c r="L490">
        <v>30</v>
      </c>
      <c r="M490">
        <v>60</v>
      </c>
      <c r="N490" t="s">
        <v>1540</v>
      </c>
      <c r="O490" t="s">
        <v>3405</v>
      </c>
      <c r="P490">
        <v>2021</v>
      </c>
      <c r="Q490">
        <v>8</v>
      </c>
      <c r="R490">
        <v>2</v>
      </c>
      <c r="S490">
        <v>19</v>
      </c>
      <c r="T490" t="str">
        <f>TEXT(Table1[[#This Row],[Month]],"MMMM")</f>
        <v>January</v>
      </c>
    </row>
    <row r="491" spans="1:20" x14ac:dyDescent="0.25">
      <c r="A491" t="s">
        <v>1690</v>
      </c>
      <c r="B491" t="s">
        <v>2963</v>
      </c>
      <c r="C491" t="s">
        <v>1691</v>
      </c>
      <c r="D491" t="s">
        <v>3287</v>
      </c>
      <c r="E491" s="1">
        <v>43552.645833333336</v>
      </c>
      <c r="F491" s="1" t="str">
        <f t="shared" si="7"/>
        <v>Thursday</v>
      </c>
      <c r="G491" t="s">
        <v>1692</v>
      </c>
      <c r="H491" t="s">
        <v>3866</v>
      </c>
      <c r="I491" t="s">
        <v>27</v>
      </c>
      <c r="J491" t="s">
        <v>4105</v>
      </c>
      <c r="K491" t="s">
        <v>1693</v>
      </c>
      <c r="L491">
        <v>35</v>
      </c>
      <c r="M491">
        <v>70</v>
      </c>
      <c r="N491" t="s">
        <v>1486</v>
      </c>
      <c r="O491" t="s">
        <v>3412</v>
      </c>
      <c r="P491">
        <v>2019</v>
      </c>
      <c r="Q491">
        <v>3</v>
      </c>
      <c r="R491">
        <v>28</v>
      </c>
      <c r="S491">
        <v>15</v>
      </c>
      <c r="T491" t="str">
        <f>TEXT(Table1[[#This Row],[Month]],"MMMM")</f>
        <v>January</v>
      </c>
    </row>
    <row r="492" spans="1:20" x14ac:dyDescent="0.25">
      <c r="A492" t="s">
        <v>1694</v>
      </c>
      <c r="B492" t="s">
        <v>2964</v>
      </c>
      <c r="C492" t="s">
        <v>1695</v>
      </c>
      <c r="D492" t="s">
        <v>3296</v>
      </c>
      <c r="E492" s="1">
        <v>43232.729166666664</v>
      </c>
      <c r="F492" s="1" t="str">
        <f t="shared" si="7"/>
        <v>Saturday</v>
      </c>
      <c r="G492" t="s">
        <v>1696</v>
      </c>
      <c r="H492" t="s">
        <v>3867</v>
      </c>
      <c r="I492" t="s">
        <v>875</v>
      </c>
      <c r="J492" t="s">
        <v>4104</v>
      </c>
      <c r="K492" t="s">
        <v>1697</v>
      </c>
      <c r="L492">
        <v>28</v>
      </c>
      <c r="M492">
        <v>55</v>
      </c>
      <c r="N492" t="s">
        <v>1545</v>
      </c>
      <c r="O492" t="s">
        <v>3404</v>
      </c>
      <c r="P492">
        <v>2018</v>
      </c>
      <c r="Q492">
        <v>5</v>
      </c>
      <c r="R492">
        <v>12</v>
      </c>
      <c r="S492">
        <v>17</v>
      </c>
      <c r="T492" t="str">
        <f>TEXT(Table1[[#This Row],[Month]],"MMMM")</f>
        <v>January</v>
      </c>
    </row>
    <row r="493" spans="1:20" x14ac:dyDescent="0.25">
      <c r="A493" t="s">
        <v>1698</v>
      </c>
      <c r="B493" t="s">
        <v>2965</v>
      </c>
      <c r="C493" t="s">
        <v>1699</v>
      </c>
      <c r="D493" t="s">
        <v>3302</v>
      </c>
      <c r="E493" s="1">
        <v>44832.65625</v>
      </c>
      <c r="F493" s="1" t="str">
        <f t="shared" si="7"/>
        <v>Wednesday</v>
      </c>
      <c r="G493" t="s">
        <v>1700</v>
      </c>
      <c r="H493" t="s">
        <v>3868</v>
      </c>
      <c r="I493" t="s">
        <v>27</v>
      </c>
      <c r="J493" t="s">
        <v>4105</v>
      </c>
      <c r="K493" t="s">
        <v>1701</v>
      </c>
      <c r="L493">
        <v>30</v>
      </c>
      <c r="M493">
        <v>60</v>
      </c>
      <c r="N493" t="s">
        <v>99</v>
      </c>
      <c r="O493" t="s">
        <v>60</v>
      </c>
      <c r="P493">
        <v>2022</v>
      </c>
      <c r="Q493">
        <v>9</v>
      </c>
      <c r="R493">
        <v>28</v>
      </c>
      <c r="S493">
        <v>15</v>
      </c>
      <c r="T493" t="str">
        <f>TEXT(Table1[[#This Row],[Month]],"MMMM")</f>
        <v>January</v>
      </c>
    </row>
    <row r="494" spans="1:20" x14ac:dyDescent="0.25">
      <c r="A494" t="s">
        <v>1702</v>
      </c>
      <c r="B494" t="s">
        <v>2966</v>
      </c>
      <c r="C494" t="s">
        <v>389</v>
      </c>
      <c r="D494" t="s">
        <v>3231</v>
      </c>
      <c r="E494" s="1">
        <v>43779.583333333336</v>
      </c>
      <c r="F494" s="1" t="str">
        <f t="shared" si="7"/>
        <v>Sunday</v>
      </c>
      <c r="G494" t="s">
        <v>1703</v>
      </c>
      <c r="H494" t="s">
        <v>3869</v>
      </c>
      <c r="I494" t="s">
        <v>32</v>
      </c>
      <c r="J494" t="s">
        <v>4106</v>
      </c>
      <c r="K494" t="s">
        <v>1704</v>
      </c>
      <c r="L494">
        <v>22</v>
      </c>
      <c r="M494">
        <v>45</v>
      </c>
      <c r="N494" t="s">
        <v>1553</v>
      </c>
      <c r="O494" t="s">
        <v>3410</v>
      </c>
      <c r="P494">
        <v>2019</v>
      </c>
      <c r="Q494">
        <v>11</v>
      </c>
      <c r="R494">
        <v>10</v>
      </c>
      <c r="S494">
        <v>14</v>
      </c>
      <c r="T494" t="str">
        <f>TEXT(Table1[[#This Row],[Month]],"MMMM")</f>
        <v>January</v>
      </c>
    </row>
    <row r="495" spans="1:20" x14ac:dyDescent="0.25">
      <c r="A495" t="s">
        <v>1705</v>
      </c>
      <c r="B495" t="s">
        <v>2967</v>
      </c>
      <c r="C495" t="s">
        <v>1625</v>
      </c>
      <c r="D495" t="s">
        <v>3216</v>
      </c>
      <c r="E495" s="1">
        <v>44288.763888888891</v>
      </c>
      <c r="F495" s="1" t="str">
        <f t="shared" si="7"/>
        <v>Friday</v>
      </c>
      <c r="G495" t="s">
        <v>1706</v>
      </c>
      <c r="H495" t="s">
        <v>3870</v>
      </c>
      <c r="I495" t="s">
        <v>27</v>
      </c>
      <c r="J495" t="s">
        <v>4105</v>
      </c>
      <c r="K495" t="s">
        <v>1707</v>
      </c>
      <c r="L495">
        <v>35</v>
      </c>
      <c r="M495">
        <v>70</v>
      </c>
      <c r="N495" t="s">
        <v>1708</v>
      </c>
      <c r="O495" t="s">
        <v>3411</v>
      </c>
      <c r="P495">
        <v>2021</v>
      </c>
      <c r="Q495">
        <v>4</v>
      </c>
      <c r="R495">
        <v>2</v>
      </c>
      <c r="S495">
        <v>18</v>
      </c>
      <c r="T495" t="str">
        <f>TEXT(Table1[[#This Row],[Month]],"MMMM")</f>
        <v>January</v>
      </c>
    </row>
    <row r="496" spans="1:20" x14ac:dyDescent="0.25">
      <c r="A496" t="s">
        <v>1709</v>
      </c>
      <c r="B496" t="s">
        <v>2968</v>
      </c>
      <c r="C496" t="s">
        <v>1710</v>
      </c>
      <c r="D496" t="s">
        <v>3349</v>
      </c>
      <c r="E496" s="1">
        <v>42969.895833333336</v>
      </c>
      <c r="F496" s="1" t="str">
        <f t="shared" si="7"/>
        <v>Tuesday</v>
      </c>
      <c r="G496" t="s">
        <v>1711</v>
      </c>
      <c r="H496" t="s">
        <v>3871</v>
      </c>
      <c r="I496" t="s">
        <v>875</v>
      </c>
      <c r="J496" t="s">
        <v>4104</v>
      </c>
      <c r="K496" t="s">
        <v>1712</v>
      </c>
      <c r="L496">
        <v>18</v>
      </c>
      <c r="M496">
        <v>35</v>
      </c>
      <c r="N496" t="s">
        <v>1558</v>
      </c>
      <c r="O496" t="s">
        <v>3406</v>
      </c>
      <c r="P496">
        <v>2017</v>
      </c>
      <c r="Q496">
        <v>8</v>
      </c>
      <c r="R496">
        <v>22</v>
      </c>
      <c r="S496">
        <v>21</v>
      </c>
      <c r="T496" t="str">
        <f>TEXT(Table1[[#This Row],[Month]],"MMMM")</f>
        <v>January</v>
      </c>
    </row>
    <row r="497" spans="1:20" x14ac:dyDescent="0.25">
      <c r="A497" t="s">
        <v>1713</v>
      </c>
      <c r="B497" t="s">
        <v>2969</v>
      </c>
      <c r="C497" t="s">
        <v>1714</v>
      </c>
      <c r="D497" t="s">
        <v>3222</v>
      </c>
      <c r="E497" s="1">
        <v>43997.697916666664</v>
      </c>
      <c r="F497" s="1" t="str">
        <f t="shared" si="7"/>
        <v>Monday</v>
      </c>
      <c r="G497" t="s">
        <v>1715</v>
      </c>
      <c r="H497" t="s">
        <v>3872</v>
      </c>
      <c r="I497" t="s">
        <v>27</v>
      </c>
      <c r="J497" t="s">
        <v>4105</v>
      </c>
      <c r="K497" t="s">
        <v>1716</v>
      </c>
      <c r="L497">
        <v>25</v>
      </c>
      <c r="M497">
        <v>50</v>
      </c>
      <c r="N497" t="s">
        <v>99</v>
      </c>
      <c r="O497" t="s">
        <v>60</v>
      </c>
      <c r="P497">
        <v>2020</v>
      </c>
      <c r="Q497">
        <v>6</v>
      </c>
      <c r="R497">
        <v>15</v>
      </c>
      <c r="S497">
        <v>16</v>
      </c>
      <c r="T497" t="str">
        <f>TEXT(Table1[[#This Row],[Month]],"MMMM")</f>
        <v>January</v>
      </c>
    </row>
    <row r="498" spans="1:20" x14ac:dyDescent="0.25">
      <c r="A498" t="s">
        <v>1717</v>
      </c>
      <c r="B498" t="s">
        <v>2970</v>
      </c>
      <c r="C498" t="s">
        <v>921</v>
      </c>
      <c r="D498" t="s">
        <v>3238</v>
      </c>
      <c r="E498" s="1">
        <v>42623.802083333336</v>
      </c>
      <c r="F498" s="1" t="str">
        <f t="shared" si="7"/>
        <v>Saturday</v>
      </c>
      <c r="G498" t="s">
        <v>1718</v>
      </c>
      <c r="H498" t="s">
        <v>3873</v>
      </c>
      <c r="I498" t="s">
        <v>32</v>
      </c>
      <c r="J498" t="s">
        <v>4106</v>
      </c>
      <c r="K498" t="s">
        <v>1719</v>
      </c>
      <c r="L498">
        <v>22</v>
      </c>
      <c r="M498">
        <v>45</v>
      </c>
      <c r="N498" t="s">
        <v>1720</v>
      </c>
      <c r="O498" t="s">
        <v>3407</v>
      </c>
      <c r="P498">
        <v>2016</v>
      </c>
      <c r="Q498">
        <v>9</v>
      </c>
      <c r="R498">
        <v>10</v>
      </c>
      <c r="S498">
        <v>19</v>
      </c>
      <c r="T498" t="str">
        <f>TEXT(Table1[[#This Row],[Month]],"MMMM")</f>
        <v>January</v>
      </c>
    </row>
    <row r="499" spans="1:20" x14ac:dyDescent="0.25">
      <c r="A499" t="s">
        <v>1721</v>
      </c>
      <c r="B499" t="s">
        <v>2971</v>
      </c>
      <c r="C499" t="s">
        <v>1722</v>
      </c>
      <c r="D499" t="s">
        <v>3350</v>
      </c>
      <c r="E499" s="1">
        <v>44954.541666666664</v>
      </c>
      <c r="F499" s="1" t="str">
        <f t="shared" si="7"/>
        <v>Saturday</v>
      </c>
      <c r="G499" t="s">
        <v>1723</v>
      </c>
      <c r="H499" t="s">
        <v>3874</v>
      </c>
      <c r="I499" t="s">
        <v>875</v>
      </c>
      <c r="J499" t="s">
        <v>4104</v>
      </c>
      <c r="K499" t="s">
        <v>1724</v>
      </c>
      <c r="L499">
        <v>30</v>
      </c>
      <c r="M499">
        <v>60</v>
      </c>
      <c r="N499" t="s">
        <v>1725</v>
      </c>
      <c r="O499" t="s">
        <v>3420</v>
      </c>
      <c r="P499">
        <v>2023</v>
      </c>
      <c r="Q499">
        <v>1</v>
      </c>
      <c r="R499">
        <v>28</v>
      </c>
      <c r="S499">
        <v>13</v>
      </c>
      <c r="T499" t="str">
        <f>TEXT(Table1[[#This Row],[Month]],"MMMM")</f>
        <v>January</v>
      </c>
    </row>
    <row r="500" spans="1:20" x14ac:dyDescent="0.25">
      <c r="A500" t="s">
        <v>1726</v>
      </c>
      <c r="B500" t="s">
        <v>2972</v>
      </c>
      <c r="C500" t="s">
        <v>1727</v>
      </c>
      <c r="D500" t="s">
        <v>3351</v>
      </c>
      <c r="E500" s="1">
        <v>43573.6875</v>
      </c>
      <c r="F500" s="1" t="str">
        <f t="shared" si="7"/>
        <v>Thursday</v>
      </c>
      <c r="G500" t="s">
        <v>1728</v>
      </c>
      <c r="H500" t="s">
        <v>3875</v>
      </c>
      <c r="I500" t="s">
        <v>27</v>
      </c>
      <c r="J500" t="s">
        <v>4105</v>
      </c>
      <c r="K500" t="s">
        <v>1729</v>
      </c>
      <c r="L500">
        <v>20</v>
      </c>
      <c r="M500">
        <v>40</v>
      </c>
      <c r="N500" t="s">
        <v>1553</v>
      </c>
      <c r="O500" t="s">
        <v>3410</v>
      </c>
      <c r="P500">
        <v>2019</v>
      </c>
      <c r="Q500">
        <v>4</v>
      </c>
      <c r="R500">
        <v>18</v>
      </c>
      <c r="S500">
        <v>16</v>
      </c>
      <c r="T500" t="str">
        <f>TEXT(Table1[[#This Row],[Month]],"MMMM")</f>
        <v>January</v>
      </c>
    </row>
    <row r="501" spans="1:20" x14ac:dyDescent="0.25">
      <c r="A501" t="s">
        <v>1730</v>
      </c>
      <c r="B501" t="s">
        <v>2973</v>
      </c>
      <c r="C501" t="s">
        <v>1714</v>
      </c>
      <c r="D501" t="s">
        <v>3222</v>
      </c>
      <c r="E501" s="1">
        <v>43044.916666666664</v>
      </c>
      <c r="F501" s="1" t="str">
        <f t="shared" si="7"/>
        <v>Sunday</v>
      </c>
      <c r="G501" t="s">
        <v>1731</v>
      </c>
      <c r="H501" t="s">
        <v>3876</v>
      </c>
      <c r="I501" t="s">
        <v>32</v>
      </c>
      <c r="J501" t="s">
        <v>4106</v>
      </c>
      <c r="K501" t="s">
        <v>1732</v>
      </c>
      <c r="L501">
        <v>28</v>
      </c>
      <c r="M501">
        <v>55</v>
      </c>
      <c r="N501" t="s">
        <v>1733</v>
      </c>
      <c r="O501" t="s">
        <v>3421</v>
      </c>
      <c r="P501">
        <v>2017</v>
      </c>
      <c r="Q501">
        <v>11</v>
      </c>
      <c r="R501">
        <v>5</v>
      </c>
      <c r="S501">
        <v>22</v>
      </c>
      <c r="T501" t="str">
        <f>TEXT(Table1[[#This Row],[Month]],"MMMM")</f>
        <v>January</v>
      </c>
    </row>
    <row r="502" spans="1:20" x14ac:dyDescent="0.25">
      <c r="A502" t="s">
        <v>1734</v>
      </c>
      <c r="B502" t="s">
        <v>2974</v>
      </c>
      <c r="C502" t="s">
        <v>389</v>
      </c>
      <c r="D502" t="s">
        <v>3231</v>
      </c>
      <c r="E502" s="1">
        <v>44762.90625</v>
      </c>
      <c r="F502" s="1" t="str">
        <f t="shared" si="7"/>
        <v>Wednesday</v>
      </c>
      <c r="G502" t="s">
        <v>1735</v>
      </c>
      <c r="H502" t="s">
        <v>3877</v>
      </c>
      <c r="I502" t="s">
        <v>27</v>
      </c>
      <c r="J502" t="s">
        <v>4105</v>
      </c>
      <c r="K502" t="s">
        <v>1736</v>
      </c>
      <c r="L502">
        <v>35</v>
      </c>
      <c r="M502">
        <v>70</v>
      </c>
      <c r="N502" t="s">
        <v>99</v>
      </c>
      <c r="O502" t="s">
        <v>60</v>
      </c>
      <c r="P502">
        <v>2022</v>
      </c>
      <c r="Q502">
        <v>7</v>
      </c>
      <c r="R502">
        <v>20</v>
      </c>
      <c r="S502">
        <v>21</v>
      </c>
      <c r="T502" t="str">
        <f>TEXT(Table1[[#This Row],[Month]],"MMMM")</f>
        <v>January</v>
      </c>
    </row>
    <row r="503" spans="1:20" x14ac:dyDescent="0.25">
      <c r="A503" t="s">
        <v>1737</v>
      </c>
      <c r="B503" t="s">
        <v>2975</v>
      </c>
      <c r="C503" t="s">
        <v>1738</v>
      </c>
      <c r="D503" t="s">
        <v>3352</v>
      </c>
      <c r="E503" s="1">
        <v>43174.729166666664</v>
      </c>
      <c r="F503" s="1" t="str">
        <f t="shared" si="7"/>
        <v>Thursday</v>
      </c>
      <c r="G503" t="s">
        <v>1739</v>
      </c>
      <c r="H503" t="s">
        <v>3878</v>
      </c>
      <c r="I503" t="s">
        <v>875</v>
      </c>
      <c r="J503" t="s">
        <v>4104</v>
      </c>
      <c r="K503" t="s">
        <v>1740</v>
      </c>
      <c r="L503">
        <v>25</v>
      </c>
      <c r="M503">
        <v>50</v>
      </c>
      <c r="N503" t="s">
        <v>1553</v>
      </c>
      <c r="O503" t="s">
        <v>3410</v>
      </c>
      <c r="P503">
        <v>2018</v>
      </c>
      <c r="Q503">
        <v>3</v>
      </c>
      <c r="R503">
        <v>15</v>
      </c>
      <c r="S503">
        <v>17</v>
      </c>
      <c r="T503" t="str">
        <f>TEXT(Table1[[#This Row],[Month]],"MMMM")</f>
        <v>January</v>
      </c>
    </row>
    <row r="504" spans="1:20" x14ac:dyDescent="0.25">
      <c r="A504" t="s">
        <v>1741</v>
      </c>
      <c r="B504" t="s">
        <v>2976</v>
      </c>
      <c r="C504" t="s">
        <v>921</v>
      </c>
      <c r="D504" t="s">
        <v>3238</v>
      </c>
      <c r="E504" s="1">
        <v>43766.59375</v>
      </c>
      <c r="F504" s="1" t="str">
        <f t="shared" si="7"/>
        <v>Monday</v>
      </c>
      <c r="G504" t="s">
        <v>1742</v>
      </c>
      <c r="H504" t="s">
        <v>3879</v>
      </c>
      <c r="I504" t="s">
        <v>32</v>
      </c>
      <c r="J504" t="s">
        <v>4106</v>
      </c>
      <c r="K504" t="s">
        <v>1743</v>
      </c>
      <c r="L504">
        <v>22</v>
      </c>
      <c r="M504">
        <v>45</v>
      </c>
      <c r="N504" t="s">
        <v>1744</v>
      </c>
      <c r="O504" t="s">
        <v>3422</v>
      </c>
      <c r="P504">
        <v>2019</v>
      </c>
      <c r="Q504">
        <v>10</v>
      </c>
      <c r="R504">
        <v>28</v>
      </c>
      <c r="S504">
        <v>14</v>
      </c>
      <c r="T504" t="str">
        <f>TEXT(Table1[[#This Row],[Month]],"MMMM")</f>
        <v>January</v>
      </c>
    </row>
    <row r="505" spans="1:20" x14ac:dyDescent="0.25">
      <c r="A505" t="s">
        <v>1745</v>
      </c>
      <c r="B505" t="s">
        <v>2977</v>
      </c>
      <c r="C505" t="s">
        <v>1746</v>
      </c>
      <c r="D505" t="s">
        <v>3313</v>
      </c>
      <c r="E505" s="1">
        <v>44357.666666666664</v>
      </c>
      <c r="F505" s="1" t="str">
        <f t="shared" si="7"/>
        <v>Thursday</v>
      </c>
      <c r="G505" t="s">
        <v>1747</v>
      </c>
      <c r="H505" t="s">
        <v>3880</v>
      </c>
      <c r="I505" t="s">
        <v>27</v>
      </c>
      <c r="J505" t="s">
        <v>4105</v>
      </c>
      <c r="K505" t="s">
        <v>1748</v>
      </c>
      <c r="L505">
        <v>30</v>
      </c>
      <c r="M505">
        <v>60</v>
      </c>
      <c r="N505" t="s">
        <v>1540</v>
      </c>
      <c r="O505" t="s">
        <v>3405</v>
      </c>
      <c r="P505">
        <v>2021</v>
      </c>
      <c r="Q505">
        <v>6</v>
      </c>
      <c r="R505">
        <v>10</v>
      </c>
      <c r="S505">
        <v>16</v>
      </c>
      <c r="T505" t="str">
        <f>TEXT(Table1[[#This Row],[Month]],"MMMM")</f>
        <v>January</v>
      </c>
    </row>
    <row r="506" spans="1:20" x14ac:dyDescent="0.25">
      <c r="A506" t="s">
        <v>1749</v>
      </c>
      <c r="B506" t="s">
        <v>2978</v>
      </c>
      <c r="C506" t="s">
        <v>1714</v>
      </c>
      <c r="D506" t="s">
        <v>3222</v>
      </c>
      <c r="E506" s="1">
        <v>42965.8125</v>
      </c>
      <c r="F506" s="1" t="str">
        <f t="shared" si="7"/>
        <v>Friday</v>
      </c>
      <c r="G506" t="s">
        <v>1750</v>
      </c>
      <c r="H506" t="s">
        <v>3881</v>
      </c>
      <c r="I506" t="s">
        <v>875</v>
      </c>
      <c r="J506" t="s">
        <v>4104</v>
      </c>
      <c r="K506" t="s">
        <v>1751</v>
      </c>
      <c r="L506">
        <v>18</v>
      </c>
      <c r="M506">
        <v>35</v>
      </c>
      <c r="N506" t="s">
        <v>1752</v>
      </c>
      <c r="O506" t="s">
        <v>3423</v>
      </c>
      <c r="P506">
        <v>2017</v>
      </c>
      <c r="Q506">
        <v>8</v>
      </c>
      <c r="R506">
        <v>18</v>
      </c>
      <c r="S506">
        <v>19</v>
      </c>
      <c r="T506" t="str">
        <f>TEXT(Table1[[#This Row],[Month]],"MMMM")</f>
        <v>January</v>
      </c>
    </row>
    <row r="507" spans="1:20" x14ac:dyDescent="0.25">
      <c r="A507" t="s">
        <v>1753</v>
      </c>
      <c r="B507" t="s">
        <v>2979</v>
      </c>
      <c r="C507" t="s">
        <v>1213</v>
      </c>
      <c r="D507" t="s">
        <v>3299</v>
      </c>
      <c r="E507" s="1">
        <v>43936.229166666664</v>
      </c>
      <c r="F507" s="1" t="str">
        <f t="shared" si="7"/>
        <v>Wednesday</v>
      </c>
      <c r="G507" t="s">
        <v>1754</v>
      </c>
      <c r="H507" t="s">
        <v>3882</v>
      </c>
      <c r="I507" t="s">
        <v>32</v>
      </c>
      <c r="J507" t="s">
        <v>4106</v>
      </c>
      <c r="K507" t="s">
        <v>1755</v>
      </c>
      <c r="L507">
        <v>28</v>
      </c>
      <c r="M507">
        <v>55</v>
      </c>
      <c r="N507" t="s">
        <v>1558</v>
      </c>
      <c r="O507" t="s">
        <v>3406</v>
      </c>
      <c r="P507">
        <v>2020</v>
      </c>
      <c r="Q507">
        <v>4</v>
      </c>
      <c r="R507">
        <v>15</v>
      </c>
      <c r="S507">
        <v>5</v>
      </c>
      <c r="T507" t="str">
        <f>TEXT(Table1[[#This Row],[Month]],"MMMM")</f>
        <v>January</v>
      </c>
    </row>
    <row r="508" spans="1:20" x14ac:dyDescent="0.25">
      <c r="A508" t="s">
        <v>1756</v>
      </c>
      <c r="B508" t="s">
        <v>2980</v>
      </c>
      <c r="C508" t="s">
        <v>1710</v>
      </c>
      <c r="D508" t="s">
        <v>3349</v>
      </c>
      <c r="E508" s="1">
        <v>42696.541666666664</v>
      </c>
      <c r="F508" s="1" t="str">
        <f t="shared" si="7"/>
        <v>Tuesday</v>
      </c>
      <c r="G508" t="s">
        <v>1757</v>
      </c>
      <c r="H508" t="s">
        <v>3883</v>
      </c>
      <c r="I508" t="s">
        <v>27</v>
      </c>
      <c r="J508" t="s">
        <v>4105</v>
      </c>
      <c r="K508" t="s">
        <v>1758</v>
      </c>
      <c r="L508">
        <v>20</v>
      </c>
      <c r="M508">
        <v>40</v>
      </c>
      <c r="N508" t="s">
        <v>1759</v>
      </c>
      <c r="O508" t="s">
        <v>3424</v>
      </c>
      <c r="P508">
        <v>2016</v>
      </c>
      <c r="Q508">
        <v>11</v>
      </c>
      <c r="R508">
        <v>22</v>
      </c>
      <c r="S508">
        <v>13</v>
      </c>
      <c r="T508" t="str">
        <f>TEXT(Table1[[#This Row],[Month]],"MMMM")</f>
        <v>January</v>
      </c>
    </row>
    <row r="509" spans="1:20" x14ac:dyDescent="0.25">
      <c r="A509" t="s">
        <v>1760</v>
      </c>
      <c r="B509" t="s">
        <v>2981</v>
      </c>
      <c r="C509" t="s">
        <v>1323</v>
      </c>
      <c r="D509" t="s">
        <v>3316</v>
      </c>
      <c r="E509" s="1">
        <v>43475.614583333336</v>
      </c>
      <c r="F509" s="1" t="str">
        <f t="shared" si="7"/>
        <v>Thursday</v>
      </c>
      <c r="G509" t="s">
        <v>1761</v>
      </c>
      <c r="H509" t="s">
        <v>3884</v>
      </c>
      <c r="I509" t="s">
        <v>875</v>
      </c>
      <c r="J509" t="s">
        <v>4104</v>
      </c>
      <c r="K509" t="s">
        <v>1762</v>
      </c>
      <c r="L509">
        <v>22</v>
      </c>
      <c r="M509">
        <v>45</v>
      </c>
      <c r="N509" t="s">
        <v>1763</v>
      </c>
      <c r="O509" t="s">
        <v>3415</v>
      </c>
      <c r="P509">
        <v>2019</v>
      </c>
      <c r="Q509">
        <v>1</v>
      </c>
      <c r="R509">
        <v>10</v>
      </c>
      <c r="S509">
        <v>14</v>
      </c>
      <c r="T509" t="str">
        <f>TEXT(Table1[[#This Row],[Month]],"MMMM")</f>
        <v>January</v>
      </c>
    </row>
    <row r="510" spans="1:20" x14ac:dyDescent="0.25">
      <c r="A510" t="s">
        <v>1764</v>
      </c>
      <c r="B510" t="s">
        <v>2982</v>
      </c>
      <c r="C510" t="s">
        <v>1765</v>
      </c>
      <c r="D510" t="s">
        <v>3353</v>
      </c>
      <c r="E510" s="1">
        <v>44985.680555555555</v>
      </c>
      <c r="F510" s="1" t="str">
        <f t="shared" si="7"/>
        <v>Tuesday</v>
      </c>
      <c r="G510" t="s">
        <v>1766</v>
      </c>
      <c r="H510" t="s">
        <v>3885</v>
      </c>
      <c r="I510" t="s">
        <v>32</v>
      </c>
      <c r="J510" t="s">
        <v>4106</v>
      </c>
      <c r="K510" t="s">
        <v>1767</v>
      </c>
      <c r="L510">
        <v>25</v>
      </c>
      <c r="M510">
        <v>50</v>
      </c>
      <c r="N510" t="s">
        <v>1558</v>
      </c>
      <c r="O510" t="s">
        <v>3406</v>
      </c>
      <c r="P510">
        <v>2023</v>
      </c>
      <c r="Q510">
        <v>2</v>
      </c>
      <c r="R510">
        <v>28</v>
      </c>
      <c r="S510">
        <v>16</v>
      </c>
      <c r="T510" t="str">
        <f>TEXT(Table1[[#This Row],[Month]],"MMMM")</f>
        <v>January</v>
      </c>
    </row>
    <row r="511" spans="1:20" x14ac:dyDescent="0.25">
      <c r="A511" t="s">
        <v>1768</v>
      </c>
      <c r="B511" t="s">
        <v>2983</v>
      </c>
      <c r="C511" t="s">
        <v>1769</v>
      </c>
      <c r="D511" t="s">
        <v>3354</v>
      </c>
      <c r="E511" s="1">
        <v>43248.770833333336</v>
      </c>
      <c r="F511" s="1" t="str">
        <f t="shared" si="7"/>
        <v>Monday</v>
      </c>
      <c r="G511" t="s">
        <v>1770</v>
      </c>
      <c r="H511" t="s">
        <v>3886</v>
      </c>
      <c r="I511" t="s">
        <v>27</v>
      </c>
      <c r="J511" t="s">
        <v>4105</v>
      </c>
      <c r="K511" t="s">
        <v>1771</v>
      </c>
      <c r="L511">
        <v>22</v>
      </c>
      <c r="M511">
        <v>45</v>
      </c>
      <c r="N511" t="s">
        <v>1772</v>
      </c>
      <c r="O511" t="s">
        <v>3425</v>
      </c>
      <c r="P511">
        <v>2018</v>
      </c>
      <c r="Q511">
        <v>5</v>
      </c>
      <c r="R511">
        <v>28</v>
      </c>
      <c r="S511">
        <v>18</v>
      </c>
      <c r="T511" t="str">
        <f>TEXT(Table1[[#This Row],[Month]],"MMMM")</f>
        <v>January</v>
      </c>
    </row>
    <row r="512" spans="1:20" x14ac:dyDescent="0.25">
      <c r="A512" t="s">
        <v>1773</v>
      </c>
      <c r="B512" t="s">
        <v>2984</v>
      </c>
      <c r="C512" t="s">
        <v>1774</v>
      </c>
      <c r="D512" t="s">
        <v>3355</v>
      </c>
      <c r="E512" s="1">
        <v>44819.833333333336</v>
      </c>
      <c r="F512" s="1" t="str">
        <f t="shared" si="7"/>
        <v>Thursday</v>
      </c>
      <c r="G512" t="s">
        <v>1775</v>
      </c>
      <c r="H512" t="s">
        <v>3887</v>
      </c>
      <c r="I512" t="s">
        <v>27</v>
      </c>
      <c r="J512" t="s">
        <v>4105</v>
      </c>
      <c r="K512" t="s">
        <v>1776</v>
      </c>
      <c r="L512">
        <v>40</v>
      </c>
      <c r="M512">
        <v>80</v>
      </c>
      <c r="N512" t="s">
        <v>99</v>
      </c>
      <c r="O512" t="s">
        <v>60</v>
      </c>
      <c r="P512">
        <v>2022</v>
      </c>
      <c r="Q512">
        <v>9</v>
      </c>
      <c r="R512">
        <v>15</v>
      </c>
      <c r="S512">
        <v>20</v>
      </c>
      <c r="T512" t="str">
        <f>TEXT(Table1[[#This Row],[Month]],"MMMM")</f>
        <v>January</v>
      </c>
    </row>
    <row r="513" spans="1:20" x14ac:dyDescent="0.25">
      <c r="A513" t="s">
        <v>1777</v>
      </c>
      <c r="B513" t="s">
        <v>2985</v>
      </c>
      <c r="C513" t="s">
        <v>1778</v>
      </c>
      <c r="D513" t="s">
        <v>3356</v>
      </c>
      <c r="E513" s="1">
        <v>43674.895833333336</v>
      </c>
      <c r="F513" s="1" t="str">
        <f t="shared" si="7"/>
        <v>Sunday</v>
      </c>
      <c r="G513" t="s">
        <v>1779</v>
      </c>
      <c r="H513" t="s">
        <v>3888</v>
      </c>
      <c r="I513" t="s">
        <v>875</v>
      </c>
      <c r="J513" t="s">
        <v>4104</v>
      </c>
      <c r="K513" t="s">
        <v>1780</v>
      </c>
      <c r="L513">
        <v>35</v>
      </c>
      <c r="M513">
        <v>70</v>
      </c>
      <c r="N513" t="s">
        <v>99</v>
      </c>
      <c r="O513" t="s">
        <v>60</v>
      </c>
      <c r="P513">
        <v>2019</v>
      </c>
      <c r="Q513">
        <v>7</v>
      </c>
      <c r="R513">
        <v>28</v>
      </c>
      <c r="S513">
        <v>21</v>
      </c>
      <c r="T513" t="str">
        <f>TEXT(Table1[[#This Row],[Month]],"MMMM")</f>
        <v>January</v>
      </c>
    </row>
    <row r="514" spans="1:20" x14ac:dyDescent="0.25">
      <c r="A514" t="s">
        <v>1781</v>
      </c>
      <c r="B514" t="s">
        <v>2986</v>
      </c>
      <c r="C514" t="s">
        <v>1699</v>
      </c>
      <c r="D514" t="s">
        <v>3302</v>
      </c>
      <c r="E514" s="1">
        <v>44326.822916666664</v>
      </c>
      <c r="F514" s="1" t="str">
        <f t="shared" si="7"/>
        <v>Monday</v>
      </c>
      <c r="G514" t="s">
        <v>1782</v>
      </c>
      <c r="H514" t="s">
        <v>3889</v>
      </c>
      <c r="I514" t="s">
        <v>32</v>
      </c>
      <c r="J514" t="s">
        <v>4106</v>
      </c>
      <c r="K514" t="s">
        <v>1783</v>
      </c>
      <c r="L514">
        <v>30</v>
      </c>
      <c r="M514">
        <v>60</v>
      </c>
      <c r="N514" t="s">
        <v>99</v>
      </c>
      <c r="O514" t="s">
        <v>60</v>
      </c>
      <c r="P514">
        <v>2021</v>
      </c>
      <c r="Q514">
        <v>5</v>
      </c>
      <c r="R514">
        <v>10</v>
      </c>
      <c r="S514">
        <v>19</v>
      </c>
      <c r="T514" t="str">
        <f>TEXT(Table1[[#This Row],[Month]],"MMMM")</f>
        <v>January</v>
      </c>
    </row>
    <row r="515" spans="1:20" x14ac:dyDescent="0.25">
      <c r="A515" t="s">
        <v>1784</v>
      </c>
      <c r="B515" t="s">
        <v>2987</v>
      </c>
      <c r="C515" t="s">
        <v>1406</v>
      </c>
      <c r="D515" t="s">
        <v>3264</v>
      </c>
      <c r="E515" s="1">
        <v>43436.927083333336</v>
      </c>
      <c r="F515" s="1" t="str">
        <f t="shared" ref="F515:F578" si="8">TEXT(E515,"DDDD")</f>
        <v>Sunday</v>
      </c>
      <c r="G515" t="s">
        <v>1785</v>
      </c>
      <c r="H515" t="s">
        <v>3890</v>
      </c>
      <c r="I515" t="s">
        <v>27</v>
      </c>
      <c r="J515" t="s">
        <v>4105</v>
      </c>
      <c r="K515" t="s">
        <v>1786</v>
      </c>
      <c r="L515">
        <v>22</v>
      </c>
      <c r="M515">
        <v>45</v>
      </c>
      <c r="N515" t="s">
        <v>110</v>
      </c>
      <c r="O515" t="s">
        <v>3432</v>
      </c>
      <c r="P515">
        <v>2018</v>
      </c>
      <c r="Q515">
        <v>12</v>
      </c>
      <c r="R515">
        <v>2</v>
      </c>
      <c r="S515">
        <v>22</v>
      </c>
      <c r="T515" t="str">
        <f>TEXT(Table1[[#This Row],[Month]],"MMMM")</f>
        <v>January</v>
      </c>
    </row>
    <row r="516" spans="1:20" x14ac:dyDescent="0.25">
      <c r="A516" t="s">
        <v>1787</v>
      </c>
      <c r="B516" t="s">
        <v>2988</v>
      </c>
      <c r="C516" t="s">
        <v>921</v>
      </c>
      <c r="D516" t="s">
        <v>3238</v>
      </c>
      <c r="E516" s="1">
        <v>44061.791666666664</v>
      </c>
      <c r="F516" s="1" t="str">
        <f t="shared" si="8"/>
        <v>Tuesday</v>
      </c>
      <c r="G516" t="s">
        <v>1788</v>
      </c>
      <c r="H516" t="s">
        <v>3891</v>
      </c>
      <c r="I516" t="s">
        <v>875</v>
      </c>
      <c r="J516" t="s">
        <v>4104</v>
      </c>
      <c r="K516" t="s">
        <v>1789</v>
      </c>
      <c r="L516">
        <v>18</v>
      </c>
      <c r="M516">
        <v>35</v>
      </c>
      <c r="N516" t="s">
        <v>110</v>
      </c>
      <c r="O516" t="s">
        <v>3432</v>
      </c>
      <c r="P516">
        <v>2020</v>
      </c>
      <c r="Q516">
        <v>8</v>
      </c>
      <c r="R516">
        <v>18</v>
      </c>
      <c r="S516">
        <v>19</v>
      </c>
      <c r="T516" t="str">
        <f>TEXT(Table1[[#This Row],[Month]],"MMMM")</f>
        <v>January</v>
      </c>
    </row>
    <row r="517" spans="1:20" x14ac:dyDescent="0.25">
      <c r="A517" t="s">
        <v>1790</v>
      </c>
      <c r="B517" t="s">
        <v>2989</v>
      </c>
      <c r="C517" t="s">
        <v>1625</v>
      </c>
      <c r="D517" t="s">
        <v>3216</v>
      </c>
      <c r="E517" s="1">
        <v>42822.854166666664</v>
      </c>
      <c r="F517" s="1" t="str">
        <f t="shared" si="8"/>
        <v>Tuesday</v>
      </c>
      <c r="G517" t="s">
        <v>1791</v>
      </c>
      <c r="H517" t="s">
        <v>3892</v>
      </c>
      <c r="I517" t="s">
        <v>32</v>
      </c>
      <c r="J517" t="s">
        <v>4106</v>
      </c>
      <c r="K517" t="s">
        <v>1792</v>
      </c>
      <c r="L517">
        <v>28</v>
      </c>
      <c r="M517">
        <v>55</v>
      </c>
      <c r="N517" t="s">
        <v>99</v>
      </c>
      <c r="O517" t="s">
        <v>60</v>
      </c>
      <c r="P517">
        <v>2017</v>
      </c>
      <c r="Q517">
        <v>3</v>
      </c>
      <c r="R517">
        <v>28</v>
      </c>
      <c r="S517">
        <v>20</v>
      </c>
      <c r="T517" t="str">
        <f>TEXT(Table1[[#This Row],[Month]],"MMMM")</f>
        <v>January</v>
      </c>
    </row>
    <row r="518" spans="1:20" x14ac:dyDescent="0.25">
      <c r="A518" t="s">
        <v>1793</v>
      </c>
      <c r="B518" t="s">
        <v>2990</v>
      </c>
      <c r="C518" t="s">
        <v>1794</v>
      </c>
      <c r="D518" t="s">
        <v>3357</v>
      </c>
      <c r="E518" s="1">
        <v>44576.885416666664</v>
      </c>
      <c r="F518" s="1" t="str">
        <f t="shared" si="8"/>
        <v>Saturday</v>
      </c>
      <c r="G518" t="s">
        <v>1795</v>
      </c>
      <c r="H518" t="s">
        <v>3893</v>
      </c>
      <c r="I518" t="s">
        <v>27</v>
      </c>
      <c r="J518" t="s">
        <v>4105</v>
      </c>
      <c r="K518" t="s">
        <v>1796</v>
      </c>
      <c r="L518">
        <v>25</v>
      </c>
      <c r="M518">
        <v>50</v>
      </c>
      <c r="N518" t="s">
        <v>99</v>
      </c>
      <c r="O518" t="s">
        <v>60</v>
      </c>
      <c r="P518">
        <v>2022</v>
      </c>
      <c r="Q518">
        <v>1</v>
      </c>
      <c r="R518">
        <v>15</v>
      </c>
      <c r="S518">
        <v>21</v>
      </c>
      <c r="T518" t="str">
        <f>TEXT(Table1[[#This Row],[Month]],"MMMM")</f>
        <v>January</v>
      </c>
    </row>
    <row r="519" spans="1:20" x14ac:dyDescent="0.25">
      <c r="A519" t="s">
        <v>1797</v>
      </c>
      <c r="B519" t="s">
        <v>2991</v>
      </c>
      <c r="C519" t="s">
        <v>1798</v>
      </c>
      <c r="D519" t="s">
        <v>3358</v>
      </c>
      <c r="E519" s="1">
        <v>43626.78125</v>
      </c>
      <c r="F519" s="1" t="str">
        <f t="shared" si="8"/>
        <v>Monday</v>
      </c>
      <c r="G519" t="s">
        <v>1799</v>
      </c>
      <c r="H519" t="s">
        <v>3894</v>
      </c>
      <c r="I519" t="s">
        <v>875</v>
      </c>
      <c r="J519" t="s">
        <v>4104</v>
      </c>
      <c r="K519" t="s">
        <v>1800</v>
      </c>
      <c r="L519">
        <v>22</v>
      </c>
      <c r="M519">
        <v>45</v>
      </c>
      <c r="N519" t="s">
        <v>99</v>
      </c>
      <c r="O519" t="s">
        <v>60</v>
      </c>
      <c r="P519">
        <v>2019</v>
      </c>
      <c r="Q519">
        <v>6</v>
      </c>
      <c r="R519">
        <v>10</v>
      </c>
      <c r="S519">
        <v>18</v>
      </c>
      <c r="T519" t="str">
        <f>TEXT(Table1[[#This Row],[Month]],"MMMM")</f>
        <v>January</v>
      </c>
    </row>
    <row r="520" spans="1:20" x14ac:dyDescent="0.25">
      <c r="A520" t="s">
        <v>1801</v>
      </c>
      <c r="B520" t="s">
        <v>2992</v>
      </c>
      <c r="C520" t="s">
        <v>1802</v>
      </c>
      <c r="D520" t="s">
        <v>3359</v>
      </c>
      <c r="E520" s="1">
        <v>45005.9375</v>
      </c>
      <c r="F520" s="1" t="str">
        <f t="shared" si="8"/>
        <v>Monday</v>
      </c>
      <c r="G520" t="s">
        <v>1803</v>
      </c>
      <c r="H520" t="s">
        <v>3895</v>
      </c>
      <c r="I520" t="s">
        <v>32</v>
      </c>
      <c r="J520" t="s">
        <v>4106</v>
      </c>
      <c r="K520" t="s">
        <v>1804</v>
      </c>
      <c r="L520">
        <v>35</v>
      </c>
      <c r="M520">
        <v>70</v>
      </c>
      <c r="N520" t="s">
        <v>99</v>
      </c>
      <c r="O520" t="s">
        <v>60</v>
      </c>
      <c r="P520">
        <v>2023</v>
      </c>
      <c r="Q520">
        <v>3</v>
      </c>
      <c r="R520">
        <v>20</v>
      </c>
      <c r="S520">
        <v>22</v>
      </c>
      <c r="T520" t="str">
        <f>TEXT(Table1[[#This Row],[Month]],"MMMM")</f>
        <v>January</v>
      </c>
    </row>
    <row r="521" spans="1:20" x14ac:dyDescent="0.25">
      <c r="A521" t="s">
        <v>1805</v>
      </c>
      <c r="B521" t="s">
        <v>2993</v>
      </c>
      <c r="C521" t="s">
        <v>1806</v>
      </c>
      <c r="D521" t="s">
        <v>3240</v>
      </c>
      <c r="E521" s="1">
        <v>42702.791666666664</v>
      </c>
      <c r="F521" s="1" t="str">
        <f t="shared" si="8"/>
        <v>Monday</v>
      </c>
      <c r="G521" t="s">
        <v>1807</v>
      </c>
      <c r="H521" t="s">
        <v>3896</v>
      </c>
      <c r="I521" t="s">
        <v>27</v>
      </c>
      <c r="J521" t="s">
        <v>4105</v>
      </c>
      <c r="K521" t="s">
        <v>1808</v>
      </c>
      <c r="L521">
        <v>30</v>
      </c>
      <c r="M521">
        <v>60</v>
      </c>
      <c r="N521" t="s">
        <v>110</v>
      </c>
      <c r="O521" t="s">
        <v>3432</v>
      </c>
      <c r="P521">
        <v>2016</v>
      </c>
      <c r="Q521">
        <v>11</v>
      </c>
      <c r="R521">
        <v>28</v>
      </c>
      <c r="S521">
        <v>19</v>
      </c>
      <c r="T521" t="str">
        <f>TEXT(Table1[[#This Row],[Month]],"MMMM")</f>
        <v>January</v>
      </c>
    </row>
    <row r="522" spans="1:20" x14ac:dyDescent="0.25">
      <c r="A522" t="s">
        <v>1809</v>
      </c>
      <c r="B522" t="s">
        <v>2994</v>
      </c>
      <c r="C522" t="s">
        <v>1635</v>
      </c>
      <c r="D522" t="s">
        <v>3245</v>
      </c>
      <c r="E522" s="1">
        <v>43317.833333333336</v>
      </c>
      <c r="F522" s="1" t="str">
        <f t="shared" si="8"/>
        <v>Sunday</v>
      </c>
      <c r="G522" t="s">
        <v>1810</v>
      </c>
      <c r="H522" t="s">
        <v>3897</v>
      </c>
      <c r="I522" t="s">
        <v>27</v>
      </c>
      <c r="J522" t="s">
        <v>4105</v>
      </c>
      <c r="K522" t="s">
        <v>1811</v>
      </c>
      <c r="L522">
        <v>40</v>
      </c>
      <c r="M522">
        <v>80</v>
      </c>
      <c r="N522" t="s">
        <v>124</v>
      </c>
      <c r="O522" t="s">
        <v>3401</v>
      </c>
      <c r="P522">
        <v>2018</v>
      </c>
      <c r="Q522">
        <v>8</v>
      </c>
      <c r="R522">
        <v>5</v>
      </c>
      <c r="S522">
        <v>20</v>
      </c>
      <c r="T522" t="str">
        <f>TEXT(Table1[[#This Row],[Month]],"MMMM")</f>
        <v>January</v>
      </c>
    </row>
    <row r="523" spans="1:20" x14ac:dyDescent="0.25">
      <c r="A523" t="s">
        <v>1812</v>
      </c>
      <c r="B523" t="s">
        <v>2995</v>
      </c>
      <c r="C523" t="s">
        <v>1813</v>
      </c>
      <c r="D523" t="s">
        <v>3311</v>
      </c>
      <c r="E523" s="1">
        <v>44301.895833333336</v>
      </c>
      <c r="F523" s="1" t="str">
        <f t="shared" si="8"/>
        <v>Thursday</v>
      </c>
      <c r="G523" t="s">
        <v>1814</v>
      </c>
      <c r="H523" t="s">
        <v>3898</v>
      </c>
      <c r="I523" t="s">
        <v>875</v>
      </c>
      <c r="J523" t="s">
        <v>4104</v>
      </c>
      <c r="K523" t="s">
        <v>1815</v>
      </c>
      <c r="L523">
        <v>35</v>
      </c>
      <c r="M523">
        <v>70</v>
      </c>
      <c r="N523" t="s">
        <v>99</v>
      </c>
      <c r="O523" t="s">
        <v>60</v>
      </c>
      <c r="P523">
        <v>2021</v>
      </c>
      <c r="Q523">
        <v>4</v>
      </c>
      <c r="R523">
        <v>15</v>
      </c>
      <c r="S523">
        <v>21</v>
      </c>
      <c r="T523" t="str">
        <f>TEXT(Table1[[#This Row],[Month]],"MMMM")</f>
        <v>January</v>
      </c>
    </row>
    <row r="524" spans="1:20" x14ac:dyDescent="0.25">
      <c r="A524" t="s">
        <v>1816</v>
      </c>
      <c r="B524" t="s">
        <v>2996</v>
      </c>
      <c r="C524" t="s">
        <v>1774</v>
      </c>
      <c r="D524" t="s">
        <v>3355</v>
      </c>
      <c r="E524" s="1">
        <v>43797.822916666664</v>
      </c>
      <c r="F524" s="1" t="str">
        <f t="shared" si="8"/>
        <v>Thursday</v>
      </c>
      <c r="G524" t="s">
        <v>1817</v>
      </c>
      <c r="H524" t="s">
        <v>3899</v>
      </c>
      <c r="I524" t="s">
        <v>32</v>
      </c>
      <c r="J524" t="s">
        <v>4106</v>
      </c>
      <c r="K524" t="s">
        <v>1818</v>
      </c>
      <c r="L524">
        <v>30</v>
      </c>
      <c r="M524">
        <v>60</v>
      </c>
      <c r="N524" t="s">
        <v>110</v>
      </c>
      <c r="O524" t="s">
        <v>3432</v>
      </c>
      <c r="P524">
        <v>2019</v>
      </c>
      <c r="Q524">
        <v>11</v>
      </c>
      <c r="R524">
        <v>28</v>
      </c>
      <c r="S524">
        <v>19</v>
      </c>
      <c r="T524" t="str">
        <f>TEXT(Table1[[#This Row],[Month]],"MMMM")</f>
        <v>January</v>
      </c>
    </row>
    <row r="525" spans="1:20" x14ac:dyDescent="0.25">
      <c r="A525" t="s">
        <v>1819</v>
      </c>
      <c r="B525" t="s">
        <v>2997</v>
      </c>
      <c r="C525" t="s">
        <v>1820</v>
      </c>
      <c r="D525" t="s">
        <v>3360</v>
      </c>
      <c r="E525" s="1">
        <v>44004.916666666664</v>
      </c>
      <c r="F525" s="1" t="str">
        <f t="shared" si="8"/>
        <v>Monday</v>
      </c>
      <c r="G525" t="s">
        <v>1821</v>
      </c>
      <c r="H525" t="s">
        <v>3900</v>
      </c>
      <c r="I525" t="s">
        <v>27</v>
      </c>
      <c r="J525" t="s">
        <v>4105</v>
      </c>
      <c r="K525" t="s">
        <v>1822</v>
      </c>
      <c r="L525">
        <v>22</v>
      </c>
      <c r="M525">
        <v>45</v>
      </c>
      <c r="N525" t="s">
        <v>99</v>
      </c>
      <c r="O525" t="s">
        <v>60</v>
      </c>
      <c r="P525">
        <v>2020</v>
      </c>
      <c r="Q525">
        <v>6</v>
      </c>
      <c r="R525">
        <v>22</v>
      </c>
      <c r="S525">
        <v>22</v>
      </c>
      <c r="T525" t="str">
        <f>TEXT(Table1[[#This Row],[Month]],"MMMM")</f>
        <v>January</v>
      </c>
    </row>
    <row r="526" spans="1:20" x14ac:dyDescent="0.25">
      <c r="A526" t="s">
        <v>1823</v>
      </c>
      <c r="B526" t="s">
        <v>2998</v>
      </c>
      <c r="C526" t="s">
        <v>1824</v>
      </c>
      <c r="D526" t="s">
        <v>3233</v>
      </c>
      <c r="E526" s="1">
        <v>42988.84375</v>
      </c>
      <c r="F526" s="1" t="str">
        <f t="shared" si="8"/>
        <v>Sunday</v>
      </c>
      <c r="G526" t="s">
        <v>1825</v>
      </c>
      <c r="H526" t="s">
        <v>3901</v>
      </c>
      <c r="I526" t="s">
        <v>875</v>
      </c>
      <c r="J526" t="s">
        <v>4104</v>
      </c>
      <c r="K526" t="s">
        <v>1826</v>
      </c>
      <c r="L526">
        <v>18</v>
      </c>
      <c r="M526">
        <v>35</v>
      </c>
      <c r="N526" t="s">
        <v>99</v>
      </c>
      <c r="O526" t="s">
        <v>60</v>
      </c>
      <c r="P526">
        <v>2017</v>
      </c>
      <c r="Q526">
        <v>9</v>
      </c>
      <c r="R526">
        <v>10</v>
      </c>
      <c r="S526">
        <v>20</v>
      </c>
      <c r="T526" t="str">
        <f>TEXT(Table1[[#This Row],[Month]],"MMMM")</f>
        <v>January</v>
      </c>
    </row>
    <row r="527" spans="1:20" x14ac:dyDescent="0.25">
      <c r="A527" t="s">
        <v>1827</v>
      </c>
      <c r="B527" t="s">
        <v>2999</v>
      </c>
      <c r="C527" t="s">
        <v>1828</v>
      </c>
      <c r="D527" t="s">
        <v>3361</v>
      </c>
      <c r="E527" s="1">
        <v>44620.885416666664</v>
      </c>
      <c r="F527" s="1" t="str">
        <f t="shared" si="8"/>
        <v>Monday</v>
      </c>
      <c r="G527" t="s">
        <v>1829</v>
      </c>
      <c r="H527" t="s">
        <v>3902</v>
      </c>
      <c r="I527" t="s">
        <v>32</v>
      </c>
      <c r="J527" t="s">
        <v>4106</v>
      </c>
      <c r="K527" t="s">
        <v>1830</v>
      </c>
      <c r="L527">
        <v>28</v>
      </c>
      <c r="M527">
        <v>55</v>
      </c>
      <c r="N527" t="s">
        <v>1831</v>
      </c>
      <c r="O527" t="s">
        <v>3426</v>
      </c>
      <c r="P527">
        <v>2022</v>
      </c>
      <c r="Q527">
        <v>2</v>
      </c>
      <c r="R527">
        <v>28</v>
      </c>
      <c r="S527">
        <v>21</v>
      </c>
      <c r="T527" t="str">
        <f>TEXT(Table1[[#This Row],[Month]],"MMMM")</f>
        <v>January</v>
      </c>
    </row>
    <row r="528" spans="1:20" x14ac:dyDescent="0.25">
      <c r="A528" t="s">
        <v>1832</v>
      </c>
      <c r="B528" t="s">
        <v>3000</v>
      </c>
      <c r="C528" t="s">
        <v>1833</v>
      </c>
      <c r="D528" t="s">
        <v>3362</v>
      </c>
      <c r="E528" s="1">
        <v>42505.8125</v>
      </c>
      <c r="F528" s="1" t="str">
        <f t="shared" si="8"/>
        <v>Sunday</v>
      </c>
      <c r="G528" t="s">
        <v>1834</v>
      </c>
      <c r="H528" t="s">
        <v>3903</v>
      </c>
      <c r="I528" t="s">
        <v>27</v>
      </c>
      <c r="J528" t="s">
        <v>4105</v>
      </c>
      <c r="K528" t="s">
        <v>1835</v>
      </c>
      <c r="L528">
        <v>25</v>
      </c>
      <c r="M528">
        <v>50</v>
      </c>
      <c r="N528" t="s">
        <v>1836</v>
      </c>
      <c r="O528" t="s">
        <v>3427</v>
      </c>
      <c r="P528">
        <v>2016</v>
      </c>
      <c r="Q528">
        <v>5</v>
      </c>
      <c r="R528">
        <v>15</v>
      </c>
      <c r="S528">
        <v>19</v>
      </c>
      <c r="T528" t="str">
        <f>TEXT(Table1[[#This Row],[Month]],"MMMM")</f>
        <v>January</v>
      </c>
    </row>
    <row r="529" spans="1:20" x14ac:dyDescent="0.25">
      <c r="A529" t="s">
        <v>1837</v>
      </c>
      <c r="B529" t="s">
        <v>3001</v>
      </c>
      <c r="C529" t="s">
        <v>1838</v>
      </c>
      <c r="D529" t="s">
        <v>3363</v>
      </c>
      <c r="E529" s="1">
        <v>43444.9375</v>
      </c>
      <c r="F529" s="1" t="str">
        <f t="shared" si="8"/>
        <v>Monday</v>
      </c>
      <c r="G529" t="s">
        <v>1839</v>
      </c>
      <c r="H529" t="s">
        <v>3904</v>
      </c>
      <c r="I529" t="s">
        <v>875</v>
      </c>
      <c r="J529" t="s">
        <v>4104</v>
      </c>
      <c r="K529" t="s">
        <v>1840</v>
      </c>
      <c r="L529">
        <v>22</v>
      </c>
      <c r="M529">
        <v>45</v>
      </c>
      <c r="N529" t="s">
        <v>99</v>
      </c>
      <c r="O529" t="s">
        <v>60</v>
      </c>
      <c r="P529">
        <v>2018</v>
      </c>
      <c r="Q529">
        <v>12</v>
      </c>
      <c r="R529">
        <v>10</v>
      </c>
      <c r="S529">
        <v>22</v>
      </c>
      <c r="T529" t="str">
        <f>TEXT(Table1[[#This Row],[Month]],"MMMM")</f>
        <v>January</v>
      </c>
    </row>
    <row r="530" spans="1:20" x14ac:dyDescent="0.25">
      <c r="A530" t="s">
        <v>1841</v>
      </c>
      <c r="B530" t="s">
        <v>3002</v>
      </c>
      <c r="C530" t="s">
        <v>1842</v>
      </c>
      <c r="D530" t="s">
        <v>3236</v>
      </c>
      <c r="E530" s="1">
        <v>44948.833333333336</v>
      </c>
      <c r="F530" s="1" t="str">
        <f t="shared" si="8"/>
        <v>Sunday</v>
      </c>
      <c r="G530" t="s">
        <v>1843</v>
      </c>
      <c r="H530" t="s">
        <v>3905</v>
      </c>
      <c r="I530" t="s">
        <v>32</v>
      </c>
      <c r="J530" t="s">
        <v>4106</v>
      </c>
      <c r="K530" t="s">
        <v>1844</v>
      </c>
      <c r="L530">
        <v>35</v>
      </c>
      <c r="M530">
        <v>70</v>
      </c>
      <c r="N530" t="s">
        <v>99</v>
      </c>
      <c r="O530" t="s">
        <v>60</v>
      </c>
      <c r="P530">
        <v>2023</v>
      </c>
      <c r="Q530">
        <v>1</v>
      </c>
      <c r="R530">
        <v>22</v>
      </c>
      <c r="S530">
        <v>20</v>
      </c>
      <c r="T530" t="str">
        <f>TEXT(Table1[[#This Row],[Month]],"MMMM")</f>
        <v>January</v>
      </c>
    </row>
    <row r="531" spans="1:20" x14ac:dyDescent="0.25">
      <c r="A531" t="s">
        <v>1845</v>
      </c>
      <c r="B531" t="s">
        <v>3003</v>
      </c>
      <c r="C531" t="s">
        <v>1846</v>
      </c>
      <c r="D531" t="s">
        <v>3364</v>
      </c>
      <c r="E531" s="1">
        <v>43895.78125</v>
      </c>
      <c r="F531" s="1" t="str">
        <f t="shared" si="8"/>
        <v>Thursday</v>
      </c>
      <c r="G531" t="s">
        <v>1847</v>
      </c>
      <c r="H531" t="s">
        <v>3906</v>
      </c>
      <c r="I531" t="s">
        <v>27</v>
      </c>
      <c r="J531" t="s">
        <v>4105</v>
      </c>
      <c r="K531" t="s">
        <v>1848</v>
      </c>
      <c r="L531">
        <v>30</v>
      </c>
      <c r="M531">
        <v>60</v>
      </c>
      <c r="N531" t="s">
        <v>1849</v>
      </c>
      <c r="O531" t="s">
        <v>3428</v>
      </c>
      <c r="P531">
        <v>2020</v>
      </c>
      <c r="Q531">
        <v>3</v>
      </c>
      <c r="R531">
        <v>5</v>
      </c>
      <c r="S531">
        <v>18</v>
      </c>
      <c r="T531" t="str">
        <f>TEXT(Table1[[#This Row],[Month]],"MMMM")</f>
        <v>January</v>
      </c>
    </row>
    <row r="532" spans="1:20" x14ac:dyDescent="0.25">
      <c r="A532" t="s">
        <v>1850</v>
      </c>
      <c r="B532" t="s">
        <v>3004</v>
      </c>
      <c r="C532" t="s">
        <v>389</v>
      </c>
      <c r="D532" t="s">
        <v>3231</v>
      </c>
      <c r="E532" s="1">
        <v>43385.833333333336</v>
      </c>
      <c r="F532" s="1" t="str">
        <f t="shared" si="8"/>
        <v>Friday</v>
      </c>
      <c r="G532" t="s">
        <v>1851</v>
      </c>
      <c r="H532" t="s">
        <v>3907</v>
      </c>
      <c r="I532" t="s">
        <v>875</v>
      </c>
      <c r="J532" t="s">
        <v>4104</v>
      </c>
      <c r="K532" t="s">
        <v>1852</v>
      </c>
      <c r="L532">
        <v>40</v>
      </c>
      <c r="M532">
        <v>80</v>
      </c>
      <c r="N532" t="s">
        <v>99</v>
      </c>
      <c r="O532" t="s">
        <v>60</v>
      </c>
      <c r="P532">
        <v>2018</v>
      </c>
      <c r="Q532">
        <v>10</v>
      </c>
      <c r="R532">
        <v>12</v>
      </c>
      <c r="S532">
        <v>20</v>
      </c>
      <c r="T532" t="str">
        <f>TEXT(Table1[[#This Row],[Month]],"MMMM")</f>
        <v>January</v>
      </c>
    </row>
    <row r="533" spans="1:20" x14ac:dyDescent="0.25">
      <c r="A533" t="s">
        <v>1853</v>
      </c>
      <c r="B533" t="s">
        <v>3005</v>
      </c>
      <c r="C533" t="s">
        <v>1406</v>
      </c>
      <c r="D533" t="s">
        <v>3264</v>
      </c>
      <c r="E533" s="1">
        <v>43641.927083333336</v>
      </c>
      <c r="F533" s="1" t="str">
        <f t="shared" si="8"/>
        <v>Tuesday</v>
      </c>
      <c r="G533" t="s">
        <v>1854</v>
      </c>
      <c r="H533" t="s">
        <v>3908</v>
      </c>
      <c r="I533" t="s">
        <v>27</v>
      </c>
      <c r="J533" t="s">
        <v>4105</v>
      </c>
      <c r="K533" t="s">
        <v>1855</v>
      </c>
      <c r="L533">
        <v>35</v>
      </c>
      <c r="M533">
        <v>70</v>
      </c>
      <c r="N533" t="s">
        <v>110</v>
      </c>
      <c r="O533" t="s">
        <v>3432</v>
      </c>
      <c r="P533">
        <v>2019</v>
      </c>
      <c r="Q533">
        <v>6</v>
      </c>
      <c r="R533">
        <v>25</v>
      </c>
      <c r="S533">
        <v>22</v>
      </c>
      <c r="T533" t="str">
        <f>TEXT(Table1[[#This Row],[Month]],"MMMM")</f>
        <v>January</v>
      </c>
    </row>
    <row r="534" spans="1:20" x14ac:dyDescent="0.25">
      <c r="A534" t="s">
        <v>1856</v>
      </c>
      <c r="B534" t="s">
        <v>3006</v>
      </c>
      <c r="C534" t="s">
        <v>1857</v>
      </c>
      <c r="D534" t="s">
        <v>3365</v>
      </c>
      <c r="E534" s="1">
        <v>44020.8125</v>
      </c>
      <c r="F534" s="1" t="str">
        <f t="shared" si="8"/>
        <v>Wednesday</v>
      </c>
      <c r="G534" t="s">
        <v>1858</v>
      </c>
      <c r="H534" t="s">
        <v>3909</v>
      </c>
      <c r="I534" t="s">
        <v>32</v>
      </c>
      <c r="J534" t="s">
        <v>4106</v>
      </c>
      <c r="K534" t="s">
        <v>1859</v>
      </c>
      <c r="L534">
        <v>30</v>
      </c>
      <c r="M534">
        <v>60</v>
      </c>
      <c r="N534" t="s">
        <v>124</v>
      </c>
      <c r="O534" t="s">
        <v>3401</v>
      </c>
      <c r="P534">
        <v>2020</v>
      </c>
      <c r="Q534">
        <v>7</v>
      </c>
      <c r="R534">
        <v>8</v>
      </c>
      <c r="S534">
        <v>19</v>
      </c>
      <c r="T534" t="str">
        <f>TEXT(Table1[[#This Row],[Month]],"MMMM")</f>
        <v>January</v>
      </c>
    </row>
    <row r="535" spans="1:20" x14ac:dyDescent="0.25">
      <c r="A535" t="s">
        <v>1860</v>
      </c>
      <c r="B535" t="s">
        <v>3007</v>
      </c>
      <c r="C535" t="s">
        <v>1824</v>
      </c>
      <c r="D535" t="s">
        <v>3233</v>
      </c>
      <c r="E535" s="1">
        <v>42996.90625</v>
      </c>
      <c r="F535" s="1" t="str">
        <f t="shared" si="8"/>
        <v>Monday</v>
      </c>
      <c r="G535" t="s">
        <v>1861</v>
      </c>
      <c r="H535" t="s">
        <v>3910</v>
      </c>
      <c r="I535" t="s">
        <v>875</v>
      </c>
      <c r="J535" t="s">
        <v>4104</v>
      </c>
      <c r="K535" t="s">
        <v>1862</v>
      </c>
      <c r="L535">
        <v>22</v>
      </c>
      <c r="M535">
        <v>45</v>
      </c>
      <c r="N535" t="s">
        <v>39</v>
      </c>
      <c r="O535" t="s">
        <v>3402</v>
      </c>
      <c r="P535">
        <v>2017</v>
      </c>
      <c r="Q535">
        <v>9</v>
      </c>
      <c r="R535">
        <v>18</v>
      </c>
      <c r="S535">
        <v>21</v>
      </c>
      <c r="T535" t="str">
        <f>TEXT(Table1[[#This Row],[Month]],"MMMM")</f>
        <v>January</v>
      </c>
    </row>
    <row r="536" spans="1:20" x14ac:dyDescent="0.25">
      <c r="A536" t="s">
        <v>1863</v>
      </c>
      <c r="B536" t="s">
        <v>3008</v>
      </c>
      <c r="C536" t="s">
        <v>1864</v>
      </c>
      <c r="D536" t="s">
        <v>3366</v>
      </c>
      <c r="E536" s="1">
        <v>44211.75</v>
      </c>
      <c r="F536" s="1" t="str">
        <f t="shared" si="8"/>
        <v>Friday</v>
      </c>
      <c r="G536" t="s">
        <v>1865</v>
      </c>
      <c r="H536" t="s">
        <v>3911</v>
      </c>
      <c r="I536" t="s">
        <v>27</v>
      </c>
      <c r="J536" t="s">
        <v>4105</v>
      </c>
      <c r="K536" t="s">
        <v>1866</v>
      </c>
      <c r="L536">
        <v>28</v>
      </c>
      <c r="M536">
        <v>55</v>
      </c>
      <c r="N536" t="s">
        <v>165</v>
      </c>
      <c r="O536" t="s">
        <v>3403</v>
      </c>
      <c r="P536">
        <v>2021</v>
      </c>
      <c r="Q536">
        <v>1</v>
      </c>
      <c r="R536">
        <v>15</v>
      </c>
      <c r="S536">
        <v>18</v>
      </c>
      <c r="T536" t="str">
        <f>TEXT(Table1[[#This Row],[Month]],"MMMM")</f>
        <v>January</v>
      </c>
    </row>
    <row r="537" spans="1:20" x14ac:dyDescent="0.25">
      <c r="A537" t="s">
        <v>1867</v>
      </c>
      <c r="B537" t="s">
        <v>3009</v>
      </c>
      <c r="C537" t="s">
        <v>1639</v>
      </c>
      <c r="D537" t="s">
        <v>3239</v>
      </c>
      <c r="E537" s="1">
        <v>42428.854166666664</v>
      </c>
      <c r="F537" s="1" t="str">
        <f t="shared" si="8"/>
        <v>Sunday</v>
      </c>
      <c r="G537" t="s">
        <v>1868</v>
      </c>
      <c r="H537" t="s">
        <v>3912</v>
      </c>
      <c r="I537" t="s">
        <v>32</v>
      </c>
      <c r="J537" t="s">
        <v>4106</v>
      </c>
      <c r="K537" t="s">
        <v>1869</v>
      </c>
      <c r="L537">
        <v>18</v>
      </c>
      <c r="M537">
        <v>35</v>
      </c>
      <c r="N537" t="s">
        <v>99</v>
      </c>
      <c r="O537" t="s">
        <v>60</v>
      </c>
      <c r="P537">
        <v>2016</v>
      </c>
      <c r="Q537">
        <v>2</v>
      </c>
      <c r="R537">
        <v>28</v>
      </c>
      <c r="S537">
        <v>20</v>
      </c>
      <c r="T537" t="str">
        <f>TEXT(Table1[[#This Row],[Month]],"MMMM")</f>
        <v>January</v>
      </c>
    </row>
    <row r="538" spans="1:20" x14ac:dyDescent="0.25">
      <c r="A538" t="s">
        <v>1870</v>
      </c>
      <c r="B538" t="s">
        <v>3010</v>
      </c>
      <c r="C538" t="s">
        <v>1309</v>
      </c>
      <c r="D538" t="s">
        <v>3290</v>
      </c>
      <c r="E538" s="1">
        <v>44671.729166666664</v>
      </c>
      <c r="F538" s="1" t="str">
        <f t="shared" si="8"/>
        <v>Wednesday</v>
      </c>
      <c r="G538" t="s">
        <v>1871</v>
      </c>
      <c r="H538" t="s">
        <v>3913</v>
      </c>
      <c r="I538" t="s">
        <v>875</v>
      </c>
      <c r="J538" t="s">
        <v>4104</v>
      </c>
      <c r="K538" t="s">
        <v>1872</v>
      </c>
      <c r="L538">
        <v>22</v>
      </c>
      <c r="M538">
        <v>45</v>
      </c>
      <c r="N538" t="s">
        <v>1545</v>
      </c>
      <c r="O538" t="s">
        <v>3404</v>
      </c>
      <c r="P538">
        <v>2022</v>
      </c>
      <c r="Q538">
        <v>4</v>
      </c>
      <c r="R538">
        <v>20</v>
      </c>
      <c r="S538">
        <v>17</v>
      </c>
      <c r="T538" t="str">
        <f>TEXT(Table1[[#This Row],[Month]],"MMMM")</f>
        <v>January</v>
      </c>
    </row>
    <row r="539" spans="1:20" x14ac:dyDescent="0.25">
      <c r="A539" t="s">
        <v>1873</v>
      </c>
      <c r="B539" t="s">
        <v>3011</v>
      </c>
      <c r="C539" t="s">
        <v>1163</v>
      </c>
      <c r="D539" t="s">
        <v>3292</v>
      </c>
      <c r="E539" s="1">
        <v>43774.885416666664</v>
      </c>
      <c r="F539" s="1" t="str">
        <f t="shared" si="8"/>
        <v>Tuesday</v>
      </c>
      <c r="G539" t="s">
        <v>1874</v>
      </c>
      <c r="H539" t="s">
        <v>3914</v>
      </c>
      <c r="I539" t="s">
        <v>27</v>
      </c>
      <c r="J539" t="s">
        <v>4105</v>
      </c>
      <c r="K539" t="s">
        <v>1875</v>
      </c>
      <c r="L539">
        <v>28</v>
      </c>
      <c r="M539">
        <v>55</v>
      </c>
      <c r="N539" t="s">
        <v>1536</v>
      </c>
      <c r="O539" t="s">
        <v>3408</v>
      </c>
      <c r="P539">
        <v>2019</v>
      </c>
      <c r="Q539">
        <v>11</v>
      </c>
      <c r="R539">
        <v>5</v>
      </c>
      <c r="S539">
        <v>21</v>
      </c>
      <c r="T539" t="str">
        <f>TEXT(Table1[[#This Row],[Month]],"MMMM")</f>
        <v>January</v>
      </c>
    </row>
    <row r="540" spans="1:20" x14ac:dyDescent="0.25">
      <c r="A540" t="s">
        <v>1876</v>
      </c>
      <c r="B540" t="s">
        <v>3012</v>
      </c>
      <c r="C540" t="s">
        <v>1877</v>
      </c>
      <c r="D540" t="s">
        <v>3367</v>
      </c>
      <c r="E540" s="1">
        <v>42197.916666666664</v>
      </c>
      <c r="F540" s="1" t="str">
        <f t="shared" si="8"/>
        <v>Sunday</v>
      </c>
      <c r="G540" t="s">
        <v>1878</v>
      </c>
      <c r="H540" t="s">
        <v>3915</v>
      </c>
      <c r="I540" t="s">
        <v>32</v>
      </c>
      <c r="J540" t="s">
        <v>4106</v>
      </c>
      <c r="K540" t="s">
        <v>1879</v>
      </c>
      <c r="L540">
        <v>35</v>
      </c>
      <c r="M540">
        <v>70</v>
      </c>
      <c r="N540" t="s">
        <v>1558</v>
      </c>
      <c r="O540" t="s">
        <v>3406</v>
      </c>
      <c r="P540">
        <v>2015</v>
      </c>
      <c r="Q540">
        <v>7</v>
      </c>
      <c r="R540">
        <v>12</v>
      </c>
      <c r="S540">
        <v>22</v>
      </c>
      <c r="T540" t="str">
        <f>TEXT(Table1[[#This Row],[Month]],"MMMM")</f>
        <v>January</v>
      </c>
    </row>
    <row r="541" spans="1:20" x14ac:dyDescent="0.25">
      <c r="A541" t="s">
        <v>1880</v>
      </c>
      <c r="B541" t="s">
        <v>3013</v>
      </c>
      <c r="C541" t="s">
        <v>1881</v>
      </c>
      <c r="D541" t="s">
        <v>3294</v>
      </c>
      <c r="E541" s="1">
        <v>44084.822916666664</v>
      </c>
      <c r="F541" s="1" t="str">
        <f t="shared" si="8"/>
        <v>Thursday</v>
      </c>
      <c r="G541" t="s">
        <v>1882</v>
      </c>
      <c r="H541" t="s">
        <v>3916</v>
      </c>
      <c r="I541" t="s">
        <v>875</v>
      </c>
      <c r="J541" t="s">
        <v>4104</v>
      </c>
      <c r="K541" t="s">
        <v>1883</v>
      </c>
      <c r="L541">
        <v>22</v>
      </c>
      <c r="M541">
        <v>45</v>
      </c>
      <c r="N541" t="s">
        <v>1540</v>
      </c>
      <c r="O541" t="s">
        <v>3405</v>
      </c>
      <c r="P541">
        <v>2020</v>
      </c>
      <c r="Q541">
        <v>9</v>
      </c>
      <c r="R541">
        <v>10</v>
      </c>
      <c r="S541">
        <v>19</v>
      </c>
      <c r="T541" t="str">
        <f>TEXT(Table1[[#This Row],[Month]],"MMMM")</f>
        <v>January</v>
      </c>
    </row>
    <row r="542" spans="1:20" x14ac:dyDescent="0.25">
      <c r="A542" t="s">
        <v>1884</v>
      </c>
      <c r="B542" t="s">
        <v>3014</v>
      </c>
      <c r="C542" t="s">
        <v>1625</v>
      </c>
      <c r="D542" t="s">
        <v>3216</v>
      </c>
      <c r="E542" s="1">
        <v>43296.895833333336</v>
      </c>
      <c r="F542" s="1" t="str">
        <f t="shared" si="8"/>
        <v>Sunday</v>
      </c>
      <c r="G542" t="s">
        <v>1885</v>
      </c>
      <c r="H542" t="s">
        <v>3917</v>
      </c>
      <c r="I542" t="s">
        <v>27</v>
      </c>
      <c r="J542" t="s">
        <v>4105</v>
      </c>
      <c r="K542" t="s">
        <v>1886</v>
      </c>
      <c r="L542">
        <v>40</v>
      </c>
      <c r="M542">
        <v>80</v>
      </c>
      <c r="N542" t="s">
        <v>1540</v>
      </c>
      <c r="O542" t="s">
        <v>3405</v>
      </c>
      <c r="P542">
        <v>2018</v>
      </c>
      <c r="Q542">
        <v>7</v>
      </c>
      <c r="R542">
        <v>15</v>
      </c>
      <c r="S542">
        <v>21</v>
      </c>
      <c r="T542" t="str">
        <f>TEXT(Table1[[#This Row],[Month]],"MMMM")</f>
        <v>January</v>
      </c>
    </row>
    <row r="543" spans="1:20" x14ac:dyDescent="0.25">
      <c r="A543" t="s">
        <v>1887</v>
      </c>
      <c r="B543" t="s">
        <v>3015</v>
      </c>
      <c r="C543" t="s">
        <v>1309</v>
      </c>
      <c r="D543" t="s">
        <v>3290</v>
      </c>
      <c r="E543" s="1">
        <v>44051.822916666664</v>
      </c>
      <c r="F543" s="1" t="str">
        <f t="shared" si="8"/>
        <v>Saturday</v>
      </c>
      <c r="G543" t="s">
        <v>1888</v>
      </c>
      <c r="H543" t="s">
        <v>3918</v>
      </c>
      <c r="I543" t="s">
        <v>875</v>
      </c>
      <c r="J543" t="s">
        <v>4104</v>
      </c>
      <c r="K543" t="s">
        <v>1889</v>
      </c>
      <c r="L543">
        <v>35</v>
      </c>
      <c r="M543">
        <v>70</v>
      </c>
      <c r="N543" t="s">
        <v>99</v>
      </c>
      <c r="O543" t="s">
        <v>60</v>
      </c>
      <c r="P543">
        <v>2020</v>
      </c>
      <c r="Q543">
        <v>8</v>
      </c>
      <c r="R543">
        <v>8</v>
      </c>
      <c r="S543">
        <v>19</v>
      </c>
      <c r="T543" t="str">
        <f>TEXT(Table1[[#This Row],[Month]],"MMMM")</f>
        <v>January</v>
      </c>
    </row>
    <row r="544" spans="1:20" x14ac:dyDescent="0.25">
      <c r="A544" t="s">
        <v>1890</v>
      </c>
      <c r="B544" t="s">
        <v>3016</v>
      </c>
      <c r="C544" t="s">
        <v>389</v>
      </c>
      <c r="D544" t="s">
        <v>3231</v>
      </c>
      <c r="E544" s="1">
        <v>43641.927083333336</v>
      </c>
      <c r="F544" s="1" t="str">
        <f t="shared" si="8"/>
        <v>Tuesday</v>
      </c>
      <c r="G544" t="s">
        <v>1891</v>
      </c>
      <c r="H544" t="s">
        <v>3919</v>
      </c>
      <c r="I544" t="s">
        <v>32</v>
      </c>
      <c r="J544" t="s">
        <v>4106</v>
      </c>
      <c r="K544" t="s">
        <v>1892</v>
      </c>
      <c r="L544">
        <v>30</v>
      </c>
      <c r="M544">
        <v>60</v>
      </c>
      <c r="N544" t="s">
        <v>165</v>
      </c>
      <c r="O544" t="s">
        <v>3403</v>
      </c>
      <c r="P544">
        <v>2019</v>
      </c>
      <c r="Q544">
        <v>6</v>
      </c>
      <c r="R544">
        <v>25</v>
      </c>
      <c r="S544">
        <v>22</v>
      </c>
      <c r="T544" t="str">
        <f>TEXT(Table1[[#This Row],[Month]],"MMMM")</f>
        <v>January</v>
      </c>
    </row>
    <row r="545" spans="1:20" x14ac:dyDescent="0.25">
      <c r="A545" t="s">
        <v>1893</v>
      </c>
      <c r="B545" t="s">
        <v>3017</v>
      </c>
      <c r="C545" t="s">
        <v>1894</v>
      </c>
      <c r="D545" t="s">
        <v>3220</v>
      </c>
      <c r="E545" s="1">
        <v>44507.729166666664</v>
      </c>
      <c r="F545" s="1" t="str">
        <f t="shared" si="8"/>
        <v>Sunday</v>
      </c>
      <c r="G545" t="s">
        <v>1895</v>
      </c>
      <c r="H545" t="s">
        <v>3920</v>
      </c>
      <c r="I545" t="s">
        <v>27</v>
      </c>
      <c r="J545" t="s">
        <v>4105</v>
      </c>
      <c r="K545" t="s">
        <v>1896</v>
      </c>
      <c r="L545">
        <v>22</v>
      </c>
      <c r="M545">
        <v>45</v>
      </c>
      <c r="N545" t="s">
        <v>1897</v>
      </c>
      <c r="O545" t="s">
        <v>3429</v>
      </c>
      <c r="P545">
        <v>2021</v>
      </c>
      <c r="Q545">
        <v>11</v>
      </c>
      <c r="R545">
        <v>7</v>
      </c>
      <c r="S545">
        <v>17</v>
      </c>
      <c r="T545" t="str">
        <f>TEXT(Table1[[#This Row],[Month]],"MMMM")</f>
        <v>January</v>
      </c>
    </row>
    <row r="546" spans="1:20" x14ac:dyDescent="0.25">
      <c r="A546" t="s">
        <v>1898</v>
      </c>
      <c r="B546" t="s">
        <v>3018</v>
      </c>
      <c r="C546" t="s">
        <v>1738</v>
      </c>
      <c r="D546" t="s">
        <v>3352</v>
      </c>
      <c r="E546" s="1">
        <v>42988.84375</v>
      </c>
      <c r="F546" s="1" t="str">
        <f t="shared" si="8"/>
        <v>Sunday</v>
      </c>
      <c r="G546" t="s">
        <v>1899</v>
      </c>
      <c r="H546" t="s">
        <v>3921</v>
      </c>
      <c r="I546" t="s">
        <v>875</v>
      </c>
      <c r="J546" t="s">
        <v>4104</v>
      </c>
      <c r="K546" t="s">
        <v>1900</v>
      </c>
      <c r="L546">
        <v>28</v>
      </c>
      <c r="M546">
        <v>55</v>
      </c>
      <c r="N546" t="s">
        <v>110</v>
      </c>
      <c r="O546" t="s">
        <v>3432</v>
      </c>
      <c r="P546">
        <v>2017</v>
      </c>
      <c r="Q546">
        <v>9</v>
      </c>
      <c r="R546">
        <v>10</v>
      </c>
      <c r="S546">
        <v>20</v>
      </c>
      <c r="T546" t="str">
        <f>TEXT(Table1[[#This Row],[Month]],"MMMM")</f>
        <v>January</v>
      </c>
    </row>
    <row r="547" spans="1:20" x14ac:dyDescent="0.25">
      <c r="A547" t="s">
        <v>1901</v>
      </c>
      <c r="B547" t="s">
        <v>3019</v>
      </c>
      <c r="C547" t="s">
        <v>1902</v>
      </c>
      <c r="D547" t="s">
        <v>3368</v>
      </c>
      <c r="E547" s="1">
        <v>44732.875</v>
      </c>
      <c r="F547" s="1" t="str">
        <f t="shared" si="8"/>
        <v>Monday</v>
      </c>
      <c r="G547" t="s">
        <v>1903</v>
      </c>
      <c r="H547" t="s">
        <v>3922</v>
      </c>
      <c r="I547" t="s">
        <v>32</v>
      </c>
      <c r="J547" t="s">
        <v>4106</v>
      </c>
      <c r="K547" t="s">
        <v>1904</v>
      </c>
      <c r="L547">
        <v>18</v>
      </c>
      <c r="M547">
        <v>35</v>
      </c>
      <c r="N547" t="s">
        <v>99</v>
      </c>
      <c r="O547" t="s">
        <v>60</v>
      </c>
      <c r="P547">
        <v>2022</v>
      </c>
      <c r="Q547">
        <v>6</v>
      </c>
      <c r="R547">
        <v>20</v>
      </c>
      <c r="S547">
        <v>21</v>
      </c>
      <c r="T547" t="str">
        <f>TEXT(Table1[[#This Row],[Month]],"MMMM")</f>
        <v>January</v>
      </c>
    </row>
    <row r="548" spans="1:20" x14ac:dyDescent="0.25">
      <c r="A548" t="s">
        <v>1905</v>
      </c>
      <c r="B548" t="s">
        <v>3020</v>
      </c>
      <c r="C548" t="s">
        <v>1714</v>
      </c>
      <c r="D548" t="s">
        <v>3222</v>
      </c>
      <c r="E548" s="1">
        <v>42470.770833333336</v>
      </c>
      <c r="F548" s="1" t="str">
        <f t="shared" si="8"/>
        <v>Sunday</v>
      </c>
      <c r="G548" t="s">
        <v>1906</v>
      </c>
      <c r="H548" t="s">
        <v>3923</v>
      </c>
      <c r="I548" t="s">
        <v>27</v>
      </c>
      <c r="J548" t="s">
        <v>4105</v>
      </c>
      <c r="K548" t="s">
        <v>1907</v>
      </c>
      <c r="L548">
        <v>22</v>
      </c>
      <c r="M548">
        <v>45</v>
      </c>
      <c r="N548" t="s">
        <v>1908</v>
      </c>
      <c r="O548" t="s">
        <v>3430</v>
      </c>
      <c r="P548">
        <v>2016</v>
      </c>
      <c r="Q548">
        <v>4</v>
      </c>
      <c r="R548">
        <v>10</v>
      </c>
      <c r="S548">
        <v>18</v>
      </c>
      <c r="T548" t="str">
        <f>TEXT(Table1[[#This Row],[Month]],"MMMM")</f>
        <v>January</v>
      </c>
    </row>
    <row r="549" spans="1:20" x14ac:dyDescent="0.25">
      <c r="A549" t="s">
        <v>1909</v>
      </c>
      <c r="B549" t="s">
        <v>3021</v>
      </c>
      <c r="C549" t="s">
        <v>1691</v>
      </c>
      <c r="D549" t="s">
        <v>3287</v>
      </c>
      <c r="E549" s="1">
        <v>43793.822916666664</v>
      </c>
      <c r="F549" s="1" t="str">
        <f t="shared" si="8"/>
        <v>Sunday</v>
      </c>
      <c r="G549" t="s">
        <v>1910</v>
      </c>
      <c r="H549" t="s">
        <v>3924</v>
      </c>
      <c r="I549" t="s">
        <v>875</v>
      </c>
      <c r="J549" t="s">
        <v>4104</v>
      </c>
      <c r="K549" t="s">
        <v>1911</v>
      </c>
      <c r="L549">
        <v>28</v>
      </c>
      <c r="M549">
        <v>55</v>
      </c>
      <c r="N549" t="s">
        <v>1536</v>
      </c>
      <c r="O549" t="s">
        <v>3408</v>
      </c>
      <c r="P549">
        <v>2019</v>
      </c>
      <c r="Q549">
        <v>11</v>
      </c>
      <c r="R549">
        <v>24</v>
      </c>
      <c r="S549">
        <v>19</v>
      </c>
      <c r="T549" t="str">
        <f>TEXT(Table1[[#This Row],[Month]],"MMMM")</f>
        <v>January</v>
      </c>
    </row>
    <row r="550" spans="1:20" x14ac:dyDescent="0.25">
      <c r="A550" t="s">
        <v>1912</v>
      </c>
      <c r="B550" t="s">
        <v>3022</v>
      </c>
      <c r="C550" t="s">
        <v>1094</v>
      </c>
      <c r="D550" t="s">
        <v>3266</v>
      </c>
      <c r="E550" s="1">
        <v>42275.9375</v>
      </c>
      <c r="F550" s="1" t="str">
        <f t="shared" si="8"/>
        <v>Monday</v>
      </c>
      <c r="G550" t="s">
        <v>1913</v>
      </c>
      <c r="H550" t="s">
        <v>3925</v>
      </c>
      <c r="I550" t="s">
        <v>32</v>
      </c>
      <c r="J550" t="s">
        <v>4106</v>
      </c>
      <c r="K550" t="s">
        <v>1914</v>
      </c>
      <c r="L550">
        <v>35</v>
      </c>
      <c r="M550">
        <v>70</v>
      </c>
      <c r="N550" t="s">
        <v>1553</v>
      </c>
      <c r="O550" t="s">
        <v>3410</v>
      </c>
      <c r="P550">
        <v>2015</v>
      </c>
      <c r="Q550">
        <v>9</v>
      </c>
      <c r="R550">
        <v>28</v>
      </c>
      <c r="S550">
        <v>22</v>
      </c>
      <c r="T550" t="str">
        <f>TEXT(Table1[[#This Row],[Month]],"MMMM")</f>
        <v>January</v>
      </c>
    </row>
    <row r="551" spans="1:20" x14ac:dyDescent="0.25">
      <c r="A551" t="s">
        <v>1915</v>
      </c>
      <c r="B551" t="s">
        <v>3023</v>
      </c>
      <c r="C551" t="s">
        <v>1916</v>
      </c>
      <c r="D551" t="s">
        <v>3369</v>
      </c>
      <c r="E551" s="1">
        <v>44177.833333333336</v>
      </c>
      <c r="F551" s="1" t="str">
        <f t="shared" si="8"/>
        <v>Saturday</v>
      </c>
      <c r="G551" t="s">
        <v>1917</v>
      </c>
      <c r="H551" t="s">
        <v>3926</v>
      </c>
      <c r="I551" t="s">
        <v>27</v>
      </c>
      <c r="J551" t="s">
        <v>4105</v>
      </c>
      <c r="K551" t="s">
        <v>1918</v>
      </c>
      <c r="L551">
        <v>22</v>
      </c>
      <c r="M551">
        <v>45</v>
      </c>
      <c r="N551" t="s">
        <v>124</v>
      </c>
      <c r="O551" t="s">
        <v>3401</v>
      </c>
      <c r="P551">
        <v>2020</v>
      </c>
      <c r="Q551">
        <v>12</v>
      </c>
      <c r="R551">
        <v>12</v>
      </c>
      <c r="S551">
        <v>20</v>
      </c>
      <c r="T551" t="str">
        <f>TEXT(Table1[[#This Row],[Month]],"MMMM")</f>
        <v>January</v>
      </c>
    </row>
    <row r="552" spans="1:20" x14ac:dyDescent="0.25">
      <c r="A552" t="s">
        <v>1919</v>
      </c>
      <c r="B552" t="s">
        <v>3024</v>
      </c>
      <c r="C552" t="s">
        <v>1474</v>
      </c>
      <c r="D552" t="s">
        <v>3334</v>
      </c>
      <c r="E552" s="1">
        <v>43771.78125</v>
      </c>
      <c r="F552" s="1" t="str">
        <f t="shared" si="8"/>
        <v>Saturday</v>
      </c>
      <c r="G552" t="s">
        <v>1920</v>
      </c>
      <c r="H552" t="s">
        <v>3927</v>
      </c>
      <c r="I552" t="s">
        <v>875</v>
      </c>
      <c r="J552" t="s">
        <v>4104</v>
      </c>
      <c r="K552" t="s">
        <v>1921</v>
      </c>
      <c r="L552">
        <v>40</v>
      </c>
      <c r="M552">
        <v>80</v>
      </c>
      <c r="N552" t="s">
        <v>1540</v>
      </c>
      <c r="O552" t="s">
        <v>3405</v>
      </c>
      <c r="P552">
        <v>2019</v>
      </c>
      <c r="Q552">
        <v>11</v>
      </c>
      <c r="R552">
        <v>2</v>
      </c>
      <c r="S552">
        <v>18</v>
      </c>
      <c r="T552" t="str">
        <f>TEXT(Table1[[#This Row],[Month]],"MMMM")</f>
        <v>January</v>
      </c>
    </row>
    <row r="553" spans="1:20" x14ac:dyDescent="0.25">
      <c r="A553" t="s">
        <v>1922</v>
      </c>
      <c r="B553" t="s">
        <v>3025</v>
      </c>
      <c r="C553" t="s">
        <v>661</v>
      </c>
      <c r="D553" t="s">
        <v>3253</v>
      </c>
      <c r="E553" s="1">
        <v>43291.885416666664</v>
      </c>
      <c r="F553" s="1" t="str">
        <f t="shared" si="8"/>
        <v>Tuesday</v>
      </c>
      <c r="G553" t="s">
        <v>1923</v>
      </c>
      <c r="H553" t="s">
        <v>3928</v>
      </c>
      <c r="I553" t="s">
        <v>27</v>
      </c>
      <c r="J553" t="s">
        <v>4105</v>
      </c>
      <c r="K553" t="s">
        <v>1924</v>
      </c>
      <c r="L553">
        <v>35</v>
      </c>
      <c r="M553">
        <v>70</v>
      </c>
      <c r="N553" t="s">
        <v>99</v>
      </c>
      <c r="O553" t="s">
        <v>60</v>
      </c>
      <c r="P553">
        <v>2018</v>
      </c>
      <c r="Q553">
        <v>7</v>
      </c>
      <c r="R553">
        <v>10</v>
      </c>
      <c r="S553">
        <v>21</v>
      </c>
      <c r="T553" t="str">
        <f>TEXT(Table1[[#This Row],[Month]],"MMMM")</f>
        <v>January</v>
      </c>
    </row>
    <row r="554" spans="1:20" x14ac:dyDescent="0.25">
      <c r="A554" t="s">
        <v>1925</v>
      </c>
      <c r="B554" t="s">
        <v>3026</v>
      </c>
      <c r="C554" t="s">
        <v>1695</v>
      </c>
      <c r="D554" t="s">
        <v>3296</v>
      </c>
      <c r="E554" s="1">
        <v>44092.8125</v>
      </c>
      <c r="F554" s="1" t="str">
        <f t="shared" si="8"/>
        <v>Friday</v>
      </c>
      <c r="G554" t="s">
        <v>1926</v>
      </c>
      <c r="H554" t="s">
        <v>3929</v>
      </c>
      <c r="I554" t="s">
        <v>32</v>
      </c>
      <c r="J554" t="s">
        <v>4106</v>
      </c>
      <c r="K554" t="s">
        <v>1927</v>
      </c>
      <c r="L554">
        <v>30</v>
      </c>
      <c r="M554">
        <v>60</v>
      </c>
      <c r="N554" t="s">
        <v>110</v>
      </c>
      <c r="O554" t="s">
        <v>3432</v>
      </c>
      <c r="P554">
        <v>2020</v>
      </c>
      <c r="Q554">
        <v>9</v>
      </c>
      <c r="R554">
        <v>18</v>
      </c>
      <c r="S554">
        <v>19</v>
      </c>
      <c r="T554" t="str">
        <f>TEXT(Table1[[#This Row],[Month]],"MMMM")</f>
        <v>January</v>
      </c>
    </row>
    <row r="555" spans="1:20" x14ac:dyDescent="0.25">
      <c r="A555" t="s">
        <v>1928</v>
      </c>
      <c r="B555" t="s">
        <v>3027</v>
      </c>
      <c r="C555" t="s">
        <v>1929</v>
      </c>
      <c r="D555" t="s">
        <v>3370</v>
      </c>
      <c r="E555" s="1">
        <v>42870.916666666664</v>
      </c>
      <c r="F555" s="1" t="str">
        <f t="shared" si="8"/>
        <v>Monday</v>
      </c>
      <c r="G555" t="s">
        <v>1930</v>
      </c>
      <c r="H555" t="s">
        <v>3930</v>
      </c>
      <c r="I555" t="s">
        <v>875</v>
      </c>
      <c r="J555" t="s">
        <v>4104</v>
      </c>
      <c r="K555" t="s">
        <v>1931</v>
      </c>
      <c r="L555">
        <v>22</v>
      </c>
      <c r="M555">
        <v>45</v>
      </c>
      <c r="N555" t="s">
        <v>1545</v>
      </c>
      <c r="O555" t="s">
        <v>3404</v>
      </c>
      <c r="P555">
        <v>2017</v>
      </c>
      <c r="Q555">
        <v>5</v>
      </c>
      <c r="R555">
        <v>15</v>
      </c>
      <c r="S555">
        <v>22</v>
      </c>
      <c r="T555" t="str">
        <f>TEXT(Table1[[#This Row],[Month]],"MMMM")</f>
        <v>January</v>
      </c>
    </row>
    <row r="556" spans="1:20" x14ac:dyDescent="0.25">
      <c r="A556" t="s">
        <v>1932</v>
      </c>
      <c r="B556" t="s">
        <v>3028</v>
      </c>
      <c r="C556" t="s">
        <v>1933</v>
      </c>
      <c r="D556" t="s">
        <v>3371</v>
      </c>
      <c r="E556" s="1">
        <v>44291.84375</v>
      </c>
      <c r="F556" s="1" t="str">
        <f t="shared" si="8"/>
        <v>Monday</v>
      </c>
      <c r="G556" t="s">
        <v>1934</v>
      </c>
      <c r="H556" t="s">
        <v>3931</v>
      </c>
      <c r="I556" t="s">
        <v>27</v>
      </c>
      <c r="J556" t="s">
        <v>4105</v>
      </c>
      <c r="K556" t="s">
        <v>1935</v>
      </c>
      <c r="L556">
        <v>28</v>
      </c>
      <c r="M556">
        <v>55</v>
      </c>
      <c r="N556" t="s">
        <v>1558</v>
      </c>
      <c r="O556" t="s">
        <v>3406</v>
      </c>
      <c r="P556">
        <v>2021</v>
      </c>
      <c r="Q556">
        <v>4</v>
      </c>
      <c r="R556">
        <v>5</v>
      </c>
      <c r="S556">
        <v>20</v>
      </c>
      <c r="T556" t="str">
        <f>TEXT(Table1[[#This Row],[Month]],"MMMM")</f>
        <v>January</v>
      </c>
    </row>
    <row r="557" spans="1:20" x14ac:dyDescent="0.25">
      <c r="A557" t="s">
        <v>1936</v>
      </c>
      <c r="B557" t="s">
        <v>3029</v>
      </c>
      <c r="C557" t="s">
        <v>1937</v>
      </c>
      <c r="D557" t="s">
        <v>3372</v>
      </c>
      <c r="E557" s="1">
        <v>42602.770833333336</v>
      </c>
      <c r="F557" s="1" t="str">
        <f t="shared" si="8"/>
        <v>Saturday</v>
      </c>
      <c r="G557" t="s">
        <v>1938</v>
      </c>
      <c r="H557" t="s">
        <v>3932</v>
      </c>
      <c r="I557" t="s">
        <v>32</v>
      </c>
      <c r="J557" t="s">
        <v>4106</v>
      </c>
      <c r="K557" t="s">
        <v>1939</v>
      </c>
      <c r="L557">
        <v>18</v>
      </c>
      <c r="M557">
        <v>35</v>
      </c>
      <c r="N557" t="s">
        <v>99</v>
      </c>
      <c r="O557" t="s">
        <v>60</v>
      </c>
      <c r="P557">
        <v>2016</v>
      </c>
      <c r="Q557">
        <v>8</v>
      </c>
      <c r="R557">
        <v>20</v>
      </c>
      <c r="S557">
        <v>18</v>
      </c>
      <c r="T557" t="str">
        <f>TEXT(Table1[[#This Row],[Month]],"MMMM")</f>
        <v>January</v>
      </c>
    </row>
    <row r="558" spans="1:20" x14ac:dyDescent="0.25">
      <c r="A558" t="s">
        <v>1940</v>
      </c>
      <c r="B558" t="s">
        <v>3030</v>
      </c>
      <c r="C558" t="s">
        <v>1941</v>
      </c>
      <c r="D558" t="s">
        <v>3373</v>
      </c>
      <c r="E558" s="1">
        <v>43508.822916666664</v>
      </c>
      <c r="F558" s="1" t="str">
        <f t="shared" si="8"/>
        <v>Tuesday</v>
      </c>
      <c r="G558" t="s">
        <v>1942</v>
      </c>
      <c r="H558" t="s">
        <v>3933</v>
      </c>
      <c r="I558" t="s">
        <v>875</v>
      </c>
      <c r="J558" t="s">
        <v>4104</v>
      </c>
      <c r="K558" t="s">
        <v>1943</v>
      </c>
      <c r="L558">
        <v>22</v>
      </c>
      <c r="M558">
        <v>45</v>
      </c>
      <c r="N558" t="s">
        <v>124</v>
      </c>
      <c r="O558" t="s">
        <v>3401</v>
      </c>
      <c r="P558">
        <v>2019</v>
      </c>
      <c r="Q558">
        <v>2</v>
      </c>
      <c r="R558">
        <v>12</v>
      </c>
      <c r="S558">
        <v>19</v>
      </c>
      <c r="T558" t="str">
        <f>TEXT(Table1[[#This Row],[Month]],"MMMM")</f>
        <v>January</v>
      </c>
    </row>
    <row r="559" spans="1:20" x14ac:dyDescent="0.25">
      <c r="A559" t="s">
        <v>1944</v>
      </c>
      <c r="B559" t="s">
        <v>3031</v>
      </c>
      <c r="C559" t="s">
        <v>1945</v>
      </c>
      <c r="D559" t="s">
        <v>3374</v>
      </c>
      <c r="E559" s="1">
        <v>42183.833333333336</v>
      </c>
      <c r="F559" s="1" t="str">
        <f t="shared" si="8"/>
        <v>Sunday</v>
      </c>
      <c r="G559" t="s">
        <v>1946</v>
      </c>
      <c r="H559" t="s">
        <v>3934</v>
      </c>
      <c r="I559" t="s">
        <v>27</v>
      </c>
      <c r="J559" t="s">
        <v>4105</v>
      </c>
      <c r="K559" t="s">
        <v>1947</v>
      </c>
      <c r="L559">
        <v>28</v>
      </c>
      <c r="M559">
        <v>55</v>
      </c>
      <c r="N559" t="s">
        <v>39</v>
      </c>
      <c r="O559" t="s">
        <v>3402</v>
      </c>
      <c r="P559">
        <v>2015</v>
      </c>
      <c r="Q559">
        <v>6</v>
      </c>
      <c r="R559">
        <v>28</v>
      </c>
      <c r="S559">
        <v>20</v>
      </c>
      <c r="T559" t="str">
        <f>TEXT(Table1[[#This Row],[Month]],"MMMM")</f>
        <v>January</v>
      </c>
    </row>
    <row r="560" spans="1:20" x14ac:dyDescent="0.25">
      <c r="A560" t="s">
        <v>1948</v>
      </c>
      <c r="B560" t="s">
        <v>3032</v>
      </c>
      <c r="C560" t="s">
        <v>1949</v>
      </c>
      <c r="D560" t="s">
        <v>3375</v>
      </c>
      <c r="E560" s="1">
        <v>44569.895833333336</v>
      </c>
      <c r="F560" s="1" t="str">
        <f t="shared" si="8"/>
        <v>Saturday</v>
      </c>
      <c r="G560" t="s">
        <v>1950</v>
      </c>
      <c r="H560" t="s">
        <v>3935</v>
      </c>
      <c r="I560" t="s">
        <v>32</v>
      </c>
      <c r="J560" t="s">
        <v>4106</v>
      </c>
      <c r="K560" t="s">
        <v>1951</v>
      </c>
      <c r="L560">
        <v>35</v>
      </c>
      <c r="M560">
        <v>70</v>
      </c>
      <c r="N560" t="s">
        <v>1536</v>
      </c>
      <c r="O560" t="s">
        <v>3408</v>
      </c>
      <c r="P560">
        <v>2022</v>
      </c>
      <c r="Q560">
        <v>1</v>
      </c>
      <c r="R560">
        <v>8</v>
      </c>
      <c r="S560">
        <v>21</v>
      </c>
      <c r="T560" t="str">
        <f>TEXT(Table1[[#This Row],[Month]],"MMMM")</f>
        <v>January</v>
      </c>
    </row>
    <row r="561" spans="1:20" x14ac:dyDescent="0.25">
      <c r="A561" t="s">
        <v>1952</v>
      </c>
      <c r="B561" t="s">
        <v>3033</v>
      </c>
      <c r="C561" t="s">
        <v>981</v>
      </c>
      <c r="D561" t="s">
        <v>3248</v>
      </c>
      <c r="E561" s="1">
        <v>43449.84375</v>
      </c>
      <c r="F561" s="1" t="str">
        <f t="shared" si="8"/>
        <v>Saturday</v>
      </c>
      <c r="G561" t="s">
        <v>1953</v>
      </c>
      <c r="H561" t="s">
        <v>3936</v>
      </c>
      <c r="I561" t="s">
        <v>875</v>
      </c>
      <c r="J561" t="s">
        <v>4104</v>
      </c>
      <c r="K561" t="s">
        <v>1954</v>
      </c>
      <c r="L561">
        <v>22</v>
      </c>
      <c r="M561">
        <v>45</v>
      </c>
      <c r="N561" t="s">
        <v>1565</v>
      </c>
      <c r="O561" t="s">
        <v>3413</v>
      </c>
      <c r="P561">
        <v>2018</v>
      </c>
      <c r="Q561">
        <v>12</v>
      </c>
      <c r="R561">
        <v>15</v>
      </c>
      <c r="S561">
        <v>20</v>
      </c>
      <c r="T561" t="str">
        <f>TEXT(Table1[[#This Row],[Month]],"MMMM")</f>
        <v>January</v>
      </c>
    </row>
    <row r="562" spans="1:20" x14ac:dyDescent="0.25">
      <c r="A562" t="s">
        <v>1955</v>
      </c>
      <c r="B562" t="s">
        <v>3034</v>
      </c>
      <c r="C562" t="s">
        <v>1765</v>
      </c>
      <c r="D562" t="s">
        <v>3353</v>
      </c>
      <c r="E562" s="1">
        <v>44387.791666666664</v>
      </c>
      <c r="F562" s="1" t="str">
        <f t="shared" si="8"/>
        <v>Saturday</v>
      </c>
      <c r="G562" t="s">
        <v>1956</v>
      </c>
      <c r="H562" t="s">
        <v>3937</v>
      </c>
      <c r="I562" t="s">
        <v>27</v>
      </c>
      <c r="J562" t="s">
        <v>4105</v>
      </c>
      <c r="K562" t="s">
        <v>1957</v>
      </c>
      <c r="L562">
        <v>40</v>
      </c>
      <c r="M562">
        <v>80</v>
      </c>
      <c r="N562" t="s">
        <v>124</v>
      </c>
      <c r="O562" t="s">
        <v>3401</v>
      </c>
      <c r="P562">
        <v>2021</v>
      </c>
      <c r="Q562">
        <v>7</v>
      </c>
      <c r="R562">
        <v>10</v>
      </c>
      <c r="S562">
        <v>19</v>
      </c>
      <c r="T562" t="str">
        <f>TEXT(Table1[[#This Row],[Month]],"MMMM")</f>
        <v>January</v>
      </c>
    </row>
    <row r="563" spans="1:20" x14ac:dyDescent="0.25">
      <c r="A563" t="s">
        <v>1958</v>
      </c>
      <c r="B563" t="s">
        <v>3035</v>
      </c>
      <c r="C563" t="s">
        <v>1323</v>
      </c>
      <c r="D563" t="s">
        <v>3316</v>
      </c>
      <c r="E563" s="1">
        <v>43736.854166666664</v>
      </c>
      <c r="F563" s="1" t="str">
        <f t="shared" si="8"/>
        <v>Saturday</v>
      </c>
      <c r="G563" t="s">
        <v>1959</v>
      </c>
      <c r="H563" t="s">
        <v>3938</v>
      </c>
      <c r="I563" t="s">
        <v>875</v>
      </c>
      <c r="J563" t="s">
        <v>4104</v>
      </c>
      <c r="K563" t="s">
        <v>1960</v>
      </c>
      <c r="L563">
        <v>35</v>
      </c>
      <c r="M563">
        <v>70</v>
      </c>
      <c r="N563" t="s">
        <v>99</v>
      </c>
      <c r="O563" t="s">
        <v>60</v>
      </c>
      <c r="P563">
        <v>2019</v>
      </c>
      <c r="Q563">
        <v>9</v>
      </c>
      <c r="R563">
        <v>28</v>
      </c>
      <c r="S563">
        <v>20</v>
      </c>
      <c r="T563" t="str">
        <f>TEXT(Table1[[#This Row],[Month]],"MMMM")</f>
        <v>January</v>
      </c>
    </row>
    <row r="564" spans="1:20" x14ac:dyDescent="0.25">
      <c r="A564" t="s">
        <v>1961</v>
      </c>
      <c r="B564" t="s">
        <v>3036</v>
      </c>
      <c r="C564" t="s">
        <v>1962</v>
      </c>
      <c r="D564" t="s">
        <v>3376</v>
      </c>
      <c r="E564" s="1">
        <v>44635.78125</v>
      </c>
      <c r="F564" s="1" t="str">
        <f t="shared" si="8"/>
        <v>Tuesday</v>
      </c>
      <c r="G564" t="s">
        <v>1963</v>
      </c>
      <c r="H564" t="s">
        <v>3939</v>
      </c>
      <c r="I564" t="s">
        <v>32</v>
      </c>
      <c r="J564" t="s">
        <v>4106</v>
      </c>
      <c r="K564" t="s">
        <v>1964</v>
      </c>
      <c r="L564">
        <v>30</v>
      </c>
      <c r="M564">
        <v>60</v>
      </c>
      <c r="N564" t="s">
        <v>1545</v>
      </c>
      <c r="O564" t="s">
        <v>3404</v>
      </c>
      <c r="P564">
        <v>2022</v>
      </c>
      <c r="Q564">
        <v>3</v>
      </c>
      <c r="R564">
        <v>15</v>
      </c>
      <c r="S564">
        <v>18</v>
      </c>
      <c r="T564" t="str">
        <f>TEXT(Table1[[#This Row],[Month]],"MMMM")</f>
        <v>January</v>
      </c>
    </row>
    <row r="565" spans="1:20" x14ac:dyDescent="0.25">
      <c r="A565" t="s">
        <v>1965</v>
      </c>
      <c r="B565" t="s">
        <v>3037</v>
      </c>
      <c r="C565" t="s">
        <v>1813</v>
      </c>
      <c r="D565" t="s">
        <v>3311</v>
      </c>
      <c r="E565" s="1">
        <v>43044.885416666664</v>
      </c>
      <c r="F565" s="1" t="str">
        <f t="shared" si="8"/>
        <v>Sunday</v>
      </c>
      <c r="G565" t="s">
        <v>1966</v>
      </c>
      <c r="H565" t="s">
        <v>3940</v>
      </c>
      <c r="I565" t="s">
        <v>27</v>
      </c>
      <c r="J565" t="s">
        <v>4105</v>
      </c>
      <c r="K565" t="s">
        <v>1967</v>
      </c>
      <c r="L565">
        <v>22</v>
      </c>
      <c r="M565">
        <v>45</v>
      </c>
      <c r="N565" t="s">
        <v>1540</v>
      </c>
      <c r="O565" t="s">
        <v>3405</v>
      </c>
      <c r="P565">
        <v>2017</v>
      </c>
      <c r="Q565">
        <v>11</v>
      </c>
      <c r="R565">
        <v>5</v>
      </c>
      <c r="S565">
        <v>21</v>
      </c>
      <c r="T565" t="str">
        <f>TEXT(Table1[[#This Row],[Month]],"MMMM")</f>
        <v>January</v>
      </c>
    </row>
    <row r="566" spans="1:20" x14ac:dyDescent="0.25">
      <c r="A566" t="s">
        <v>1968</v>
      </c>
      <c r="B566" t="s">
        <v>3038</v>
      </c>
      <c r="C566" t="s">
        <v>1969</v>
      </c>
      <c r="D566" t="s">
        <v>3377</v>
      </c>
      <c r="E566" s="1">
        <v>43971.6875</v>
      </c>
      <c r="F566" s="1" t="str">
        <f t="shared" si="8"/>
        <v>Wednesday</v>
      </c>
      <c r="G566" t="s">
        <v>1970</v>
      </c>
      <c r="H566" t="s">
        <v>3941</v>
      </c>
      <c r="I566" t="s">
        <v>875</v>
      </c>
      <c r="J566" t="s">
        <v>4104</v>
      </c>
      <c r="K566" t="s">
        <v>1971</v>
      </c>
      <c r="L566">
        <v>28</v>
      </c>
      <c r="M566">
        <v>55</v>
      </c>
      <c r="N566" t="s">
        <v>1536</v>
      </c>
      <c r="O566" t="s">
        <v>3408</v>
      </c>
      <c r="P566">
        <v>2020</v>
      </c>
      <c r="Q566">
        <v>5</v>
      </c>
      <c r="R566">
        <v>20</v>
      </c>
      <c r="S566">
        <v>16</v>
      </c>
      <c r="T566" t="str">
        <f>TEXT(Table1[[#This Row],[Month]],"MMMM")</f>
        <v>January</v>
      </c>
    </row>
    <row r="567" spans="1:20" x14ac:dyDescent="0.25">
      <c r="A567" t="s">
        <v>1972</v>
      </c>
      <c r="B567" t="s">
        <v>3039</v>
      </c>
      <c r="C567" t="s">
        <v>1973</v>
      </c>
      <c r="D567" t="s">
        <v>3310</v>
      </c>
      <c r="E567" s="1">
        <v>42604.822916666664</v>
      </c>
      <c r="F567" s="1" t="str">
        <f t="shared" si="8"/>
        <v>Monday</v>
      </c>
      <c r="G567" t="s">
        <v>1974</v>
      </c>
      <c r="H567" t="s">
        <v>3942</v>
      </c>
      <c r="I567" t="s">
        <v>32</v>
      </c>
      <c r="J567" t="s">
        <v>4106</v>
      </c>
      <c r="K567" t="s">
        <v>1975</v>
      </c>
      <c r="L567">
        <v>18</v>
      </c>
      <c r="M567">
        <v>35</v>
      </c>
      <c r="N567" t="s">
        <v>110</v>
      </c>
      <c r="O567" t="s">
        <v>3432</v>
      </c>
      <c r="P567">
        <v>2016</v>
      </c>
      <c r="Q567">
        <v>8</v>
      </c>
      <c r="R567">
        <v>22</v>
      </c>
      <c r="S567">
        <v>19</v>
      </c>
      <c r="T567" t="str">
        <f>TEXT(Table1[[#This Row],[Month]],"MMMM")</f>
        <v>January</v>
      </c>
    </row>
    <row r="568" spans="1:20" x14ac:dyDescent="0.25">
      <c r="A568" t="s">
        <v>1976</v>
      </c>
      <c r="B568" t="s">
        <v>3040</v>
      </c>
      <c r="C568" t="s">
        <v>1977</v>
      </c>
      <c r="D568" t="s">
        <v>3378</v>
      </c>
      <c r="E568" s="1">
        <v>45026.71875</v>
      </c>
      <c r="F568" s="1" t="str">
        <f t="shared" si="8"/>
        <v>Monday</v>
      </c>
      <c r="G568" t="s">
        <v>1978</v>
      </c>
      <c r="H568" t="s">
        <v>3943</v>
      </c>
      <c r="I568" t="s">
        <v>27</v>
      </c>
      <c r="J568" t="s">
        <v>4105</v>
      </c>
      <c r="K568" t="s">
        <v>1979</v>
      </c>
      <c r="L568">
        <v>22</v>
      </c>
      <c r="M568">
        <v>45</v>
      </c>
      <c r="N568" t="s">
        <v>165</v>
      </c>
      <c r="O568" t="s">
        <v>3403</v>
      </c>
      <c r="P568">
        <v>2023</v>
      </c>
      <c r="Q568">
        <v>4</v>
      </c>
      <c r="R568">
        <v>10</v>
      </c>
      <c r="S568">
        <v>17</v>
      </c>
      <c r="T568" t="str">
        <f>TEXT(Table1[[#This Row],[Month]],"MMMM")</f>
        <v>January</v>
      </c>
    </row>
    <row r="569" spans="1:20" x14ac:dyDescent="0.25">
      <c r="A569" t="s">
        <v>1980</v>
      </c>
      <c r="B569" t="s">
        <v>3041</v>
      </c>
      <c r="C569" t="s">
        <v>1981</v>
      </c>
      <c r="D569" t="s">
        <v>3379</v>
      </c>
      <c r="E569" s="1">
        <v>42356.75</v>
      </c>
      <c r="F569" s="1" t="str">
        <f t="shared" si="8"/>
        <v>Friday</v>
      </c>
      <c r="G569" t="s">
        <v>1982</v>
      </c>
      <c r="H569" t="s">
        <v>3944</v>
      </c>
      <c r="I569" t="s">
        <v>875</v>
      </c>
      <c r="J569" t="s">
        <v>4104</v>
      </c>
      <c r="K569" t="s">
        <v>1983</v>
      </c>
      <c r="L569">
        <v>28</v>
      </c>
      <c r="M569">
        <v>55</v>
      </c>
      <c r="N569" t="s">
        <v>1553</v>
      </c>
      <c r="O569" t="s">
        <v>3410</v>
      </c>
      <c r="P569">
        <v>2015</v>
      </c>
      <c r="Q569">
        <v>12</v>
      </c>
      <c r="R569">
        <v>18</v>
      </c>
      <c r="S569">
        <v>18</v>
      </c>
      <c r="T569" t="str">
        <f>TEXT(Table1[[#This Row],[Month]],"MMMM")</f>
        <v>January</v>
      </c>
    </row>
    <row r="570" spans="1:20" x14ac:dyDescent="0.25">
      <c r="A570" t="s">
        <v>1984</v>
      </c>
      <c r="B570" t="s">
        <v>3042</v>
      </c>
      <c r="C570" t="s">
        <v>1985</v>
      </c>
      <c r="D570" t="s">
        <v>3380</v>
      </c>
      <c r="E570" s="1">
        <v>44477.854166666664</v>
      </c>
      <c r="F570" s="1" t="str">
        <f t="shared" si="8"/>
        <v>Friday</v>
      </c>
      <c r="G570" t="s">
        <v>1986</v>
      </c>
      <c r="H570" t="s">
        <v>3945</v>
      </c>
      <c r="I570" t="s">
        <v>32</v>
      </c>
      <c r="J570" t="s">
        <v>4106</v>
      </c>
      <c r="K570" t="s">
        <v>1987</v>
      </c>
      <c r="L570">
        <v>35</v>
      </c>
      <c r="M570">
        <v>70</v>
      </c>
      <c r="N570" t="s">
        <v>1558</v>
      </c>
      <c r="O570" t="s">
        <v>3406</v>
      </c>
      <c r="P570">
        <v>2021</v>
      </c>
      <c r="Q570">
        <v>10</v>
      </c>
      <c r="R570">
        <v>8</v>
      </c>
      <c r="S570">
        <v>20</v>
      </c>
      <c r="T570" t="str">
        <f>TEXT(Table1[[#This Row],[Month]],"MMMM")</f>
        <v>January</v>
      </c>
    </row>
    <row r="571" spans="1:20" x14ac:dyDescent="0.25">
      <c r="A571" t="s">
        <v>1988</v>
      </c>
      <c r="B571" t="s">
        <v>3043</v>
      </c>
      <c r="C571" t="s">
        <v>1989</v>
      </c>
      <c r="D571" t="s">
        <v>3381</v>
      </c>
      <c r="E571" s="1">
        <v>43546.90625</v>
      </c>
      <c r="F571" s="1" t="str">
        <f t="shared" si="8"/>
        <v>Friday</v>
      </c>
      <c r="G571" t="s">
        <v>1990</v>
      </c>
      <c r="H571" t="s">
        <v>3946</v>
      </c>
      <c r="I571" t="s">
        <v>27</v>
      </c>
      <c r="J571" t="s">
        <v>4105</v>
      </c>
      <c r="K571" t="s">
        <v>1991</v>
      </c>
      <c r="L571">
        <v>22</v>
      </c>
      <c r="M571">
        <v>45</v>
      </c>
      <c r="N571" t="s">
        <v>39</v>
      </c>
      <c r="O571" t="s">
        <v>3402</v>
      </c>
      <c r="P571">
        <v>2019</v>
      </c>
      <c r="Q571">
        <v>3</v>
      </c>
      <c r="R571">
        <v>22</v>
      </c>
      <c r="S571">
        <v>21</v>
      </c>
      <c r="T571" t="str">
        <f>TEXT(Table1[[#This Row],[Month]],"MMMM")</f>
        <v>January</v>
      </c>
    </row>
    <row r="572" spans="1:20" x14ac:dyDescent="0.25">
      <c r="A572" t="s">
        <v>1992</v>
      </c>
      <c r="B572" t="s">
        <v>3044</v>
      </c>
      <c r="C572" t="s">
        <v>1993</v>
      </c>
      <c r="D572" t="s">
        <v>3382</v>
      </c>
      <c r="E572" s="1">
        <v>43266.916666666664</v>
      </c>
      <c r="F572" s="1" t="str">
        <f t="shared" si="8"/>
        <v>Friday</v>
      </c>
      <c r="G572" t="s">
        <v>1994</v>
      </c>
      <c r="H572" t="s">
        <v>3947</v>
      </c>
      <c r="I572" t="s">
        <v>875</v>
      </c>
      <c r="J572" t="s">
        <v>4104</v>
      </c>
      <c r="K572" t="s">
        <v>1995</v>
      </c>
      <c r="L572">
        <v>40</v>
      </c>
      <c r="M572">
        <v>80</v>
      </c>
      <c r="N572" t="s">
        <v>99</v>
      </c>
      <c r="O572" t="s">
        <v>60</v>
      </c>
      <c r="P572">
        <v>2018</v>
      </c>
      <c r="Q572">
        <v>6</v>
      </c>
      <c r="R572">
        <v>15</v>
      </c>
      <c r="S572">
        <v>22</v>
      </c>
      <c r="T572" t="str">
        <f>TEXT(Table1[[#This Row],[Month]],"MMMM")</f>
        <v>January</v>
      </c>
    </row>
    <row r="573" spans="1:20" x14ac:dyDescent="0.25">
      <c r="A573" t="s">
        <v>1996</v>
      </c>
      <c r="B573" t="s">
        <v>3045</v>
      </c>
      <c r="C573" t="s">
        <v>1997</v>
      </c>
      <c r="D573" t="s">
        <v>3383</v>
      </c>
      <c r="E573" s="1">
        <v>43705.8125</v>
      </c>
      <c r="F573" s="1" t="str">
        <f t="shared" si="8"/>
        <v>Wednesday</v>
      </c>
      <c r="G573" t="s">
        <v>1998</v>
      </c>
      <c r="H573" t="s">
        <v>3948</v>
      </c>
      <c r="I573" t="s">
        <v>27</v>
      </c>
      <c r="J573" t="s">
        <v>4105</v>
      </c>
      <c r="K573" t="s">
        <v>1999</v>
      </c>
      <c r="L573">
        <v>35</v>
      </c>
      <c r="M573">
        <v>70</v>
      </c>
      <c r="N573" t="s">
        <v>2000</v>
      </c>
      <c r="O573" t="s">
        <v>3431</v>
      </c>
      <c r="P573">
        <v>2019</v>
      </c>
      <c r="Q573">
        <v>8</v>
      </c>
      <c r="R573">
        <v>28</v>
      </c>
      <c r="S573">
        <v>19</v>
      </c>
      <c r="T573" t="str">
        <f>TEXT(Table1[[#This Row],[Month]],"MMMM")</f>
        <v>January</v>
      </c>
    </row>
    <row r="574" spans="1:20" x14ac:dyDescent="0.25">
      <c r="A574" t="s">
        <v>2001</v>
      </c>
      <c r="B574" t="s">
        <v>3046</v>
      </c>
      <c r="C574" t="s">
        <v>2002</v>
      </c>
      <c r="D574" t="s">
        <v>3384</v>
      </c>
      <c r="E574" s="1">
        <v>44896.739583333336</v>
      </c>
      <c r="F574" s="1" t="str">
        <f t="shared" si="8"/>
        <v>Thursday</v>
      </c>
      <c r="G574" t="s">
        <v>2003</v>
      </c>
      <c r="H574" t="s">
        <v>3949</v>
      </c>
      <c r="I574" t="s">
        <v>32</v>
      </c>
      <c r="J574" t="s">
        <v>4106</v>
      </c>
      <c r="K574" t="s">
        <v>2004</v>
      </c>
      <c r="L574">
        <v>30</v>
      </c>
      <c r="M574">
        <v>60</v>
      </c>
      <c r="N574" t="s">
        <v>124</v>
      </c>
      <c r="O574" t="s">
        <v>3401</v>
      </c>
      <c r="P574">
        <v>2022</v>
      </c>
      <c r="Q574">
        <v>12</v>
      </c>
      <c r="R574">
        <v>1</v>
      </c>
      <c r="S574">
        <v>17</v>
      </c>
      <c r="T574" t="str">
        <f>TEXT(Table1[[#This Row],[Month]],"MMMM")</f>
        <v>January</v>
      </c>
    </row>
    <row r="575" spans="1:20" x14ac:dyDescent="0.25">
      <c r="A575" t="s">
        <v>2005</v>
      </c>
      <c r="B575" t="s">
        <v>3047</v>
      </c>
      <c r="C575" t="s">
        <v>2006</v>
      </c>
      <c r="D575" t="s">
        <v>3385</v>
      </c>
      <c r="E575" s="1">
        <v>42835.885416666664</v>
      </c>
      <c r="F575" s="1" t="str">
        <f t="shared" si="8"/>
        <v>Monday</v>
      </c>
      <c r="G575" t="s">
        <v>2007</v>
      </c>
      <c r="H575" t="s">
        <v>3950</v>
      </c>
      <c r="I575" t="s">
        <v>875</v>
      </c>
      <c r="J575" t="s">
        <v>4104</v>
      </c>
      <c r="K575" t="s">
        <v>2008</v>
      </c>
      <c r="L575">
        <v>22</v>
      </c>
      <c r="M575">
        <v>45</v>
      </c>
      <c r="N575" t="s">
        <v>110</v>
      </c>
      <c r="O575" t="s">
        <v>3432</v>
      </c>
      <c r="P575">
        <v>2017</v>
      </c>
      <c r="Q575">
        <v>4</v>
      </c>
      <c r="R575">
        <v>10</v>
      </c>
      <c r="S575">
        <v>21</v>
      </c>
      <c r="T575" t="str">
        <f>TEXT(Table1[[#This Row],[Month]],"MMMM")</f>
        <v>January</v>
      </c>
    </row>
    <row r="576" spans="1:20" x14ac:dyDescent="0.25">
      <c r="A576" t="s">
        <v>2009</v>
      </c>
      <c r="B576" t="s">
        <v>3048</v>
      </c>
      <c r="C576" t="s">
        <v>2010</v>
      </c>
      <c r="D576" t="s">
        <v>3386</v>
      </c>
      <c r="E576" s="1">
        <v>43966.770833333336</v>
      </c>
      <c r="F576" s="1" t="str">
        <f t="shared" si="8"/>
        <v>Friday</v>
      </c>
      <c r="G576" t="s">
        <v>2011</v>
      </c>
      <c r="H576" t="s">
        <v>3951</v>
      </c>
      <c r="I576" t="s">
        <v>27</v>
      </c>
      <c r="J576" t="s">
        <v>4105</v>
      </c>
      <c r="K576" t="s">
        <v>2012</v>
      </c>
      <c r="L576">
        <v>28</v>
      </c>
      <c r="M576">
        <v>55</v>
      </c>
      <c r="N576" t="s">
        <v>39</v>
      </c>
      <c r="O576" t="s">
        <v>3402</v>
      </c>
      <c r="P576">
        <v>2020</v>
      </c>
      <c r="Q576">
        <v>5</v>
      </c>
      <c r="R576">
        <v>15</v>
      </c>
      <c r="S576">
        <v>18</v>
      </c>
      <c r="T576" t="str">
        <f>TEXT(Table1[[#This Row],[Month]],"MMMM")</f>
        <v>January</v>
      </c>
    </row>
    <row r="577" spans="1:20" x14ac:dyDescent="0.25">
      <c r="A577" t="s">
        <v>2013</v>
      </c>
      <c r="B577" t="s">
        <v>3049</v>
      </c>
      <c r="C577" t="s">
        <v>2014</v>
      </c>
      <c r="D577" t="s">
        <v>3387</v>
      </c>
      <c r="E577" s="1">
        <v>42635.833333333336</v>
      </c>
      <c r="F577" s="1" t="str">
        <f t="shared" si="8"/>
        <v>Thursday</v>
      </c>
      <c r="G577" t="s">
        <v>2015</v>
      </c>
      <c r="H577" t="s">
        <v>3952</v>
      </c>
      <c r="I577" t="s">
        <v>32</v>
      </c>
      <c r="J577" t="s">
        <v>4106</v>
      </c>
      <c r="K577" t="s">
        <v>2016</v>
      </c>
      <c r="L577">
        <v>18</v>
      </c>
      <c r="M577">
        <v>35</v>
      </c>
      <c r="N577" t="s">
        <v>99</v>
      </c>
      <c r="O577" t="s">
        <v>60</v>
      </c>
      <c r="P577">
        <v>2016</v>
      </c>
      <c r="Q577">
        <v>9</v>
      </c>
      <c r="R577">
        <v>22</v>
      </c>
      <c r="S577">
        <v>20</v>
      </c>
      <c r="T577" t="str">
        <f>TEXT(Table1[[#This Row],[Month]],"MMMM")</f>
        <v>January</v>
      </c>
    </row>
    <row r="578" spans="1:20" x14ac:dyDescent="0.25">
      <c r="A578" t="s">
        <v>2017</v>
      </c>
      <c r="B578" t="s">
        <v>3050</v>
      </c>
      <c r="C578" t="s">
        <v>2018</v>
      </c>
      <c r="D578" t="s">
        <v>3388</v>
      </c>
      <c r="E578" s="1">
        <v>44969.822916666664</v>
      </c>
      <c r="F578" s="1" t="str">
        <f t="shared" si="8"/>
        <v>Sunday</v>
      </c>
      <c r="G578" t="s">
        <v>2019</v>
      </c>
      <c r="H578" t="s">
        <v>3953</v>
      </c>
      <c r="I578" t="s">
        <v>875</v>
      </c>
      <c r="J578" t="s">
        <v>4104</v>
      </c>
      <c r="K578" t="s">
        <v>2020</v>
      </c>
      <c r="L578">
        <v>22</v>
      </c>
      <c r="M578">
        <v>45</v>
      </c>
      <c r="N578" t="s">
        <v>1545</v>
      </c>
      <c r="O578" t="s">
        <v>3404</v>
      </c>
      <c r="P578">
        <v>2023</v>
      </c>
      <c r="Q578">
        <v>2</v>
      </c>
      <c r="R578">
        <v>12</v>
      </c>
      <c r="S578">
        <v>19</v>
      </c>
      <c r="T578" t="str">
        <f>TEXT(Table1[[#This Row],[Month]],"MMMM")</f>
        <v>January</v>
      </c>
    </row>
    <row r="579" spans="1:20" x14ac:dyDescent="0.25">
      <c r="A579" t="s">
        <v>2021</v>
      </c>
      <c r="B579" t="s">
        <v>3051</v>
      </c>
      <c r="C579" t="s">
        <v>2022</v>
      </c>
      <c r="D579" t="s">
        <v>3389</v>
      </c>
      <c r="E579" s="1">
        <v>42318.875</v>
      </c>
      <c r="F579" s="1" t="str">
        <f t="shared" ref="F579:F642" si="9">TEXT(E579,"DDDD")</f>
        <v>Tuesday</v>
      </c>
      <c r="G579" t="s">
        <v>2023</v>
      </c>
      <c r="H579" t="s">
        <v>3954</v>
      </c>
      <c r="I579" t="s">
        <v>27</v>
      </c>
      <c r="J579" t="s">
        <v>4105</v>
      </c>
      <c r="K579" t="s">
        <v>2024</v>
      </c>
      <c r="L579">
        <v>28</v>
      </c>
      <c r="M579">
        <v>55</v>
      </c>
      <c r="N579" t="s">
        <v>1553</v>
      </c>
      <c r="O579" t="s">
        <v>3410</v>
      </c>
      <c r="P579">
        <v>2015</v>
      </c>
      <c r="Q579">
        <v>11</v>
      </c>
      <c r="R579">
        <v>10</v>
      </c>
      <c r="S579">
        <v>21</v>
      </c>
      <c r="T579" t="str">
        <f>TEXT(Table1[[#This Row],[Month]],"MMMM")</f>
        <v>January</v>
      </c>
    </row>
    <row r="580" spans="1:20" x14ac:dyDescent="0.25">
      <c r="A580" t="s">
        <v>2025</v>
      </c>
      <c r="B580" t="s">
        <v>3052</v>
      </c>
      <c r="C580" t="s">
        <v>2026</v>
      </c>
      <c r="D580" t="s">
        <v>3390</v>
      </c>
      <c r="E580" s="1">
        <v>44397.760416666664</v>
      </c>
      <c r="F580" s="1" t="str">
        <f t="shared" si="9"/>
        <v>Tuesday</v>
      </c>
      <c r="G580" t="s">
        <v>2027</v>
      </c>
      <c r="H580" t="s">
        <v>3955</v>
      </c>
      <c r="I580" t="s">
        <v>32</v>
      </c>
      <c r="J580" t="s">
        <v>4106</v>
      </c>
      <c r="K580" t="s">
        <v>2028</v>
      </c>
      <c r="L580">
        <v>22</v>
      </c>
      <c r="M580">
        <v>45</v>
      </c>
      <c r="N580" t="s">
        <v>1540</v>
      </c>
      <c r="O580" t="s">
        <v>3405</v>
      </c>
      <c r="P580">
        <v>2021</v>
      </c>
      <c r="Q580">
        <v>7</v>
      </c>
      <c r="R580">
        <v>20</v>
      </c>
      <c r="S580">
        <v>18</v>
      </c>
      <c r="T580" t="str">
        <f>TEXT(Table1[[#This Row],[Month]],"MMMM")</f>
        <v>January</v>
      </c>
    </row>
    <row r="581" spans="1:20" x14ac:dyDescent="0.25">
      <c r="A581" t="s">
        <v>2029</v>
      </c>
      <c r="B581" t="s">
        <v>3053</v>
      </c>
      <c r="C581" t="s">
        <v>2030</v>
      </c>
      <c r="D581" t="s">
        <v>3391</v>
      </c>
      <c r="E581" s="1">
        <v>43573.854166666664</v>
      </c>
      <c r="F581" s="1" t="str">
        <f t="shared" si="9"/>
        <v>Thursday</v>
      </c>
      <c r="G581" t="s">
        <v>2031</v>
      </c>
      <c r="H581" t="s">
        <v>3956</v>
      </c>
      <c r="I581" t="s">
        <v>875</v>
      </c>
      <c r="J581" t="s">
        <v>4104</v>
      </c>
      <c r="K581" t="s">
        <v>2032</v>
      </c>
      <c r="L581">
        <v>35</v>
      </c>
      <c r="M581">
        <v>70</v>
      </c>
      <c r="N581" t="s">
        <v>1720</v>
      </c>
      <c r="O581" t="s">
        <v>3407</v>
      </c>
      <c r="P581">
        <v>2019</v>
      </c>
      <c r="Q581">
        <v>4</v>
      </c>
      <c r="R581">
        <v>18</v>
      </c>
      <c r="S581">
        <v>20</v>
      </c>
      <c r="T581" t="str">
        <f>TEXT(Table1[[#This Row],[Month]],"MMMM")</f>
        <v>January</v>
      </c>
    </row>
    <row r="582" spans="1:20" x14ac:dyDescent="0.25">
      <c r="A582" t="s">
        <v>2033</v>
      </c>
      <c r="B582" t="s">
        <v>3054</v>
      </c>
      <c r="C582" t="s">
        <v>389</v>
      </c>
      <c r="D582" t="s">
        <v>3231</v>
      </c>
      <c r="E582" s="1">
        <v>45066.822916666664</v>
      </c>
      <c r="F582" s="1" t="str">
        <f t="shared" si="9"/>
        <v>Saturday</v>
      </c>
      <c r="G582" t="s">
        <v>2034</v>
      </c>
      <c r="H582" t="s">
        <v>3957</v>
      </c>
      <c r="I582" t="s">
        <v>875</v>
      </c>
      <c r="J582" t="s">
        <v>4104</v>
      </c>
      <c r="K582" t="s">
        <v>2035</v>
      </c>
      <c r="L582">
        <v>15</v>
      </c>
      <c r="M582">
        <v>30</v>
      </c>
      <c r="N582" t="s">
        <v>2036</v>
      </c>
      <c r="O582" t="s">
        <v>60</v>
      </c>
      <c r="P582">
        <v>2023</v>
      </c>
      <c r="Q582">
        <v>5</v>
      </c>
      <c r="R582">
        <v>20</v>
      </c>
      <c r="S582">
        <v>19</v>
      </c>
      <c r="T582" t="str">
        <f>TEXT(Table1[[#This Row],[Month]],"MMMM")</f>
        <v>January</v>
      </c>
    </row>
    <row r="583" spans="1:20" x14ac:dyDescent="0.25">
      <c r="A583" t="s">
        <v>2037</v>
      </c>
      <c r="B583" t="s">
        <v>3055</v>
      </c>
      <c r="C583" t="s">
        <v>2038</v>
      </c>
      <c r="D583" t="s">
        <v>3254</v>
      </c>
      <c r="E583" s="1">
        <v>45067.875</v>
      </c>
      <c r="F583" s="1" t="str">
        <f t="shared" si="9"/>
        <v>Sunday</v>
      </c>
      <c r="G583" t="s">
        <v>2039</v>
      </c>
      <c r="H583" t="s">
        <v>3442</v>
      </c>
      <c r="I583" t="s">
        <v>27</v>
      </c>
      <c r="J583" t="s">
        <v>4105</v>
      </c>
      <c r="K583" t="s">
        <v>2040</v>
      </c>
      <c r="L583">
        <v>18</v>
      </c>
      <c r="M583">
        <v>35</v>
      </c>
      <c r="N583" t="s">
        <v>2041</v>
      </c>
      <c r="O583" t="s">
        <v>3401</v>
      </c>
      <c r="P583">
        <v>2023</v>
      </c>
      <c r="Q583">
        <v>5</v>
      </c>
      <c r="R583">
        <v>21</v>
      </c>
      <c r="S583">
        <v>21</v>
      </c>
      <c r="T583" t="str">
        <f>TEXT(Table1[[#This Row],[Month]],"MMMM")</f>
        <v>January</v>
      </c>
    </row>
    <row r="584" spans="1:20" x14ac:dyDescent="0.25">
      <c r="A584" t="s">
        <v>2042</v>
      </c>
      <c r="B584" t="s">
        <v>3056</v>
      </c>
      <c r="C584" t="s">
        <v>1625</v>
      </c>
      <c r="D584" t="s">
        <v>3216</v>
      </c>
      <c r="E584" s="1">
        <v>45068.604166666664</v>
      </c>
      <c r="F584" s="1" t="str">
        <f t="shared" si="9"/>
        <v>Monday</v>
      </c>
      <c r="G584" t="s">
        <v>2043</v>
      </c>
      <c r="H584" t="s">
        <v>3958</v>
      </c>
      <c r="I584" t="s">
        <v>32</v>
      </c>
      <c r="J584" t="s">
        <v>4106</v>
      </c>
      <c r="K584" t="s">
        <v>2044</v>
      </c>
      <c r="L584">
        <v>22</v>
      </c>
      <c r="M584">
        <v>45</v>
      </c>
      <c r="N584" t="s">
        <v>2045</v>
      </c>
      <c r="O584" t="s">
        <v>3432</v>
      </c>
      <c r="P584">
        <v>2023</v>
      </c>
      <c r="Q584">
        <v>5</v>
      </c>
      <c r="R584">
        <v>22</v>
      </c>
      <c r="S584">
        <v>14</v>
      </c>
      <c r="T584" t="str">
        <f>TEXT(Table1[[#This Row],[Month]],"MMMM")</f>
        <v>January</v>
      </c>
    </row>
    <row r="585" spans="1:20" x14ac:dyDescent="0.25">
      <c r="A585" t="s">
        <v>2046</v>
      </c>
      <c r="B585" t="s">
        <v>3057</v>
      </c>
      <c r="C585" t="s">
        <v>661</v>
      </c>
      <c r="D585" t="s">
        <v>3253</v>
      </c>
      <c r="E585" s="1">
        <v>45069.697916666664</v>
      </c>
      <c r="F585" s="1" t="str">
        <f t="shared" si="9"/>
        <v>Tuesday</v>
      </c>
      <c r="G585" t="s">
        <v>2047</v>
      </c>
      <c r="H585" t="s">
        <v>3959</v>
      </c>
      <c r="I585" t="s">
        <v>875</v>
      </c>
      <c r="J585" t="s">
        <v>4104</v>
      </c>
      <c r="K585" t="s">
        <v>2048</v>
      </c>
      <c r="L585">
        <v>20</v>
      </c>
      <c r="M585">
        <v>40</v>
      </c>
      <c r="N585" t="s">
        <v>2036</v>
      </c>
      <c r="O585" t="s">
        <v>60</v>
      </c>
      <c r="P585">
        <v>2023</v>
      </c>
      <c r="Q585">
        <v>5</v>
      </c>
      <c r="R585">
        <v>23</v>
      </c>
      <c r="S585">
        <v>16</v>
      </c>
      <c r="T585" t="str">
        <f>TEXT(Table1[[#This Row],[Month]],"MMMM")</f>
        <v>January</v>
      </c>
    </row>
    <row r="586" spans="1:20" x14ac:dyDescent="0.25">
      <c r="A586" t="s">
        <v>2049</v>
      </c>
      <c r="B586" t="s">
        <v>3058</v>
      </c>
      <c r="C586" t="s">
        <v>1671</v>
      </c>
      <c r="D586" t="s">
        <v>3224</v>
      </c>
      <c r="E586" s="1">
        <v>45070.552083333336</v>
      </c>
      <c r="F586" s="1" t="str">
        <f t="shared" si="9"/>
        <v>Wednesday</v>
      </c>
      <c r="G586" t="s">
        <v>2050</v>
      </c>
      <c r="H586" t="s">
        <v>3960</v>
      </c>
      <c r="I586" t="s">
        <v>27</v>
      </c>
      <c r="J586" t="s">
        <v>4105</v>
      </c>
      <c r="K586" t="s">
        <v>2051</v>
      </c>
      <c r="L586">
        <v>25</v>
      </c>
      <c r="M586">
        <v>50</v>
      </c>
      <c r="N586" t="s">
        <v>2041</v>
      </c>
      <c r="O586" t="s">
        <v>3401</v>
      </c>
      <c r="P586">
        <v>2023</v>
      </c>
      <c r="Q586">
        <v>5</v>
      </c>
      <c r="R586">
        <v>24</v>
      </c>
      <c r="S586">
        <v>13</v>
      </c>
      <c r="T586" t="str">
        <f>TEXT(Table1[[#This Row],[Month]],"MMMM")</f>
        <v>January</v>
      </c>
    </row>
    <row r="587" spans="1:20" x14ac:dyDescent="0.25">
      <c r="A587" t="s">
        <v>2052</v>
      </c>
      <c r="B587" t="s">
        <v>3059</v>
      </c>
      <c r="C587" t="s">
        <v>2053</v>
      </c>
      <c r="D587" t="s">
        <v>3261</v>
      </c>
      <c r="E587" s="1">
        <v>45071.791666666664</v>
      </c>
      <c r="F587" s="1" t="str">
        <f t="shared" si="9"/>
        <v>Thursday</v>
      </c>
      <c r="G587" t="s">
        <v>2054</v>
      </c>
      <c r="H587" t="s">
        <v>3961</v>
      </c>
      <c r="I587" t="s">
        <v>32</v>
      </c>
      <c r="J587" t="s">
        <v>4106</v>
      </c>
      <c r="K587" t="s">
        <v>2055</v>
      </c>
      <c r="L587">
        <v>20</v>
      </c>
      <c r="M587">
        <v>40</v>
      </c>
      <c r="N587" t="s">
        <v>2036</v>
      </c>
      <c r="O587" t="s">
        <v>60</v>
      </c>
      <c r="P587">
        <v>2023</v>
      </c>
      <c r="Q587">
        <v>5</v>
      </c>
      <c r="R587">
        <v>25</v>
      </c>
      <c r="S587">
        <v>19</v>
      </c>
      <c r="T587" t="str">
        <f>TEXT(Table1[[#This Row],[Month]],"MMMM")</f>
        <v>January</v>
      </c>
    </row>
    <row r="588" spans="1:20" x14ac:dyDescent="0.25">
      <c r="A588" t="s">
        <v>2056</v>
      </c>
      <c r="B588" t="s">
        <v>3060</v>
      </c>
      <c r="C588" t="s">
        <v>1881</v>
      </c>
      <c r="D588" t="s">
        <v>3294</v>
      </c>
      <c r="E588" s="1">
        <v>45072.597222222219</v>
      </c>
      <c r="F588" s="1" t="str">
        <f t="shared" si="9"/>
        <v>Friday</v>
      </c>
      <c r="G588" t="s">
        <v>2057</v>
      </c>
      <c r="H588" t="s">
        <v>3962</v>
      </c>
      <c r="I588" t="s">
        <v>875</v>
      </c>
      <c r="J588" t="s">
        <v>4104</v>
      </c>
      <c r="K588" t="s">
        <v>2058</v>
      </c>
      <c r="L588">
        <v>28</v>
      </c>
      <c r="M588">
        <v>55</v>
      </c>
      <c r="N588" t="s">
        <v>2045</v>
      </c>
      <c r="O588" t="s">
        <v>3432</v>
      </c>
      <c r="P588">
        <v>2023</v>
      </c>
      <c r="Q588">
        <v>5</v>
      </c>
      <c r="R588">
        <v>26</v>
      </c>
      <c r="S588">
        <v>14</v>
      </c>
      <c r="T588" t="str">
        <f>TEXT(Table1[[#This Row],[Month]],"MMMM")</f>
        <v>January</v>
      </c>
    </row>
    <row r="589" spans="1:20" x14ac:dyDescent="0.25">
      <c r="A589" t="s">
        <v>2059</v>
      </c>
      <c r="B589" t="s">
        <v>3061</v>
      </c>
      <c r="C589" t="s">
        <v>2060</v>
      </c>
      <c r="D589" t="s">
        <v>3214</v>
      </c>
      <c r="E589" s="1">
        <v>45073.885416666664</v>
      </c>
      <c r="F589" s="1" t="str">
        <f t="shared" si="9"/>
        <v>Saturday</v>
      </c>
      <c r="G589" t="s">
        <v>2061</v>
      </c>
      <c r="H589" t="s">
        <v>3963</v>
      </c>
      <c r="I589" t="s">
        <v>27</v>
      </c>
      <c r="J589" t="s">
        <v>4105</v>
      </c>
      <c r="K589" t="s">
        <v>2062</v>
      </c>
      <c r="L589">
        <v>22</v>
      </c>
      <c r="M589">
        <v>45</v>
      </c>
      <c r="N589" t="s">
        <v>2041</v>
      </c>
      <c r="O589" t="s">
        <v>3401</v>
      </c>
      <c r="P589">
        <v>2023</v>
      </c>
      <c r="Q589">
        <v>5</v>
      </c>
      <c r="R589">
        <v>27</v>
      </c>
      <c r="S589">
        <v>21</v>
      </c>
      <c r="T589" t="str">
        <f>TEXT(Table1[[#This Row],[Month]],"MMMM")</f>
        <v>January</v>
      </c>
    </row>
    <row r="590" spans="1:20" x14ac:dyDescent="0.25">
      <c r="A590" t="s">
        <v>2063</v>
      </c>
      <c r="B590" t="s">
        <v>3062</v>
      </c>
      <c r="C590" t="s">
        <v>1671</v>
      </c>
      <c r="D590" t="s">
        <v>3224</v>
      </c>
      <c r="E590" s="1">
        <v>45074.5</v>
      </c>
      <c r="F590" s="1" t="str">
        <f t="shared" si="9"/>
        <v>Sunday</v>
      </c>
      <c r="G590" t="s">
        <v>2064</v>
      </c>
      <c r="H590" t="s">
        <v>3964</v>
      </c>
      <c r="I590" t="s">
        <v>32</v>
      </c>
      <c r="J590" t="s">
        <v>4106</v>
      </c>
      <c r="K590" t="s">
        <v>2065</v>
      </c>
      <c r="L590">
        <v>18</v>
      </c>
      <c r="M590">
        <v>35</v>
      </c>
      <c r="N590" t="s">
        <v>2036</v>
      </c>
      <c r="O590" t="s">
        <v>60</v>
      </c>
      <c r="P590">
        <v>2023</v>
      </c>
      <c r="Q590">
        <v>5</v>
      </c>
      <c r="R590">
        <v>28</v>
      </c>
      <c r="S590">
        <v>12</v>
      </c>
      <c r="T590" t="str">
        <f>TEXT(Table1[[#This Row],[Month]],"MMMM")</f>
        <v>January</v>
      </c>
    </row>
    <row r="591" spans="1:20" x14ac:dyDescent="0.25">
      <c r="A591" t="s">
        <v>2066</v>
      </c>
      <c r="B591" t="s">
        <v>3063</v>
      </c>
      <c r="C591" t="s">
        <v>1625</v>
      </c>
      <c r="D591" t="s">
        <v>3216</v>
      </c>
      <c r="E591" s="1">
        <v>45075.979166666664</v>
      </c>
      <c r="F591" s="1" t="str">
        <f t="shared" si="9"/>
        <v>Monday</v>
      </c>
      <c r="G591" t="s">
        <v>2067</v>
      </c>
      <c r="H591" t="s">
        <v>3965</v>
      </c>
      <c r="I591" t="s">
        <v>875</v>
      </c>
      <c r="J591" t="s">
        <v>4104</v>
      </c>
      <c r="K591" t="s">
        <v>2068</v>
      </c>
      <c r="L591">
        <v>30</v>
      </c>
      <c r="M591">
        <v>60</v>
      </c>
      <c r="N591" t="s">
        <v>2045</v>
      </c>
      <c r="O591" t="s">
        <v>3432</v>
      </c>
      <c r="P591">
        <v>2023</v>
      </c>
      <c r="Q591">
        <v>5</v>
      </c>
      <c r="R591">
        <v>29</v>
      </c>
      <c r="S591">
        <v>23</v>
      </c>
      <c r="T591" t="str">
        <f>TEXT(Table1[[#This Row],[Month]],"MMMM")</f>
        <v>January</v>
      </c>
    </row>
    <row r="592" spans="1:20" x14ac:dyDescent="0.25">
      <c r="A592" t="s">
        <v>2069</v>
      </c>
      <c r="B592" t="s">
        <v>3064</v>
      </c>
      <c r="C592" t="s">
        <v>389</v>
      </c>
      <c r="D592" t="s">
        <v>3231</v>
      </c>
      <c r="E592" s="1">
        <v>45076.864583333336</v>
      </c>
      <c r="F592" s="1" t="str">
        <f t="shared" si="9"/>
        <v>Tuesday</v>
      </c>
      <c r="G592" t="s">
        <v>2070</v>
      </c>
      <c r="H592" t="s">
        <v>3474</v>
      </c>
      <c r="I592" t="s">
        <v>27</v>
      </c>
      <c r="J592" t="s">
        <v>4105</v>
      </c>
      <c r="K592" t="s">
        <v>2071</v>
      </c>
      <c r="L592">
        <v>22</v>
      </c>
      <c r="M592">
        <v>45</v>
      </c>
      <c r="N592" t="s">
        <v>2036</v>
      </c>
      <c r="O592" t="s">
        <v>60</v>
      </c>
      <c r="P592">
        <v>2023</v>
      </c>
      <c r="Q592">
        <v>5</v>
      </c>
      <c r="R592">
        <v>30</v>
      </c>
      <c r="S592">
        <v>20</v>
      </c>
      <c r="T592" t="str">
        <f>TEXT(Table1[[#This Row],[Month]],"MMMM")</f>
        <v>January</v>
      </c>
    </row>
    <row r="593" spans="1:20" x14ac:dyDescent="0.25">
      <c r="A593" t="s">
        <v>2072</v>
      </c>
      <c r="B593" t="s">
        <v>3065</v>
      </c>
      <c r="C593" t="s">
        <v>1625</v>
      </c>
      <c r="D593" t="s">
        <v>3216</v>
      </c>
      <c r="E593" s="1">
        <v>45077.645833333336</v>
      </c>
      <c r="F593" s="1" t="str">
        <f t="shared" si="9"/>
        <v>Wednesday</v>
      </c>
      <c r="G593" t="s">
        <v>2073</v>
      </c>
      <c r="H593" t="s">
        <v>3966</v>
      </c>
      <c r="I593" t="s">
        <v>32</v>
      </c>
      <c r="J593" t="s">
        <v>4106</v>
      </c>
      <c r="K593" t="s">
        <v>2074</v>
      </c>
      <c r="L593">
        <v>35</v>
      </c>
      <c r="M593">
        <v>70</v>
      </c>
      <c r="N593" t="s">
        <v>2041</v>
      </c>
      <c r="O593" t="s">
        <v>3401</v>
      </c>
      <c r="P593">
        <v>2023</v>
      </c>
      <c r="Q593">
        <v>5</v>
      </c>
      <c r="R593">
        <v>31</v>
      </c>
      <c r="S593">
        <v>15</v>
      </c>
      <c r="T593" t="str">
        <f>TEXT(Table1[[#This Row],[Month]],"MMMM")</f>
        <v>January</v>
      </c>
    </row>
    <row r="594" spans="1:20" x14ac:dyDescent="0.25">
      <c r="A594" t="s">
        <v>2075</v>
      </c>
      <c r="B594" t="s">
        <v>3066</v>
      </c>
      <c r="C594" t="s">
        <v>389</v>
      </c>
      <c r="D594" t="s">
        <v>3231</v>
      </c>
      <c r="E594" s="1">
        <v>45078.75</v>
      </c>
      <c r="F594" s="1" t="str">
        <f t="shared" si="9"/>
        <v>Thursday</v>
      </c>
      <c r="G594" t="s">
        <v>2076</v>
      </c>
      <c r="H594" t="s">
        <v>3967</v>
      </c>
      <c r="I594" t="s">
        <v>875</v>
      </c>
      <c r="J594" t="s">
        <v>4104</v>
      </c>
      <c r="K594" t="s">
        <v>2077</v>
      </c>
      <c r="L594">
        <v>20</v>
      </c>
      <c r="M594">
        <v>40</v>
      </c>
      <c r="N594" t="s">
        <v>2036</v>
      </c>
      <c r="O594" t="s">
        <v>60</v>
      </c>
      <c r="P594">
        <v>2023</v>
      </c>
      <c r="Q594">
        <v>6</v>
      </c>
      <c r="R594">
        <v>1</v>
      </c>
      <c r="S594">
        <v>18</v>
      </c>
      <c r="T594" t="str">
        <f>TEXT(Table1[[#This Row],[Month]],"MMMM")</f>
        <v>January</v>
      </c>
    </row>
    <row r="595" spans="1:20" x14ac:dyDescent="0.25">
      <c r="A595" t="s">
        <v>2078</v>
      </c>
      <c r="B595" t="s">
        <v>3067</v>
      </c>
      <c r="C595" t="s">
        <v>661</v>
      </c>
      <c r="D595" t="s">
        <v>3253</v>
      </c>
      <c r="E595" s="1">
        <v>45079.604166666664</v>
      </c>
      <c r="F595" s="1" t="str">
        <f t="shared" si="9"/>
        <v>Friday</v>
      </c>
      <c r="G595" t="s">
        <v>2079</v>
      </c>
      <c r="H595" t="s">
        <v>3968</v>
      </c>
      <c r="I595" t="s">
        <v>27</v>
      </c>
      <c r="J595" t="s">
        <v>4105</v>
      </c>
      <c r="K595" t="s">
        <v>2080</v>
      </c>
      <c r="L595">
        <v>28</v>
      </c>
      <c r="M595">
        <v>55</v>
      </c>
      <c r="N595" t="s">
        <v>2045</v>
      </c>
      <c r="O595" t="s">
        <v>3432</v>
      </c>
      <c r="P595">
        <v>2023</v>
      </c>
      <c r="Q595">
        <v>6</v>
      </c>
      <c r="R595">
        <v>2</v>
      </c>
      <c r="S595">
        <v>14</v>
      </c>
      <c r="T595" t="str">
        <f>TEXT(Table1[[#This Row],[Month]],"MMMM")</f>
        <v>January</v>
      </c>
    </row>
    <row r="596" spans="1:20" x14ac:dyDescent="0.25">
      <c r="A596" t="s">
        <v>2081</v>
      </c>
      <c r="B596" t="s">
        <v>3068</v>
      </c>
      <c r="C596" t="s">
        <v>1625</v>
      </c>
      <c r="D596" t="s">
        <v>3216</v>
      </c>
      <c r="E596" s="1">
        <v>45080.885416666664</v>
      </c>
      <c r="F596" s="1" t="str">
        <f t="shared" si="9"/>
        <v>Saturday</v>
      </c>
      <c r="G596" t="s">
        <v>2082</v>
      </c>
      <c r="H596" t="s">
        <v>3969</v>
      </c>
      <c r="I596" t="s">
        <v>32</v>
      </c>
      <c r="J596" t="s">
        <v>4106</v>
      </c>
      <c r="K596" t="s">
        <v>2083</v>
      </c>
      <c r="L596">
        <v>22</v>
      </c>
      <c r="M596">
        <v>45</v>
      </c>
      <c r="N596" t="s">
        <v>2041</v>
      </c>
      <c r="O596" t="s">
        <v>3401</v>
      </c>
      <c r="P596">
        <v>2023</v>
      </c>
      <c r="Q596">
        <v>6</v>
      </c>
      <c r="R596">
        <v>3</v>
      </c>
      <c r="S596">
        <v>21</v>
      </c>
      <c r="T596" t="str">
        <f>TEXT(Table1[[#This Row],[Month]],"MMMM")</f>
        <v>January</v>
      </c>
    </row>
    <row r="597" spans="1:20" x14ac:dyDescent="0.25">
      <c r="A597" t="s">
        <v>2084</v>
      </c>
      <c r="B597" t="s">
        <v>3069</v>
      </c>
      <c r="C597" t="s">
        <v>1824</v>
      </c>
      <c r="D597" t="s">
        <v>3233</v>
      </c>
      <c r="E597" s="1">
        <v>45081.8125</v>
      </c>
      <c r="F597" s="1" t="str">
        <f t="shared" si="9"/>
        <v>Sunday</v>
      </c>
      <c r="G597" t="s">
        <v>2085</v>
      </c>
      <c r="H597" t="s">
        <v>3571</v>
      </c>
      <c r="I597" t="s">
        <v>875</v>
      </c>
      <c r="J597" t="s">
        <v>4104</v>
      </c>
      <c r="K597" t="s">
        <v>2086</v>
      </c>
      <c r="L597">
        <v>25</v>
      </c>
      <c r="M597">
        <v>50</v>
      </c>
      <c r="N597" t="s">
        <v>2036</v>
      </c>
      <c r="O597" t="s">
        <v>60</v>
      </c>
      <c r="P597">
        <v>2023</v>
      </c>
      <c r="Q597">
        <v>6</v>
      </c>
      <c r="R597">
        <v>4</v>
      </c>
      <c r="S597">
        <v>19</v>
      </c>
      <c r="T597" t="str">
        <f>TEXT(Table1[[#This Row],[Month]],"MMMM")</f>
        <v>January</v>
      </c>
    </row>
    <row r="598" spans="1:20" x14ac:dyDescent="0.25">
      <c r="A598" t="s">
        <v>2087</v>
      </c>
      <c r="B598" t="s">
        <v>3070</v>
      </c>
      <c r="C598" t="s">
        <v>389</v>
      </c>
      <c r="D598" t="s">
        <v>3231</v>
      </c>
      <c r="E598" s="1">
        <v>45082.416666666664</v>
      </c>
      <c r="F598" s="1" t="str">
        <f t="shared" si="9"/>
        <v>Monday</v>
      </c>
      <c r="G598" t="s">
        <v>2088</v>
      </c>
      <c r="H598" t="s">
        <v>3970</v>
      </c>
      <c r="I598" t="s">
        <v>27</v>
      </c>
      <c r="J598" t="s">
        <v>4105</v>
      </c>
      <c r="K598" t="s">
        <v>2089</v>
      </c>
      <c r="L598">
        <v>18</v>
      </c>
      <c r="M598">
        <v>35</v>
      </c>
      <c r="N598" t="s">
        <v>2045</v>
      </c>
      <c r="O598" t="s">
        <v>3432</v>
      </c>
      <c r="P598">
        <v>2023</v>
      </c>
      <c r="Q598">
        <v>6</v>
      </c>
      <c r="R598">
        <v>5</v>
      </c>
      <c r="S598">
        <v>10</v>
      </c>
      <c r="T598" t="str">
        <f>TEXT(Table1[[#This Row],[Month]],"MMMM")</f>
        <v>January</v>
      </c>
    </row>
    <row r="599" spans="1:20" x14ac:dyDescent="0.25">
      <c r="A599" t="s">
        <v>2090</v>
      </c>
      <c r="B599" t="s">
        <v>3071</v>
      </c>
      <c r="C599" t="s">
        <v>1625</v>
      </c>
      <c r="D599" t="s">
        <v>3216</v>
      </c>
      <c r="E599" s="1">
        <v>45083.9375</v>
      </c>
      <c r="F599" s="1" t="str">
        <f t="shared" si="9"/>
        <v>Tuesday</v>
      </c>
      <c r="G599" t="s">
        <v>1265</v>
      </c>
      <c r="H599" t="s">
        <v>3773</v>
      </c>
      <c r="I599" t="s">
        <v>32</v>
      </c>
      <c r="J599" t="s">
        <v>4106</v>
      </c>
      <c r="K599" t="s">
        <v>2091</v>
      </c>
      <c r="L599">
        <v>28</v>
      </c>
      <c r="M599">
        <v>55</v>
      </c>
      <c r="N599" t="s">
        <v>2041</v>
      </c>
      <c r="O599" t="s">
        <v>3401</v>
      </c>
      <c r="P599">
        <v>2023</v>
      </c>
      <c r="Q599">
        <v>6</v>
      </c>
      <c r="R599">
        <v>6</v>
      </c>
      <c r="S599">
        <v>22</v>
      </c>
      <c r="T599" t="str">
        <f>TEXT(Table1[[#This Row],[Month]],"MMMM")</f>
        <v>January</v>
      </c>
    </row>
    <row r="600" spans="1:20" x14ac:dyDescent="0.25">
      <c r="A600" t="s">
        <v>2092</v>
      </c>
      <c r="B600" t="s">
        <v>3072</v>
      </c>
      <c r="C600" t="s">
        <v>1625</v>
      </c>
      <c r="D600" t="s">
        <v>3216</v>
      </c>
      <c r="E600" s="1">
        <v>45084.53125</v>
      </c>
      <c r="F600" s="1" t="str">
        <f t="shared" si="9"/>
        <v>Wednesday</v>
      </c>
      <c r="G600" t="s">
        <v>2093</v>
      </c>
      <c r="H600" t="s">
        <v>3971</v>
      </c>
      <c r="I600" t="s">
        <v>875</v>
      </c>
      <c r="J600" t="s">
        <v>4104</v>
      </c>
      <c r="K600" t="s">
        <v>2094</v>
      </c>
      <c r="L600">
        <v>22</v>
      </c>
      <c r="M600">
        <v>45</v>
      </c>
      <c r="N600" t="s">
        <v>2036</v>
      </c>
      <c r="O600" t="s">
        <v>60</v>
      </c>
      <c r="P600">
        <v>2023</v>
      </c>
      <c r="Q600">
        <v>6</v>
      </c>
      <c r="R600">
        <v>7</v>
      </c>
      <c r="S600">
        <v>12</v>
      </c>
      <c r="T600" t="str">
        <f>TEXT(Table1[[#This Row],[Month]],"MMMM")</f>
        <v>January</v>
      </c>
    </row>
    <row r="601" spans="1:20" x14ac:dyDescent="0.25">
      <c r="A601" t="s">
        <v>2095</v>
      </c>
      <c r="B601" t="s">
        <v>3073</v>
      </c>
      <c r="C601" t="s">
        <v>389</v>
      </c>
      <c r="D601" t="s">
        <v>3231</v>
      </c>
      <c r="E601" s="1">
        <v>45085.666666666664</v>
      </c>
      <c r="F601" s="1" t="str">
        <f t="shared" si="9"/>
        <v>Thursday</v>
      </c>
      <c r="G601" t="s">
        <v>2096</v>
      </c>
      <c r="H601" t="s">
        <v>3972</v>
      </c>
      <c r="I601" t="s">
        <v>27</v>
      </c>
      <c r="J601" t="s">
        <v>4105</v>
      </c>
      <c r="K601" t="s">
        <v>2097</v>
      </c>
      <c r="L601">
        <v>35</v>
      </c>
      <c r="M601">
        <v>70</v>
      </c>
      <c r="N601" t="s">
        <v>2045</v>
      </c>
      <c r="O601" t="s">
        <v>3432</v>
      </c>
      <c r="P601">
        <v>2023</v>
      </c>
      <c r="Q601">
        <v>6</v>
      </c>
      <c r="R601">
        <v>8</v>
      </c>
      <c r="S601">
        <v>16</v>
      </c>
      <c r="T601" t="str">
        <f>TEXT(Table1[[#This Row],[Month]],"MMMM")</f>
        <v>January</v>
      </c>
    </row>
    <row r="602" spans="1:20" x14ac:dyDescent="0.25">
      <c r="A602" t="s">
        <v>2098</v>
      </c>
      <c r="B602" t="s">
        <v>3074</v>
      </c>
      <c r="C602" t="s">
        <v>925</v>
      </c>
      <c r="D602" t="s">
        <v>3260</v>
      </c>
      <c r="E602" s="1">
        <v>45086.583333333336</v>
      </c>
      <c r="F602" s="1" t="str">
        <f t="shared" si="9"/>
        <v>Friday</v>
      </c>
      <c r="G602" t="s">
        <v>2099</v>
      </c>
      <c r="H602" t="s">
        <v>3479</v>
      </c>
      <c r="I602" t="s">
        <v>32</v>
      </c>
      <c r="J602" t="s">
        <v>4106</v>
      </c>
      <c r="K602" t="s">
        <v>2100</v>
      </c>
      <c r="L602">
        <v>20</v>
      </c>
      <c r="M602">
        <v>40</v>
      </c>
      <c r="N602" t="s">
        <v>2036</v>
      </c>
      <c r="O602" t="s">
        <v>60</v>
      </c>
      <c r="P602">
        <v>2023</v>
      </c>
      <c r="Q602">
        <v>6</v>
      </c>
      <c r="R602">
        <v>9</v>
      </c>
      <c r="S602">
        <v>14</v>
      </c>
      <c r="T602" t="str">
        <f>TEXT(Table1[[#This Row],[Month]],"MMMM")</f>
        <v>January</v>
      </c>
    </row>
    <row r="603" spans="1:20" x14ac:dyDescent="0.25">
      <c r="A603" t="s">
        <v>2101</v>
      </c>
      <c r="B603" t="s">
        <v>3075</v>
      </c>
      <c r="C603" t="s">
        <v>925</v>
      </c>
      <c r="D603" t="s">
        <v>3260</v>
      </c>
      <c r="E603" s="1">
        <v>45087.729166666664</v>
      </c>
      <c r="F603" s="1" t="str">
        <f t="shared" si="9"/>
        <v>Saturday</v>
      </c>
      <c r="G603" t="s">
        <v>2102</v>
      </c>
      <c r="H603" t="s">
        <v>3973</v>
      </c>
      <c r="I603" t="s">
        <v>875</v>
      </c>
      <c r="J603" t="s">
        <v>4104</v>
      </c>
      <c r="K603" t="s">
        <v>2103</v>
      </c>
      <c r="L603">
        <v>30</v>
      </c>
      <c r="M603">
        <v>60</v>
      </c>
      <c r="N603" t="s">
        <v>2041</v>
      </c>
      <c r="O603" t="s">
        <v>3401</v>
      </c>
      <c r="P603">
        <v>2023</v>
      </c>
      <c r="Q603">
        <v>6</v>
      </c>
      <c r="R603">
        <v>10</v>
      </c>
      <c r="S603">
        <v>17</v>
      </c>
      <c r="T603" t="str">
        <f>TEXT(Table1[[#This Row],[Month]],"MMMM")</f>
        <v>January</v>
      </c>
    </row>
    <row r="604" spans="1:20" x14ac:dyDescent="0.25">
      <c r="A604" t="s">
        <v>2104</v>
      </c>
      <c r="B604" t="s">
        <v>3076</v>
      </c>
      <c r="C604" t="s">
        <v>878</v>
      </c>
      <c r="D604" t="s">
        <v>3237</v>
      </c>
      <c r="E604" s="1">
        <v>45088.645833333336</v>
      </c>
      <c r="F604" s="1" t="str">
        <f t="shared" si="9"/>
        <v>Sunday</v>
      </c>
      <c r="G604" t="s">
        <v>2105</v>
      </c>
      <c r="H604" t="s">
        <v>3974</v>
      </c>
      <c r="I604" t="s">
        <v>27</v>
      </c>
      <c r="J604" t="s">
        <v>4105</v>
      </c>
      <c r="K604" t="s">
        <v>2106</v>
      </c>
      <c r="L604">
        <v>35</v>
      </c>
      <c r="M604">
        <v>70</v>
      </c>
      <c r="N604" t="s">
        <v>2036</v>
      </c>
      <c r="O604" t="s">
        <v>60</v>
      </c>
      <c r="P604">
        <v>2023</v>
      </c>
      <c r="Q604">
        <v>6</v>
      </c>
      <c r="R604">
        <v>11</v>
      </c>
      <c r="S604">
        <v>15</v>
      </c>
      <c r="T604" t="str">
        <f>TEXT(Table1[[#This Row],[Month]],"MMMM")</f>
        <v>January</v>
      </c>
    </row>
    <row r="605" spans="1:20" x14ac:dyDescent="0.25">
      <c r="A605" t="s">
        <v>2107</v>
      </c>
      <c r="B605" t="s">
        <v>3077</v>
      </c>
      <c r="C605" t="s">
        <v>1639</v>
      </c>
      <c r="D605" t="s">
        <v>3239</v>
      </c>
      <c r="E605" s="1">
        <v>45089.75</v>
      </c>
      <c r="F605" s="1" t="str">
        <f t="shared" si="9"/>
        <v>Monday</v>
      </c>
      <c r="G605" t="s">
        <v>2108</v>
      </c>
      <c r="H605" t="s">
        <v>3975</v>
      </c>
      <c r="I605" t="s">
        <v>875</v>
      </c>
      <c r="J605" t="s">
        <v>4104</v>
      </c>
      <c r="K605" t="s">
        <v>2109</v>
      </c>
      <c r="L605">
        <v>28</v>
      </c>
      <c r="M605">
        <v>55</v>
      </c>
      <c r="N605" t="s">
        <v>2045</v>
      </c>
      <c r="O605" t="s">
        <v>3432</v>
      </c>
      <c r="P605">
        <v>2023</v>
      </c>
      <c r="Q605">
        <v>6</v>
      </c>
      <c r="R605">
        <v>12</v>
      </c>
      <c r="S605">
        <v>18</v>
      </c>
      <c r="T605" t="str">
        <f>TEXT(Table1[[#This Row],[Month]],"MMMM")</f>
        <v>January</v>
      </c>
    </row>
    <row r="606" spans="1:20" x14ac:dyDescent="0.25">
      <c r="A606" t="s">
        <v>2110</v>
      </c>
      <c r="B606" t="s">
        <v>3078</v>
      </c>
      <c r="C606" t="s">
        <v>925</v>
      </c>
      <c r="D606" t="s">
        <v>3260</v>
      </c>
      <c r="E606" s="1">
        <v>45090.614583333336</v>
      </c>
      <c r="F606" s="1" t="str">
        <f t="shared" si="9"/>
        <v>Tuesday</v>
      </c>
      <c r="G606" t="s">
        <v>2111</v>
      </c>
      <c r="H606" t="s">
        <v>3976</v>
      </c>
      <c r="I606" t="s">
        <v>32</v>
      </c>
      <c r="J606" t="s">
        <v>4106</v>
      </c>
      <c r="K606" t="s">
        <v>2112</v>
      </c>
      <c r="L606">
        <v>22</v>
      </c>
      <c r="M606">
        <v>45</v>
      </c>
      <c r="N606" t="s">
        <v>2041</v>
      </c>
      <c r="O606" t="s">
        <v>3401</v>
      </c>
      <c r="P606">
        <v>2023</v>
      </c>
      <c r="Q606">
        <v>6</v>
      </c>
      <c r="R606">
        <v>13</v>
      </c>
      <c r="S606">
        <v>14</v>
      </c>
      <c r="T606" t="str">
        <f>TEXT(Table1[[#This Row],[Month]],"MMMM")</f>
        <v>January</v>
      </c>
    </row>
    <row r="607" spans="1:20" x14ac:dyDescent="0.25">
      <c r="A607" t="s">
        <v>2113</v>
      </c>
      <c r="B607" t="s">
        <v>3079</v>
      </c>
      <c r="C607" t="s">
        <v>878</v>
      </c>
      <c r="D607" t="s">
        <v>3237</v>
      </c>
      <c r="E607" s="1">
        <v>45091.8125</v>
      </c>
      <c r="F607" s="1" t="str">
        <f t="shared" si="9"/>
        <v>Wednesday</v>
      </c>
      <c r="G607" t="s">
        <v>2114</v>
      </c>
      <c r="H607" t="s">
        <v>3977</v>
      </c>
      <c r="I607" t="s">
        <v>27</v>
      </c>
      <c r="J607" t="s">
        <v>4105</v>
      </c>
      <c r="K607" t="s">
        <v>2115</v>
      </c>
      <c r="L607">
        <v>25</v>
      </c>
      <c r="M607">
        <v>50</v>
      </c>
      <c r="N607" t="s">
        <v>2036</v>
      </c>
      <c r="O607" t="s">
        <v>60</v>
      </c>
      <c r="P607">
        <v>2023</v>
      </c>
      <c r="Q607">
        <v>6</v>
      </c>
      <c r="R607">
        <v>14</v>
      </c>
      <c r="S607">
        <v>19</v>
      </c>
      <c r="T607" t="str">
        <f>TEXT(Table1[[#This Row],[Month]],"MMMM")</f>
        <v>January</v>
      </c>
    </row>
    <row r="608" spans="1:20" x14ac:dyDescent="0.25">
      <c r="A608" t="s">
        <v>2116</v>
      </c>
      <c r="B608" t="s">
        <v>3080</v>
      </c>
      <c r="C608" t="s">
        <v>925</v>
      </c>
      <c r="D608" t="s">
        <v>3260</v>
      </c>
      <c r="E608" s="1">
        <v>45092.510416666664</v>
      </c>
      <c r="F608" s="1" t="str">
        <f t="shared" si="9"/>
        <v>Thursday</v>
      </c>
      <c r="G608" t="s">
        <v>2117</v>
      </c>
      <c r="H608" t="s">
        <v>3978</v>
      </c>
      <c r="I608" t="s">
        <v>875</v>
      </c>
      <c r="J608" t="s">
        <v>4104</v>
      </c>
      <c r="K608" t="s">
        <v>2118</v>
      </c>
      <c r="L608">
        <v>30</v>
      </c>
      <c r="M608">
        <v>60</v>
      </c>
      <c r="N608" t="s">
        <v>2045</v>
      </c>
      <c r="O608" t="s">
        <v>3432</v>
      </c>
      <c r="P608">
        <v>2023</v>
      </c>
      <c r="Q608">
        <v>6</v>
      </c>
      <c r="R608">
        <v>15</v>
      </c>
      <c r="S608">
        <v>12</v>
      </c>
      <c r="T608" t="str">
        <f>TEXT(Table1[[#This Row],[Month]],"MMMM")</f>
        <v>January</v>
      </c>
    </row>
    <row r="609" spans="1:20" x14ac:dyDescent="0.25">
      <c r="A609" t="s">
        <v>2119</v>
      </c>
      <c r="B609" t="s">
        <v>3081</v>
      </c>
      <c r="C609" t="s">
        <v>1625</v>
      </c>
      <c r="D609" t="s">
        <v>3216</v>
      </c>
      <c r="E609" s="1">
        <v>45093.90625</v>
      </c>
      <c r="F609" s="1" t="str">
        <f t="shared" si="9"/>
        <v>Friday</v>
      </c>
      <c r="G609" t="s">
        <v>2120</v>
      </c>
      <c r="H609" t="s">
        <v>3979</v>
      </c>
      <c r="I609" t="s">
        <v>32</v>
      </c>
      <c r="J609" t="s">
        <v>4106</v>
      </c>
      <c r="K609" t="s">
        <v>2121</v>
      </c>
      <c r="L609">
        <v>18</v>
      </c>
      <c r="M609">
        <v>35</v>
      </c>
      <c r="N609" t="s">
        <v>2041</v>
      </c>
      <c r="O609" t="s">
        <v>3401</v>
      </c>
      <c r="P609">
        <v>2023</v>
      </c>
      <c r="Q609">
        <v>6</v>
      </c>
      <c r="R609">
        <v>16</v>
      </c>
      <c r="S609">
        <v>21</v>
      </c>
      <c r="T609" t="str">
        <f>TEXT(Table1[[#This Row],[Month]],"MMMM")</f>
        <v>January</v>
      </c>
    </row>
    <row r="610" spans="1:20" x14ac:dyDescent="0.25">
      <c r="A610" t="s">
        <v>2122</v>
      </c>
      <c r="B610" t="s">
        <v>3082</v>
      </c>
      <c r="C610" t="s">
        <v>1625</v>
      </c>
      <c r="D610" t="s">
        <v>3216</v>
      </c>
      <c r="E610" s="1">
        <v>45094.625</v>
      </c>
      <c r="F610" s="1" t="str">
        <f t="shared" si="9"/>
        <v>Saturday</v>
      </c>
      <c r="G610" t="s">
        <v>2123</v>
      </c>
      <c r="H610" t="s">
        <v>3980</v>
      </c>
      <c r="I610" t="s">
        <v>27</v>
      </c>
      <c r="J610" t="s">
        <v>4105</v>
      </c>
      <c r="K610" t="s">
        <v>2124</v>
      </c>
      <c r="L610">
        <v>35</v>
      </c>
      <c r="M610">
        <v>70</v>
      </c>
      <c r="N610" t="s">
        <v>2036</v>
      </c>
      <c r="O610" t="s">
        <v>60</v>
      </c>
      <c r="P610">
        <v>2023</v>
      </c>
      <c r="Q610">
        <v>6</v>
      </c>
      <c r="R610">
        <v>17</v>
      </c>
      <c r="S610">
        <v>15</v>
      </c>
      <c r="T610" t="str">
        <f>TEXT(Table1[[#This Row],[Month]],"MMMM")</f>
        <v>January</v>
      </c>
    </row>
    <row r="611" spans="1:20" x14ac:dyDescent="0.25">
      <c r="A611" t="s">
        <v>2125</v>
      </c>
      <c r="B611" t="s">
        <v>3083</v>
      </c>
      <c r="C611" t="s">
        <v>878</v>
      </c>
      <c r="D611" t="s">
        <v>3237</v>
      </c>
      <c r="E611" s="1">
        <v>45095.479166666664</v>
      </c>
      <c r="F611" s="1" t="str">
        <f t="shared" si="9"/>
        <v>Sunday</v>
      </c>
      <c r="G611" t="s">
        <v>2126</v>
      </c>
      <c r="H611" t="s">
        <v>3981</v>
      </c>
      <c r="I611" t="s">
        <v>875</v>
      </c>
      <c r="J611" t="s">
        <v>4104</v>
      </c>
      <c r="K611" t="s">
        <v>2127</v>
      </c>
      <c r="L611">
        <v>28</v>
      </c>
      <c r="M611">
        <v>55</v>
      </c>
      <c r="N611" t="s">
        <v>2045</v>
      </c>
      <c r="O611" t="s">
        <v>3432</v>
      </c>
      <c r="P611">
        <v>2023</v>
      </c>
      <c r="Q611">
        <v>6</v>
      </c>
      <c r="R611">
        <v>18</v>
      </c>
      <c r="S611">
        <v>11</v>
      </c>
      <c r="T611" t="str">
        <f>TEXT(Table1[[#This Row],[Month]],"MMMM")</f>
        <v>January</v>
      </c>
    </row>
    <row r="612" spans="1:20" x14ac:dyDescent="0.25">
      <c r="A612" t="s">
        <v>2128</v>
      </c>
      <c r="B612" t="s">
        <v>3084</v>
      </c>
      <c r="C612" t="s">
        <v>1625</v>
      </c>
      <c r="D612" t="s">
        <v>3216</v>
      </c>
      <c r="E612" s="1">
        <v>45096.6875</v>
      </c>
      <c r="F612" s="1" t="str">
        <f t="shared" si="9"/>
        <v>Monday</v>
      </c>
      <c r="G612" t="s">
        <v>2129</v>
      </c>
      <c r="H612" t="s">
        <v>3982</v>
      </c>
      <c r="I612" t="s">
        <v>32</v>
      </c>
      <c r="J612" t="s">
        <v>4106</v>
      </c>
      <c r="K612" t="s">
        <v>2130</v>
      </c>
      <c r="L612">
        <v>22</v>
      </c>
      <c r="M612">
        <v>45</v>
      </c>
      <c r="N612" t="s">
        <v>2041</v>
      </c>
      <c r="O612" t="s">
        <v>3401</v>
      </c>
      <c r="P612">
        <v>2023</v>
      </c>
      <c r="Q612">
        <v>6</v>
      </c>
      <c r="R612">
        <v>19</v>
      </c>
      <c r="S612">
        <v>16</v>
      </c>
      <c r="T612" t="str">
        <f>TEXT(Table1[[#This Row],[Month]],"MMMM")</f>
        <v>January</v>
      </c>
    </row>
    <row r="613" spans="1:20" x14ac:dyDescent="0.25">
      <c r="A613" t="s">
        <v>2131</v>
      </c>
      <c r="B613" t="s">
        <v>3085</v>
      </c>
      <c r="C613" t="s">
        <v>1625</v>
      </c>
      <c r="D613" t="s">
        <v>3216</v>
      </c>
      <c r="E613" s="1">
        <v>45097.597222222219</v>
      </c>
      <c r="F613" s="1" t="str">
        <f t="shared" si="9"/>
        <v>Tuesday</v>
      </c>
      <c r="G613" t="s">
        <v>2132</v>
      </c>
      <c r="H613" t="s">
        <v>3983</v>
      </c>
      <c r="I613" t="s">
        <v>27</v>
      </c>
      <c r="J613" t="s">
        <v>4105</v>
      </c>
      <c r="K613" t="s">
        <v>2133</v>
      </c>
      <c r="L613">
        <v>20</v>
      </c>
      <c r="M613">
        <v>40</v>
      </c>
      <c r="N613" t="s">
        <v>2036</v>
      </c>
      <c r="O613" t="s">
        <v>60</v>
      </c>
      <c r="P613">
        <v>2023</v>
      </c>
      <c r="Q613">
        <v>6</v>
      </c>
      <c r="R613">
        <v>20</v>
      </c>
      <c r="S613">
        <v>14</v>
      </c>
      <c r="T613" t="str">
        <f>TEXT(Table1[[#This Row],[Month]],"MMMM")</f>
        <v>January</v>
      </c>
    </row>
    <row r="614" spans="1:20" x14ac:dyDescent="0.25">
      <c r="A614" t="s">
        <v>2134</v>
      </c>
      <c r="B614" t="s">
        <v>3086</v>
      </c>
      <c r="C614" t="s">
        <v>878</v>
      </c>
      <c r="D614" t="s">
        <v>3237</v>
      </c>
      <c r="E614" s="1">
        <v>45098.791666666664</v>
      </c>
      <c r="F614" s="1" t="str">
        <f t="shared" si="9"/>
        <v>Wednesday</v>
      </c>
      <c r="G614" t="s">
        <v>2135</v>
      </c>
      <c r="H614" t="s">
        <v>3984</v>
      </c>
      <c r="I614" t="s">
        <v>875</v>
      </c>
      <c r="J614" t="s">
        <v>4104</v>
      </c>
      <c r="K614" t="s">
        <v>2136</v>
      </c>
      <c r="L614">
        <v>18</v>
      </c>
      <c r="M614">
        <v>35</v>
      </c>
      <c r="N614" t="s">
        <v>2045</v>
      </c>
      <c r="O614" t="s">
        <v>3432</v>
      </c>
      <c r="P614">
        <v>2023</v>
      </c>
      <c r="Q614">
        <v>6</v>
      </c>
      <c r="R614">
        <v>21</v>
      </c>
      <c r="S614">
        <v>19</v>
      </c>
      <c r="T614" t="str">
        <f>TEXT(Table1[[#This Row],[Month]],"MMMM")</f>
        <v>January</v>
      </c>
    </row>
    <row r="615" spans="1:20" x14ac:dyDescent="0.25">
      <c r="A615" t="s">
        <v>2137</v>
      </c>
      <c r="B615" t="s">
        <v>3087</v>
      </c>
      <c r="C615" t="s">
        <v>878</v>
      </c>
      <c r="D615" t="s">
        <v>3237</v>
      </c>
      <c r="E615" s="1">
        <v>45099.572916666664</v>
      </c>
      <c r="F615" s="1" t="str">
        <f t="shared" si="9"/>
        <v>Thursday</v>
      </c>
      <c r="G615" t="s">
        <v>1181</v>
      </c>
      <c r="H615" t="s">
        <v>3755</v>
      </c>
      <c r="I615" t="s">
        <v>32</v>
      </c>
      <c r="J615" t="s">
        <v>4106</v>
      </c>
      <c r="K615" t="s">
        <v>2138</v>
      </c>
      <c r="L615">
        <v>25</v>
      </c>
      <c r="M615">
        <v>50</v>
      </c>
      <c r="N615" t="s">
        <v>2036</v>
      </c>
      <c r="O615" t="s">
        <v>60</v>
      </c>
      <c r="P615">
        <v>2023</v>
      </c>
      <c r="Q615">
        <v>6</v>
      </c>
      <c r="R615">
        <v>22</v>
      </c>
      <c r="S615">
        <v>13</v>
      </c>
      <c r="T615" t="str">
        <f>TEXT(Table1[[#This Row],[Month]],"MMMM")</f>
        <v>January</v>
      </c>
    </row>
    <row r="616" spans="1:20" x14ac:dyDescent="0.25">
      <c r="A616" t="s">
        <v>2139</v>
      </c>
      <c r="B616" t="s">
        <v>3088</v>
      </c>
      <c r="C616" t="s">
        <v>878</v>
      </c>
      <c r="D616" t="s">
        <v>3237</v>
      </c>
      <c r="E616" s="1">
        <v>45100.78125</v>
      </c>
      <c r="F616" s="1" t="str">
        <f t="shared" si="9"/>
        <v>Friday</v>
      </c>
      <c r="G616" t="s">
        <v>2140</v>
      </c>
      <c r="H616" t="s">
        <v>3985</v>
      </c>
      <c r="I616" t="s">
        <v>27</v>
      </c>
      <c r="J616" t="s">
        <v>4105</v>
      </c>
      <c r="K616" t="s">
        <v>2141</v>
      </c>
      <c r="L616">
        <v>28</v>
      </c>
      <c r="M616">
        <v>55</v>
      </c>
      <c r="N616" t="s">
        <v>2045</v>
      </c>
      <c r="O616" t="s">
        <v>3432</v>
      </c>
      <c r="P616">
        <v>2023</v>
      </c>
      <c r="Q616">
        <v>6</v>
      </c>
      <c r="R616">
        <v>23</v>
      </c>
      <c r="S616">
        <v>18</v>
      </c>
      <c r="T616" t="str">
        <f>TEXT(Table1[[#This Row],[Month]],"MMMM")</f>
        <v>January</v>
      </c>
    </row>
    <row r="617" spans="1:20" x14ac:dyDescent="0.25">
      <c r="A617" t="s">
        <v>2142</v>
      </c>
      <c r="B617" t="s">
        <v>3089</v>
      </c>
      <c r="C617" t="s">
        <v>1625</v>
      </c>
      <c r="D617" t="s">
        <v>3216</v>
      </c>
      <c r="E617" s="1">
        <v>45101.677083333336</v>
      </c>
      <c r="F617" s="1" t="str">
        <f t="shared" si="9"/>
        <v>Saturday</v>
      </c>
      <c r="G617" t="s">
        <v>2143</v>
      </c>
      <c r="H617" t="s">
        <v>3986</v>
      </c>
      <c r="I617" t="s">
        <v>875</v>
      </c>
      <c r="J617" t="s">
        <v>4104</v>
      </c>
      <c r="K617" t="s">
        <v>2144</v>
      </c>
      <c r="L617">
        <v>22</v>
      </c>
      <c r="M617">
        <v>45</v>
      </c>
      <c r="N617" t="s">
        <v>2041</v>
      </c>
      <c r="O617" t="s">
        <v>3401</v>
      </c>
      <c r="P617">
        <v>2023</v>
      </c>
      <c r="Q617">
        <v>6</v>
      </c>
      <c r="R617">
        <v>24</v>
      </c>
      <c r="S617">
        <v>16</v>
      </c>
      <c r="T617" t="str">
        <f>TEXT(Table1[[#This Row],[Month]],"MMMM")</f>
        <v>January</v>
      </c>
    </row>
    <row r="618" spans="1:20" x14ac:dyDescent="0.25">
      <c r="A618" t="s">
        <v>2145</v>
      </c>
      <c r="B618" t="s">
        <v>3090</v>
      </c>
      <c r="C618" t="s">
        <v>1639</v>
      </c>
      <c r="D618" t="s">
        <v>3239</v>
      </c>
      <c r="E618" s="1">
        <v>45102.854166666664</v>
      </c>
      <c r="F618" s="1" t="str">
        <f t="shared" si="9"/>
        <v>Sunday</v>
      </c>
      <c r="G618" t="s">
        <v>2146</v>
      </c>
      <c r="H618" t="s">
        <v>3987</v>
      </c>
      <c r="I618" t="s">
        <v>32</v>
      </c>
      <c r="J618" t="s">
        <v>4106</v>
      </c>
      <c r="K618" t="s">
        <v>2147</v>
      </c>
      <c r="L618">
        <v>35</v>
      </c>
      <c r="M618">
        <v>70</v>
      </c>
      <c r="N618" t="s">
        <v>2036</v>
      </c>
      <c r="O618" t="s">
        <v>60</v>
      </c>
      <c r="P618">
        <v>2023</v>
      </c>
      <c r="Q618">
        <v>6</v>
      </c>
      <c r="R618">
        <v>25</v>
      </c>
      <c r="S618">
        <v>20</v>
      </c>
      <c r="T618" t="str">
        <f>TEXT(Table1[[#This Row],[Month]],"MMMM")</f>
        <v>January</v>
      </c>
    </row>
    <row r="619" spans="1:20" x14ac:dyDescent="0.25">
      <c r="A619" t="s">
        <v>2148</v>
      </c>
      <c r="B619" t="s">
        <v>3091</v>
      </c>
      <c r="C619" t="s">
        <v>925</v>
      </c>
      <c r="D619" t="s">
        <v>3260</v>
      </c>
      <c r="E619" s="1">
        <v>45103.583333333336</v>
      </c>
      <c r="F619" s="1" t="str">
        <f t="shared" si="9"/>
        <v>Monday</v>
      </c>
      <c r="G619" t="s">
        <v>2149</v>
      </c>
      <c r="H619" t="s">
        <v>3988</v>
      </c>
      <c r="I619" t="s">
        <v>27</v>
      </c>
      <c r="J619" t="s">
        <v>4105</v>
      </c>
      <c r="K619" t="s">
        <v>2150</v>
      </c>
      <c r="L619">
        <v>30</v>
      </c>
      <c r="M619">
        <v>60</v>
      </c>
      <c r="N619" t="s">
        <v>2045</v>
      </c>
      <c r="O619" t="s">
        <v>3432</v>
      </c>
      <c r="P619">
        <v>2023</v>
      </c>
      <c r="Q619">
        <v>6</v>
      </c>
      <c r="R619">
        <v>26</v>
      </c>
      <c r="S619">
        <v>14</v>
      </c>
      <c r="T619" t="str">
        <f>TEXT(Table1[[#This Row],[Month]],"MMMM")</f>
        <v>January</v>
      </c>
    </row>
    <row r="620" spans="1:20" x14ac:dyDescent="0.25">
      <c r="A620" t="s">
        <v>2151</v>
      </c>
      <c r="B620" t="s">
        <v>3092</v>
      </c>
      <c r="C620" t="s">
        <v>878</v>
      </c>
      <c r="D620" t="s">
        <v>3237</v>
      </c>
      <c r="E620" s="1">
        <v>45104.739583333336</v>
      </c>
      <c r="F620" s="1" t="str">
        <f t="shared" si="9"/>
        <v>Tuesday</v>
      </c>
      <c r="G620" t="s">
        <v>2152</v>
      </c>
      <c r="H620" t="s">
        <v>3989</v>
      </c>
      <c r="I620" t="s">
        <v>875</v>
      </c>
      <c r="J620" t="s">
        <v>4104</v>
      </c>
      <c r="K620" t="s">
        <v>2153</v>
      </c>
      <c r="L620">
        <v>20</v>
      </c>
      <c r="M620">
        <v>40</v>
      </c>
      <c r="N620" t="s">
        <v>2036</v>
      </c>
      <c r="O620" t="s">
        <v>60</v>
      </c>
      <c r="P620">
        <v>2023</v>
      </c>
      <c r="Q620">
        <v>6</v>
      </c>
      <c r="R620">
        <v>27</v>
      </c>
      <c r="S620">
        <v>17</v>
      </c>
      <c r="T620" t="str">
        <f>TEXT(Table1[[#This Row],[Month]],"MMMM")</f>
        <v>January</v>
      </c>
    </row>
    <row r="621" spans="1:20" x14ac:dyDescent="0.25">
      <c r="A621" t="s">
        <v>2154</v>
      </c>
      <c r="B621" t="s">
        <v>3093</v>
      </c>
      <c r="C621" t="s">
        <v>1625</v>
      </c>
      <c r="D621" t="s">
        <v>3216</v>
      </c>
      <c r="E621" s="1">
        <v>45105.927083333336</v>
      </c>
      <c r="F621" s="1" t="str">
        <f t="shared" si="9"/>
        <v>Wednesday</v>
      </c>
      <c r="G621" t="s">
        <v>2155</v>
      </c>
      <c r="H621" t="s">
        <v>3990</v>
      </c>
      <c r="I621" t="s">
        <v>32</v>
      </c>
      <c r="J621" t="s">
        <v>4106</v>
      </c>
      <c r="K621" t="s">
        <v>2156</v>
      </c>
      <c r="L621">
        <v>18</v>
      </c>
      <c r="M621">
        <v>35</v>
      </c>
      <c r="N621" t="s">
        <v>2045</v>
      </c>
      <c r="O621" t="s">
        <v>3432</v>
      </c>
      <c r="P621">
        <v>2023</v>
      </c>
      <c r="Q621">
        <v>6</v>
      </c>
      <c r="R621">
        <v>28</v>
      </c>
      <c r="S621">
        <v>22</v>
      </c>
      <c r="T621" t="str">
        <f>TEXT(Table1[[#This Row],[Month]],"MMMM")</f>
        <v>January</v>
      </c>
    </row>
    <row r="622" spans="1:20" x14ac:dyDescent="0.25">
      <c r="A622" t="s">
        <v>2157</v>
      </c>
      <c r="B622" t="s">
        <v>3094</v>
      </c>
      <c r="C622" t="s">
        <v>1625</v>
      </c>
      <c r="D622" t="s">
        <v>3216</v>
      </c>
      <c r="E622" s="1">
        <v>45106.6875</v>
      </c>
      <c r="F622" s="1" t="str">
        <f t="shared" si="9"/>
        <v>Thursday</v>
      </c>
      <c r="G622" t="s">
        <v>2158</v>
      </c>
      <c r="H622" t="s">
        <v>3991</v>
      </c>
      <c r="I622" t="s">
        <v>27</v>
      </c>
      <c r="J622" t="s">
        <v>4105</v>
      </c>
      <c r="K622" t="s">
        <v>2159</v>
      </c>
      <c r="L622">
        <v>25</v>
      </c>
      <c r="M622">
        <v>50</v>
      </c>
      <c r="N622" t="s">
        <v>2036</v>
      </c>
      <c r="O622" t="s">
        <v>60</v>
      </c>
      <c r="P622">
        <v>2023</v>
      </c>
      <c r="Q622">
        <v>6</v>
      </c>
      <c r="R622">
        <v>29</v>
      </c>
      <c r="S622">
        <v>16</v>
      </c>
      <c r="T622" t="str">
        <f>TEXT(Table1[[#This Row],[Month]],"MMMM")</f>
        <v>January</v>
      </c>
    </row>
    <row r="623" spans="1:20" x14ac:dyDescent="0.25">
      <c r="A623" t="s">
        <v>2160</v>
      </c>
      <c r="B623" t="s">
        <v>3095</v>
      </c>
      <c r="C623" t="s">
        <v>1639</v>
      </c>
      <c r="D623" t="s">
        <v>3239</v>
      </c>
      <c r="E623" s="1">
        <v>45107.8125</v>
      </c>
      <c r="F623" s="1" t="str">
        <f t="shared" si="9"/>
        <v>Friday</v>
      </c>
      <c r="G623" t="s">
        <v>2161</v>
      </c>
      <c r="H623" t="s">
        <v>3992</v>
      </c>
      <c r="I623" t="s">
        <v>875</v>
      </c>
      <c r="J623" t="s">
        <v>4104</v>
      </c>
      <c r="K623" t="s">
        <v>2162</v>
      </c>
      <c r="L623">
        <v>28</v>
      </c>
      <c r="M623">
        <v>55</v>
      </c>
      <c r="N623" t="s">
        <v>2045</v>
      </c>
      <c r="O623" t="s">
        <v>3432</v>
      </c>
      <c r="P623">
        <v>2023</v>
      </c>
      <c r="Q623">
        <v>6</v>
      </c>
      <c r="R623">
        <v>30</v>
      </c>
      <c r="S623">
        <v>19</v>
      </c>
      <c r="T623" t="str">
        <f>TEXT(Table1[[#This Row],[Month]],"MMMM")</f>
        <v>January</v>
      </c>
    </row>
    <row r="624" spans="1:20" x14ac:dyDescent="0.25">
      <c r="A624" t="s">
        <v>2163</v>
      </c>
      <c r="B624" t="s">
        <v>3096</v>
      </c>
      <c r="C624" t="s">
        <v>389</v>
      </c>
      <c r="D624" t="s">
        <v>3231</v>
      </c>
      <c r="E624" s="1">
        <v>45108.583333333336</v>
      </c>
      <c r="F624" s="1" t="str">
        <f t="shared" si="9"/>
        <v>Saturday</v>
      </c>
      <c r="G624" t="s">
        <v>2164</v>
      </c>
      <c r="H624" t="s">
        <v>3993</v>
      </c>
      <c r="I624" t="s">
        <v>27</v>
      </c>
      <c r="J624" t="s">
        <v>4105</v>
      </c>
      <c r="K624" t="s">
        <v>2165</v>
      </c>
      <c r="L624">
        <v>30</v>
      </c>
      <c r="M624">
        <v>60</v>
      </c>
      <c r="N624" t="s">
        <v>2036</v>
      </c>
      <c r="O624" t="s">
        <v>60</v>
      </c>
      <c r="P624">
        <v>2023</v>
      </c>
      <c r="Q624">
        <v>7</v>
      </c>
      <c r="R624">
        <v>1</v>
      </c>
      <c r="S624">
        <v>14</v>
      </c>
      <c r="T624" t="str">
        <f>TEXT(Table1[[#This Row],[Month]],"MMMM")</f>
        <v>January</v>
      </c>
    </row>
    <row r="625" spans="1:20" x14ac:dyDescent="0.25">
      <c r="A625" t="s">
        <v>2166</v>
      </c>
      <c r="B625" t="s">
        <v>3097</v>
      </c>
      <c r="C625" t="s">
        <v>1625</v>
      </c>
      <c r="D625" t="s">
        <v>3216</v>
      </c>
      <c r="E625" s="1">
        <v>45109.770833333336</v>
      </c>
      <c r="F625" s="1" t="str">
        <f t="shared" si="9"/>
        <v>Sunday</v>
      </c>
      <c r="G625" t="s">
        <v>2167</v>
      </c>
      <c r="H625" t="s">
        <v>3994</v>
      </c>
      <c r="I625" t="s">
        <v>32</v>
      </c>
      <c r="J625" t="s">
        <v>4106</v>
      </c>
      <c r="K625" t="s">
        <v>2168</v>
      </c>
      <c r="L625">
        <v>22</v>
      </c>
      <c r="M625">
        <v>45</v>
      </c>
      <c r="N625" t="s">
        <v>2045</v>
      </c>
      <c r="O625" t="s">
        <v>3432</v>
      </c>
      <c r="P625">
        <v>2023</v>
      </c>
      <c r="Q625">
        <v>7</v>
      </c>
      <c r="R625">
        <v>2</v>
      </c>
      <c r="S625">
        <v>18</v>
      </c>
      <c r="T625" t="str">
        <f>TEXT(Table1[[#This Row],[Month]],"MMMM")</f>
        <v>January</v>
      </c>
    </row>
    <row r="626" spans="1:20" x14ac:dyDescent="0.25">
      <c r="A626" t="s">
        <v>2169</v>
      </c>
      <c r="B626" t="s">
        <v>3098</v>
      </c>
      <c r="C626" t="s">
        <v>1625</v>
      </c>
      <c r="D626" t="s">
        <v>3216</v>
      </c>
      <c r="E626" s="1">
        <v>45110.53125</v>
      </c>
      <c r="F626" s="1" t="str">
        <f t="shared" si="9"/>
        <v>Monday</v>
      </c>
      <c r="G626" t="s">
        <v>2170</v>
      </c>
      <c r="H626" t="s">
        <v>3995</v>
      </c>
      <c r="I626" t="s">
        <v>875</v>
      </c>
      <c r="J626" t="s">
        <v>4104</v>
      </c>
      <c r="K626" t="s">
        <v>2171</v>
      </c>
      <c r="L626">
        <v>28</v>
      </c>
      <c r="M626">
        <v>55</v>
      </c>
      <c r="N626" t="s">
        <v>2041</v>
      </c>
      <c r="O626" t="s">
        <v>3401</v>
      </c>
      <c r="P626">
        <v>2023</v>
      </c>
      <c r="Q626">
        <v>7</v>
      </c>
      <c r="R626">
        <v>3</v>
      </c>
      <c r="S626">
        <v>12</v>
      </c>
      <c r="T626" t="str">
        <f>TEXT(Table1[[#This Row],[Month]],"MMMM")</f>
        <v>January</v>
      </c>
    </row>
    <row r="627" spans="1:20" x14ac:dyDescent="0.25">
      <c r="A627" t="s">
        <v>2172</v>
      </c>
      <c r="B627" t="s">
        <v>3099</v>
      </c>
      <c r="C627" t="s">
        <v>878</v>
      </c>
      <c r="D627" t="s">
        <v>3237</v>
      </c>
      <c r="E627" s="1">
        <v>45111.708333333336</v>
      </c>
      <c r="F627" s="1" t="str">
        <f t="shared" si="9"/>
        <v>Tuesday</v>
      </c>
      <c r="G627" t="s">
        <v>2173</v>
      </c>
      <c r="H627" t="s">
        <v>3996</v>
      </c>
      <c r="I627" t="s">
        <v>27</v>
      </c>
      <c r="J627" t="s">
        <v>4105</v>
      </c>
      <c r="K627" t="s">
        <v>2174</v>
      </c>
      <c r="L627">
        <v>35</v>
      </c>
      <c r="M627">
        <v>70</v>
      </c>
      <c r="N627" t="s">
        <v>2036</v>
      </c>
      <c r="O627" t="s">
        <v>60</v>
      </c>
      <c r="P627">
        <v>2023</v>
      </c>
      <c r="Q627">
        <v>7</v>
      </c>
      <c r="R627">
        <v>4</v>
      </c>
      <c r="S627">
        <v>17</v>
      </c>
      <c r="T627" t="str">
        <f>TEXT(Table1[[#This Row],[Month]],"MMMM")</f>
        <v>January</v>
      </c>
    </row>
    <row r="628" spans="1:20" x14ac:dyDescent="0.25">
      <c r="A628" t="s">
        <v>2175</v>
      </c>
      <c r="B628" t="s">
        <v>3100</v>
      </c>
      <c r="C628" t="s">
        <v>1625</v>
      </c>
      <c r="D628" t="s">
        <v>3216</v>
      </c>
      <c r="E628" s="1">
        <v>45112.84375</v>
      </c>
      <c r="F628" s="1" t="str">
        <f t="shared" si="9"/>
        <v>Wednesday</v>
      </c>
      <c r="G628" t="s">
        <v>2176</v>
      </c>
      <c r="H628" t="s">
        <v>3997</v>
      </c>
      <c r="I628" t="s">
        <v>875</v>
      </c>
      <c r="J628" t="s">
        <v>4104</v>
      </c>
      <c r="K628" t="s">
        <v>2177</v>
      </c>
      <c r="L628">
        <v>18</v>
      </c>
      <c r="M628">
        <v>35</v>
      </c>
      <c r="N628" t="s">
        <v>2045</v>
      </c>
      <c r="O628" t="s">
        <v>3432</v>
      </c>
      <c r="P628">
        <v>2023</v>
      </c>
      <c r="Q628">
        <v>7</v>
      </c>
      <c r="R628">
        <v>5</v>
      </c>
      <c r="S628">
        <v>20</v>
      </c>
      <c r="T628" t="str">
        <f>TEXT(Table1[[#This Row],[Month]],"MMMM")</f>
        <v>January</v>
      </c>
    </row>
    <row r="629" spans="1:20" x14ac:dyDescent="0.25">
      <c r="A629" t="s">
        <v>2178</v>
      </c>
      <c r="B629" t="s">
        <v>3101</v>
      </c>
      <c r="C629" t="s">
        <v>1625</v>
      </c>
      <c r="D629" t="s">
        <v>3216</v>
      </c>
      <c r="E629" s="1">
        <v>45113.604166666664</v>
      </c>
      <c r="F629" s="1" t="str">
        <f t="shared" si="9"/>
        <v>Thursday</v>
      </c>
      <c r="G629" t="s">
        <v>2179</v>
      </c>
      <c r="H629" t="s">
        <v>3998</v>
      </c>
      <c r="I629" t="s">
        <v>32</v>
      </c>
      <c r="J629" t="s">
        <v>4106</v>
      </c>
      <c r="K629" t="s">
        <v>2180</v>
      </c>
      <c r="L629">
        <v>25</v>
      </c>
      <c r="M629">
        <v>50</v>
      </c>
      <c r="N629" t="s">
        <v>2036</v>
      </c>
      <c r="O629" t="s">
        <v>60</v>
      </c>
      <c r="P629">
        <v>2023</v>
      </c>
      <c r="Q629">
        <v>7</v>
      </c>
      <c r="R629">
        <v>6</v>
      </c>
      <c r="S629">
        <v>14</v>
      </c>
      <c r="T629" t="str">
        <f>TEXT(Table1[[#This Row],[Month]],"MMMM")</f>
        <v>January</v>
      </c>
    </row>
    <row r="630" spans="1:20" x14ac:dyDescent="0.25">
      <c r="A630" t="s">
        <v>2181</v>
      </c>
      <c r="B630" t="s">
        <v>3102</v>
      </c>
      <c r="C630" t="s">
        <v>1625</v>
      </c>
      <c r="D630" t="s">
        <v>3216</v>
      </c>
      <c r="E630" s="1">
        <v>45114.822916666664</v>
      </c>
      <c r="F630" s="1" t="str">
        <f t="shared" si="9"/>
        <v>Friday</v>
      </c>
      <c r="G630" t="s">
        <v>2182</v>
      </c>
      <c r="H630" t="s">
        <v>3999</v>
      </c>
      <c r="I630" t="s">
        <v>27</v>
      </c>
      <c r="J630" t="s">
        <v>4105</v>
      </c>
      <c r="K630" t="s">
        <v>2183</v>
      </c>
      <c r="L630">
        <v>22</v>
      </c>
      <c r="M630">
        <v>45</v>
      </c>
      <c r="N630" t="s">
        <v>2045</v>
      </c>
      <c r="O630" t="s">
        <v>3432</v>
      </c>
      <c r="P630">
        <v>2023</v>
      </c>
      <c r="Q630">
        <v>7</v>
      </c>
      <c r="R630">
        <v>7</v>
      </c>
      <c r="S630">
        <v>19</v>
      </c>
      <c r="T630" t="str">
        <f>TEXT(Table1[[#This Row],[Month]],"MMMM")</f>
        <v>January</v>
      </c>
    </row>
    <row r="631" spans="1:20" x14ac:dyDescent="0.25">
      <c r="A631" t="s">
        <v>2184</v>
      </c>
      <c r="B631" t="s">
        <v>3103</v>
      </c>
      <c r="C631" t="s">
        <v>878</v>
      </c>
      <c r="D631" t="s">
        <v>3237</v>
      </c>
      <c r="E631" s="1">
        <v>45115.666666666664</v>
      </c>
      <c r="F631" s="1" t="str">
        <f t="shared" si="9"/>
        <v>Saturday</v>
      </c>
      <c r="G631" t="s">
        <v>2185</v>
      </c>
      <c r="H631" t="s">
        <v>4000</v>
      </c>
      <c r="I631" t="s">
        <v>875</v>
      </c>
      <c r="J631" t="s">
        <v>4104</v>
      </c>
      <c r="K631" t="s">
        <v>2186</v>
      </c>
      <c r="L631">
        <v>30</v>
      </c>
      <c r="M631">
        <v>60</v>
      </c>
      <c r="N631" t="s">
        <v>2041</v>
      </c>
      <c r="O631" t="s">
        <v>3401</v>
      </c>
      <c r="P631">
        <v>2023</v>
      </c>
      <c r="Q631">
        <v>7</v>
      </c>
      <c r="R631">
        <v>8</v>
      </c>
      <c r="S631">
        <v>16</v>
      </c>
      <c r="T631" t="str">
        <f>TEXT(Table1[[#This Row],[Month]],"MMMM")</f>
        <v>January</v>
      </c>
    </row>
    <row r="632" spans="1:20" x14ac:dyDescent="0.25">
      <c r="A632" t="s">
        <v>2187</v>
      </c>
      <c r="B632" t="s">
        <v>3104</v>
      </c>
      <c r="C632" t="s">
        <v>1625</v>
      </c>
      <c r="D632" t="s">
        <v>3216</v>
      </c>
      <c r="E632" s="1">
        <v>45116.9375</v>
      </c>
      <c r="F632" s="1" t="str">
        <f t="shared" si="9"/>
        <v>Sunday</v>
      </c>
      <c r="G632" t="s">
        <v>2188</v>
      </c>
      <c r="H632" t="s">
        <v>4001</v>
      </c>
      <c r="I632" t="s">
        <v>32</v>
      </c>
      <c r="J632" t="s">
        <v>4106</v>
      </c>
      <c r="K632" t="s">
        <v>2189</v>
      </c>
      <c r="L632">
        <v>20</v>
      </c>
      <c r="M632">
        <v>40</v>
      </c>
      <c r="N632" t="s">
        <v>2036</v>
      </c>
      <c r="O632" t="s">
        <v>60</v>
      </c>
      <c r="P632">
        <v>2023</v>
      </c>
      <c r="Q632">
        <v>7</v>
      </c>
      <c r="R632">
        <v>9</v>
      </c>
      <c r="S632">
        <v>22</v>
      </c>
      <c r="T632" t="str">
        <f>TEXT(Table1[[#This Row],[Month]],"MMMM")</f>
        <v>January</v>
      </c>
    </row>
    <row r="633" spans="1:20" x14ac:dyDescent="0.25">
      <c r="A633" t="s">
        <v>2190</v>
      </c>
      <c r="B633" t="s">
        <v>3105</v>
      </c>
      <c r="C633" t="s">
        <v>389</v>
      </c>
      <c r="D633" t="s">
        <v>3231</v>
      </c>
      <c r="E633" s="1">
        <v>45117.597222222219</v>
      </c>
      <c r="F633" s="1" t="str">
        <f t="shared" si="9"/>
        <v>Monday</v>
      </c>
      <c r="G633" t="s">
        <v>2191</v>
      </c>
      <c r="H633" t="s">
        <v>4002</v>
      </c>
      <c r="I633" t="s">
        <v>27</v>
      </c>
      <c r="J633" t="s">
        <v>4105</v>
      </c>
      <c r="K633" t="s">
        <v>2192</v>
      </c>
      <c r="L633">
        <v>28</v>
      </c>
      <c r="M633">
        <v>55</v>
      </c>
      <c r="N633" t="s">
        <v>2045</v>
      </c>
      <c r="O633" t="s">
        <v>3432</v>
      </c>
      <c r="P633">
        <v>2023</v>
      </c>
      <c r="Q633">
        <v>7</v>
      </c>
      <c r="R633">
        <v>10</v>
      </c>
      <c r="S633">
        <v>14</v>
      </c>
      <c r="T633" t="str">
        <f>TEXT(Table1[[#This Row],[Month]],"MMMM")</f>
        <v>January</v>
      </c>
    </row>
    <row r="634" spans="1:20" x14ac:dyDescent="0.25">
      <c r="A634" t="s">
        <v>2193</v>
      </c>
      <c r="B634" t="s">
        <v>3106</v>
      </c>
      <c r="C634" t="s">
        <v>1639</v>
      </c>
      <c r="D634" t="s">
        <v>3239</v>
      </c>
      <c r="E634" s="1">
        <v>45118.78125</v>
      </c>
      <c r="F634" s="1" t="str">
        <f t="shared" si="9"/>
        <v>Tuesday</v>
      </c>
      <c r="G634" t="s">
        <v>2194</v>
      </c>
      <c r="H634" t="s">
        <v>4003</v>
      </c>
      <c r="I634" t="s">
        <v>875</v>
      </c>
      <c r="J634" t="s">
        <v>4104</v>
      </c>
      <c r="K634" t="s">
        <v>2195</v>
      </c>
      <c r="L634">
        <v>22</v>
      </c>
      <c r="M634">
        <v>45</v>
      </c>
      <c r="N634" t="s">
        <v>2041</v>
      </c>
      <c r="O634" t="s">
        <v>3401</v>
      </c>
      <c r="P634">
        <v>2023</v>
      </c>
      <c r="Q634">
        <v>7</v>
      </c>
      <c r="R634">
        <v>11</v>
      </c>
      <c r="S634">
        <v>18</v>
      </c>
      <c r="T634" t="str">
        <f>TEXT(Table1[[#This Row],[Month]],"MMMM")</f>
        <v>January</v>
      </c>
    </row>
    <row r="635" spans="1:20" x14ac:dyDescent="0.25">
      <c r="A635" t="s">
        <v>2196</v>
      </c>
      <c r="B635" t="s">
        <v>3107</v>
      </c>
      <c r="C635" t="s">
        <v>389</v>
      </c>
      <c r="D635" t="s">
        <v>3231</v>
      </c>
      <c r="E635" s="1">
        <v>45119.572916666664</v>
      </c>
      <c r="F635" s="1" t="str">
        <f t="shared" si="9"/>
        <v>Wednesday</v>
      </c>
      <c r="G635" t="s">
        <v>2197</v>
      </c>
      <c r="H635" t="s">
        <v>4004</v>
      </c>
      <c r="I635" t="s">
        <v>32</v>
      </c>
      <c r="J635" t="s">
        <v>4106</v>
      </c>
      <c r="K635" t="s">
        <v>2198</v>
      </c>
      <c r="L635">
        <v>25</v>
      </c>
      <c r="M635">
        <v>50</v>
      </c>
      <c r="N635" t="s">
        <v>2036</v>
      </c>
      <c r="O635" t="s">
        <v>60</v>
      </c>
      <c r="P635">
        <v>2023</v>
      </c>
      <c r="Q635">
        <v>7</v>
      </c>
      <c r="R635">
        <v>12</v>
      </c>
      <c r="S635">
        <v>13</v>
      </c>
      <c r="T635" t="str">
        <f>TEXT(Table1[[#This Row],[Month]],"MMMM")</f>
        <v>January</v>
      </c>
    </row>
    <row r="636" spans="1:20" x14ac:dyDescent="0.25">
      <c r="A636" t="s">
        <v>2199</v>
      </c>
      <c r="B636" t="s">
        <v>3108</v>
      </c>
      <c r="C636" t="s">
        <v>1625</v>
      </c>
      <c r="D636" t="s">
        <v>3216</v>
      </c>
      <c r="E636" s="1">
        <v>45120.833333333336</v>
      </c>
      <c r="F636" s="1" t="str">
        <f t="shared" si="9"/>
        <v>Thursday</v>
      </c>
      <c r="G636" t="s">
        <v>2200</v>
      </c>
      <c r="H636" t="s">
        <v>4005</v>
      </c>
      <c r="I636" t="s">
        <v>27</v>
      </c>
      <c r="J636" t="s">
        <v>4105</v>
      </c>
      <c r="K636" t="s">
        <v>2201</v>
      </c>
      <c r="L636">
        <v>35</v>
      </c>
      <c r="M636">
        <v>70</v>
      </c>
      <c r="N636" t="s">
        <v>2045</v>
      </c>
      <c r="O636" t="s">
        <v>3432</v>
      </c>
      <c r="P636">
        <v>2023</v>
      </c>
      <c r="Q636">
        <v>7</v>
      </c>
      <c r="R636">
        <v>13</v>
      </c>
      <c r="S636">
        <v>20</v>
      </c>
      <c r="T636" t="str">
        <f>TEXT(Table1[[#This Row],[Month]],"MMMM")</f>
        <v>January</v>
      </c>
    </row>
    <row r="637" spans="1:20" x14ac:dyDescent="0.25">
      <c r="A637" t="s">
        <v>2202</v>
      </c>
      <c r="B637" t="s">
        <v>3109</v>
      </c>
      <c r="C637" t="s">
        <v>1625</v>
      </c>
      <c r="D637" t="s">
        <v>3216</v>
      </c>
      <c r="E637" s="1">
        <v>45121.677083333336</v>
      </c>
      <c r="F637" s="1" t="str">
        <f t="shared" si="9"/>
        <v>Friday</v>
      </c>
      <c r="G637" t="s">
        <v>2203</v>
      </c>
      <c r="H637" t="s">
        <v>4006</v>
      </c>
      <c r="I637" t="s">
        <v>875</v>
      </c>
      <c r="J637" t="s">
        <v>4104</v>
      </c>
      <c r="K637" t="s">
        <v>2204</v>
      </c>
      <c r="L637">
        <v>20</v>
      </c>
      <c r="M637">
        <v>40</v>
      </c>
      <c r="N637" t="s">
        <v>2036</v>
      </c>
      <c r="O637" t="s">
        <v>60</v>
      </c>
      <c r="P637">
        <v>2023</v>
      </c>
      <c r="Q637">
        <v>7</v>
      </c>
      <c r="R637">
        <v>14</v>
      </c>
      <c r="S637">
        <v>16</v>
      </c>
      <c r="T637" t="str">
        <f>TEXT(Table1[[#This Row],[Month]],"MMMM")</f>
        <v>January</v>
      </c>
    </row>
    <row r="638" spans="1:20" x14ac:dyDescent="0.25">
      <c r="A638" t="s">
        <v>2205</v>
      </c>
      <c r="B638" t="s">
        <v>3110</v>
      </c>
      <c r="C638" t="s">
        <v>1625</v>
      </c>
      <c r="D638" t="s">
        <v>3216</v>
      </c>
      <c r="E638" s="1">
        <v>45122.8125</v>
      </c>
      <c r="F638" s="1" t="str">
        <f t="shared" si="9"/>
        <v>Saturday</v>
      </c>
      <c r="G638" t="s">
        <v>2206</v>
      </c>
      <c r="H638" t="s">
        <v>4007</v>
      </c>
      <c r="I638" t="s">
        <v>32</v>
      </c>
      <c r="J638" t="s">
        <v>4106</v>
      </c>
      <c r="K638" t="s">
        <v>2207</v>
      </c>
      <c r="L638">
        <v>28</v>
      </c>
      <c r="M638">
        <v>55</v>
      </c>
      <c r="N638" t="s">
        <v>2041</v>
      </c>
      <c r="O638" t="s">
        <v>3401</v>
      </c>
      <c r="P638">
        <v>2023</v>
      </c>
      <c r="Q638">
        <v>7</v>
      </c>
      <c r="R638">
        <v>15</v>
      </c>
      <c r="S638">
        <v>19</v>
      </c>
      <c r="T638" t="str">
        <f>TEXT(Table1[[#This Row],[Month]],"MMMM")</f>
        <v>January</v>
      </c>
    </row>
    <row r="639" spans="1:20" x14ac:dyDescent="0.25">
      <c r="A639" t="s">
        <v>2208</v>
      </c>
      <c r="B639" t="s">
        <v>3111</v>
      </c>
      <c r="C639" t="s">
        <v>1639</v>
      </c>
      <c r="D639" t="s">
        <v>3239</v>
      </c>
      <c r="E639" s="1">
        <v>45123.583333333336</v>
      </c>
      <c r="F639" s="1" t="str">
        <f t="shared" si="9"/>
        <v>Sunday</v>
      </c>
      <c r="G639" t="s">
        <v>2209</v>
      </c>
      <c r="H639" t="s">
        <v>4008</v>
      </c>
      <c r="I639" t="s">
        <v>27</v>
      </c>
      <c r="J639" t="s">
        <v>4105</v>
      </c>
      <c r="K639" t="s">
        <v>2210</v>
      </c>
      <c r="L639">
        <v>30</v>
      </c>
      <c r="M639">
        <v>60</v>
      </c>
      <c r="N639" t="s">
        <v>2036</v>
      </c>
      <c r="O639" t="s">
        <v>60</v>
      </c>
      <c r="P639">
        <v>2023</v>
      </c>
      <c r="Q639">
        <v>7</v>
      </c>
      <c r="R639">
        <v>16</v>
      </c>
      <c r="S639">
        <v>14</v>
      </c>
      <c r="T639" t="str">
        <f>TEXT(Table1[[#This Row],[Month]],"MMMM")</f>
        <v>January</v>
      </c>
    </row>
    <row r="640" spans="1:20" x14ac:dyDescent="0.25">
      <c r="A640" t="s">
        <v>2211</v>
      </c>
      <c r="B640" t="s">
        <v>3112</v>
      </c>
      <c r="C640" t="s">
        <v>925</v>
      </c>
      <c r="D640" t="s">
        <v>3260</v>
      </c>
      <c r="E640" s="1">
        <v>45124.927083333336</v>
      </c>
      <c r="F640" s="1" t="str">
        <f t="shared" si="9"/>
        <v>Monday</v>
      </c>
      <c r="G640" t="s">
        <v>2212</v>
      </c>
      <c r="H640" t="s">
        <v>4009</v>
      </c>
      <c r="I640" t="s">
        <v>875</v>
      </c>
      <c r="J640" t="s">
        <v>4104</v>
      </c>
      <c r="K640" t="s">
        <v>2213</v>
      </c>
      <c r="L640">
        <v>18</v>
      </c>
      <c r="M640">
        <v>35</v>
      </c>
      <c r="N640" t="s">
        <v>2045</v>
      </c>
      <c r="O640" t="s">
        <v>3432</v>
      </c>
      <c r="P640">
        <v>2023</v>
      </c>
      <c r="Q640">
        <v>7</v>
      </c>
      <c r="R640">
        <v>17</v>
      </c>
      <c r="S640">
        <v>22</v>
      </c>
      <c r="T640" t="str">
        <f>TEXT(Table1[[#This Row],[Month]],"MMMM")</f>
        <v>January</v>
      </c>
    </row>
    <row r="641" spans="1:20" x14ac:dyDescent="0.25">
      <c r="A641" t="s">
        <v>2214</v>
      </c>
      <c r="B641" t="s">
        <v>3113</v>
      </c>
      <c r="C641" t="s">
        <v>1625</v>
      </c>
      <c r="D641" t="s">
        <v>3216</v>
      </c>
      <c r="E641" s="1">
        <v>45125.6875</v>
      </c>
      <c r="F641" s="1" t="str">
        <f t="shared" si="9"/>
        <v>Tuesday</v>
      </c>
      <c r="G641" t="s">
        <v>2215</v>
      </c>
      <c r="H641" t="s">
        <v>4010</v>
      </c>
      <c r="I641" t="s">
        <v>32</v>
      </c>
      <c r="J641" t="s">
        <v>4106</v>
      </c>
      <c r="K641" t="s">
        <v>2159</v>
      </c>
      <c r="L641">
        <v>25</v>
      </c>
      <c r="M641">
        <v>50</v>
      </c>
      <c r="N641" t="s">
        <v>2036</v>
      </c>
      <c r="O641" t="s">
        <v>60</v>
      </c>
      <c r="P641">
        <v>2023</v>
      </c>
      <c r="Q641">
        <v>7</v>
      </c>
      <c r="R641">
        <v>18</v>
      </c>
      <c r="S641">
        <v>16</v>
      </c>
      <c r="T641" t="str">
        <f>TEXT(Table1[[#This Row],[Month]],"MMMM")</f>
        <v>January</v>
      </c>
    </row>
    <row r="642" spans="1:20" x14ac:dyDescent="0.25">
      <c r="A642" t="s">
        <v>2216</v>
      </c>
      <c r="B642" t="s">
        <v>3114</v>
      </c>
      <c r="C642" t="s">
        <v>1639</v>
      </c>
      <c r="D642" t="s">
        <v>3239</v>
      </c>
      <c r="E642" s="1">
        <v>45126.822916666664</v>
      </c>
      <c r="F642" s="1" t="str">
        <f t="shared" si="9"/>
        <v>Wednesday</v>
      </c>
      <c r="G642" t="s">
        <v>2217</v>
      </c>
      <c r="H642" t="s">
        <v>4011</v>
      </c>
      <c r="I642" t="s">
        <v>27</v>
      </c>
      <c r="J642" t="s">
        <v>4105</v>
      </c>
      <c r="K642" t="s">
        <v>2218</v>
      </c>
      <c r="L642">
        <v>22</v>
      </c>
      <c r="M642">
        <v>45</v>
      </c>
      <c r="N642" t="s">
        <v>2045</v>
      </c>
      <c r="O642" t="s">
        <v>3432</v>
      </c>
      <c r="P642">
        <v>2023</v>
      </c>
      <c r="Q642">
        <v>7</v>
      </c>
      <c r="R642">
        <v>19</v>
      </c>
      <c r="S642">
        <v>19</v>
      </c>
      <c r="T642" t="str">
        <f>TEXT(Table1[[#This Row],[Month]],"MMMM")</f>
        <v>January</v>
      </c>
    </row>
    <row r="643" spans="1:20" x14ac:dyDescent="0.25">
      <c r="A643" t="s">
        <v>2219</v>
      </c>
      <c r="B643" t="s">
        <v>3115</v>
      </c>
      <c r="C643" t="s">
        <v>389</v>
      </c>
      <c r="D643" t="s">
        <v>3231</v>
      </c>
      <c r="E643" s="1">
        <v>45127.708333333336</v>
      </c>
      <c r="F643" s="1" t="str">
        <f t="shared" ref="F643:F706" si="10">TEXT(E643,"DDDD")</f>
        <v>Thursday</v>
      </c>
      <c r="G643" t="s">
        <v>2220</v>
      </c>
      <c r="H643" t="s">
        <v>4012</v>
      </c>
      <c r="I643" t="s">
        <v>875</v>
      </c>
      <c r="J643" t="s">
        <v>4104</v>
      </c>
      <c r="K643" t="s">
        <v>2221</v>
      </c>
      <c r="L643">
        <v>30</v>
      </c>
      <c r="M643">
        <v>60</v>
      </c>
      <c r="N643" t="s">
        <v>2041</v>
      </c>
      <c r="O643" t="s">
        <v>3401</v>
      </c>
      <c r="P643">
        <v>2023</v>
      </c>
      <c r="Q643">
        <v>7</v>
      </c>
      <c r="R643">
        <v>20</v>
      </c>
      <c r="S643">
        <v>17</v>
      </c>
      <c r="T643" t="str">
        <f>TEXT(Table1[[#This Row],[Month]],"MMMM")</f>
        <v>January</v>
      </c>
    </row>
    <row r="644" spans="1:20" x14ac:dyDescent="0.25">
      <c r="A644" t="s">
        <v>2222</v>
      </c>
      <c r="B644" t="s">
        <v>3116</v>
      </c>
      <c r="C644" t="s">
        <v>2223</v>
      </c>
      <c r="D644" t="s">
        <v>3392</v>
      </c>
      <c r="E644" s="1">
        <v>45139.5625</v>
      </c>
      <c r="F644" s="1" t="str">
        <f t="shared" si="10"/>
        <v>Tuesday</v>
      </c>
      <c r="G644" t="s">
        <v>2224</v>
      </c>
      <c r="H644" t="s">
        <v>4013</v>
      </c>
      <c r="I644" t="s">
        <v>27</v>
      </c>
      <c r="J644" t="s">
        <v>4105</v>
      </c>
      <c r="K644" t="s">
        <v>2225</v>
      </c>
      <c r="L644">
        <v>20</v>
      </c>
      <c r="M644">
        <v>40</v>
      </c>
      <c r="N644" t="s">
        <v>2036</v>
      </c>
      <c r="O644" t="s">
        <v>60</v>
      </c>
      <c r="P644">
        <v>2023</v>
      </c>
      <c r="Q644">
        <v>8</v>
      </c>
      <c r="R644">
        <v>1</v>
      </c>
      <c r="S644">
        <v>13</v>
      </c>
      <c r="T644" t="str">
        <f>TEXT(Table1[[#This Row],[Month]],"MMMM")</f>
        <v>January</v>
      </c>
    </row>
    <row r="645" spans="1:20" x14ac:dyDescent="0.25">
      <c r="A645" t="s">
        <v>2226</v>
      </c>
      <c r="B645" t="s">
        <v>3117</v>
      </c>
      <c r="C645" t="s">
        <v>389</v>
      </c>
      <c r="D645" t="s">
        <v>3231</v>
      </c>
      <c r="E645" s="1">
        <v>45140.614583333336</v>
      </c>
      <c r="F645" s="1" t="str">
        <f t="shared" si="10"/>
        <v>Wednesday</v>
      </c>
      <c r="G645" t="s">
        <v>2227</v>
      </c>
      <c r="H645" t="s">
        <v>4014</v>
      </c>
      <c r="I645" t="s">
        <v>875</v>
      </c>
      <c r="J645" t="s">
        <v>4104</v>
      </c>
      <c r="K645" t="s">
        <v>2228</v>
      </c>
      <c r="L645">
        <v>25</v>
      </c>
      <c r="M645">
        <v>50</v>
      </c>
      <c r="N645" t="s">
        <v>2045</v>
      </c>
      <c r="O645" t="s">
        <v>3432</v>
      </c>
      <c r="P645">
        <v>2023</v>
      </c>
      <c r="Q645">
        <v>8</v>
      </c>
      <c r="R645">
        <v>2</v>
      </c>
      <c r="S645">
        <v>14</v>
      </c>
      <c r="T645" t="str">
        <f>TEXT(Table1[[#This Row],[Month]],"MMMM")</f>
        <v>January</v>
      </c>
    </row>
    <row r="646" spans="1:20" x14ac:dyDescent="0.25">
      <c r="A646" t="s">
        <v>2229</v>
      </c>
      <c r="B646" t="s">
        <v>3118</v>
      </c>
      <c r="C646" t="s">
        <v>389</v>
      </c>
      <c r="D646" t="s">
        <v>3231</v>
      </c>
      <c r="E646" s="1">
        <v>45141.510416666664</v>
      </c>
      <c r="F646" s="1" t="str">
        <f t="shared" si="10"/>
        <v>Thursday</v>
      </c>
      <c r="G646" t="s">
        <v>2230</v>
      </c>
      <c r="H646" t="s">
        <v>4015</v>
      </c>
      <c r="I646" t="s">
        <v>32</v>
      </c>
      <c r="J646" t="s">
        <v>4106</v>
      </c>
      <c r="K646" t="s">
        <v>2231</v>
      </c>
      <c r="L646">
        <v>18</v>
      </c>
      <c r="M646">
        <v>35</v>
      </c>
      <c r="N646" t="s">
        <v>2041</v>
      </c>
      <c r="O646" t="s">
        <v>3401</v>
      </c>
      <c r="P646">
        <v>2023</v>
      </c>
      <c r="Q646">
        <v>8</v>
      </c>
      <c r="R646">
        <v>3</v>
      </c>
      <c r="S646">
        <v>12</v>
      </c>
      <c r="T646" t="str">
        <f>TEXT(Table1[[#This Row],[Month]],"MMMM")</f>
        <v>January</v>
      </c>
    </row>
    <row r="647" spans="1:20" x14ac:dyDescent="0.25">
      <c r="A647" t="s">
        <v>2232</v>
      </c>
      <c r="B647" t="s">
        <v>3119</v>
      </c>
      <c r="C647" t="s">
        <v>1625</v>
      </c>
      <c r="D647" t="s">
        <v>3216</v>
      </c>
      <c r="E647" s="1">
        <v>45142.6875</v>
      </c>
      <c r="F647" s="1" t="str">
        <f t="shared" si="10"/>
        <v>Friday</v>
      </c>
      <c r="G647" t="s">
        <v>2233</v>
      </c>
      <c r="H647" t="s">
        <v>4016</v>
      </c>
      <c r="I647" t="s">
        <v>27</v>
      </c>
      <c r="J647" t="s">
        <v>4105</v>
      </c>
      <c r="K647" t="s">
        <v>2234</v>
      </c>
      <c r="L647">
        <v>22</v>
      </c>
      <c r="M647">
        <v>45</v>
      </c>
      <c r="N647" t="s">
        <v>2036</v>
      </c>
      <c r="O647" t="s">
        <v>60</v>
      </c>
      <c r="P647">
        <v>2023</v>
      </c>
      <c r="Q647">
        <v>8</v>
      </c>
      <c r="R647">
        <v>4</v>
      </c>
      <c r="S647">
        <v>16</v>
      </c>
      <c r="T647" t="str">
        <f>TEXT(Table1[[#This Row],[Month]],"MMMM")</f>
        <v>January</v>
      </c>
    </row>
    <row r="648" spans="1:20" x14ac:dyDescent="0.25">
      <c r="A648" t="s">
        <v>2235</v>
      </c>
      <c r="B648" t="s">
        <v>3120</v>
      </c>
      <c r="C648" t="s">
        <v>389</v>
      </c>
      <c r="D648" t="s">
        <v>3231</v>
      </c>
      <c r="E648" s="1">
        <v>45143.822916666664</v>
      </c>
      <c r="F648" s="1" t="str">
        <f t="shared" si="10"/>
        <v>Saturday</v>
      </c>
      <c r="G648" t="s">
        <v>2236</v>
      </c>
      <c r="H648" t="s">
        <v>4017</v>
      </c>
      <c r="I648" t="s">
        <v>875</v>
      </c>
      <c r="J648" t="s">
        <v>4104</v>
      </c>
      <c r="K648" t="s">
        <v>2237</v>
      </c>
      <c r="L648">
        <v>30</v>
      </c>
      <c r="M648">
        <v>60</v>
      </c>
      <c r="N648" t="s">
        <v>2041</v>
      </c>
      <c r="O648" t="s">
        <v>3401</v>
      </c>
      <c r="P648">
        <v>2023</v>
      </c>
      <c r="Q648">
        <v>8</v>
      </c>
      <c r="R648">
        <v>5</v>
      </c>
      <c r="S648">
        <v>19</v>
      </c>
      <c r="T648" t="str">
        <f>TEXT(Table1[[#This Row],[Month]],"MMMM")</f>
        <v>January</v>
      </c>
    </row>
    <row r="649" spans="1:20" x14ac:dyDescent="0.25">
      <c r="A649" t="s">
        <v>2238</v>
      </c>
      <c r="B649" t="s">
        <v>3121</v>
      </c>
      <c r="C649" t="s">
        <v>2239</v>
      </c>
      <c r="D649" t="s">
        <v>3208</v>
      </c>
      <c r="E649" s="1">
        <v>45144.583333333336</v>
      </c>
      <c r="F649" s="1" t="str">
        <f t="shared" si="10"/>
        <v>Sunday</v>
      </c>
      <c r="G649" t="s">
        <v>2240</v>
      </c>
      <c r="H649" t="s">
        <v>4018</v>
      </c>
      <c r="I649" t="s">
        <v>32</v>
      </c>
      <c r="J649" t="s">
        <v>4106</v>
      </c>
      <c r="K649" t="s">
        <v>2241</v>
      </c>
      <c r="L649">
        <v>28</v>
      </c>
      <c r="M649">
        <v>55</v>
      </c>
      <c r="N649" t="s">
        <v>2036</v>
      </c>
      <c r="O649" t="s">
        <v>60</v>
      </c>
      <c r="P649">
        <v>2023</v>
      </c>
      <c r="Q649">
        <v>8</v>
      </c>
      <c r="R649">
        <v>6</v>
      </c>
      <c r="S649">
        <v>14</v>
      </c>
      <c r="T649" t="str">
        <f>TEXT(Table1[[#This Row],[Month]],"MMMM")</f>
        <v>January</v>
      </c>
    </row>
    <row r="650" spans="1:20" x14ac:dyDescent="0.25">
      <c r="A650" t="s">
        <v>2242</v>
      </c>
      <c r="B650" t="s">
        <v>3122</v>
      </c>
      <c r="C650" t="s">
        <v>2243</v>
      </c>
      <c r="D650" t="s">
        <v>3393</v>
      </c>
      <c r="E650" s="1">
        <v>45145.822916666664</v>
      </c>
      <c r="F650" s="1" t="str">
        <f t="shared" si="10"/>
        <v>Monday</v>
      </c>
      <c r="G650" t="s">
        <v>2244</v>
      </c>
      <c r="H650" t="s">
        <v>4019</v>
      </c>
      <c r="I650" t="s">
        <v>27</v>
      </c>
      <c r="J650" t="s">
        <v>4105</v>
      </c>
      <c r="K650" t="s">
        <v>2245</v>
      </c>
      <c r="L650">
        <v>22</v>
      </c>
      <c r="M650">
        <v>45</v>
      </c>
      <c r="N650" t="s">
        <v>2045</v>
      </c>
      <c r="O650" t="s">
        <v>3432</v>
      </c>
      <c r="P650">
        <v>2023</v>
      </c>
      <c r="Q650">
        <v>8</v>
      </c>
      <c r="R650">
        <v>7</v>
      </c>
      <c r="S650">
        <v>19</v>
      </c>
      <c r="T650" t="str">
        <f>TEXT(Table1[[#This Row],[Month]],"MMMM")</f>
        <v>January</v>
      </c>
    </row>
    <row r="651" spans="1:20" x14ac:dyDescent="0.25">
      <c r="A651" t="s">
        <v>2246</v>
      </c>
      <c r="B651" t="s">
        <v>3123</v>
      </c>
      <c r="C651" t="s">
        <v>389</v>
      </c>
      <c r="D651" t="s">
        <v>3231</v>
      </c>
      <c r="E651" s="1">
        <v>45146.666666666664</v>
      </c>
      <c r="F651" s="1" t="str">
        <f t="shared" si="10"/>
        <v>Tuesday</v>
      </c>
      <c r="G651" t="s">
        <v>2247</v>
      </c>
      <c r="H651" t="s">
        <v>4020</v>
      </c>
      <c r="I651" t="s">
        <v>875</v>
      </c>
      <c r="J651" t="s">
        <v>4104</v>
      </c>
      <c r="K651" t="s">
        <v>2248</v>
      </c>
      <c r="L651">
        <v>30</v>
      </c>
      <c r="M651">
        <v>60</v>
      </c>
      <c r="N651" t="s">
        <v>2041</v>
      </c>
      <c r="O651" t="s">
        <v>3401</v>
      </c>
      <c r="P651">
        <v>2023</v>
      </c>
      <c r="Q651">
        <v>8</v>
      </c>
      <c r="R651">
        <v>8</v>
      </c>
      <c r="S651">
        <v>16</v>
      </c>
      <c r="T651" t="str">
        <f>TEXT(Table1[[#This Row],[Month]],"MMMM")</f>
        <v>January</v>
      </c>
    </row>
    <row r="652" spans="1:20" x14ac:dyDescent="0.25">
      <c r="A652" t="s">
        <v>2249</v>
      </c>
      <c r="B652" t="s">
        <v>3124</v>
      </c>
      <c r="C652" t="s">
        <v>1625</v>
      </c>
      <c r="D652" t="s">
        <v>3216</v>
      </c>
      <c r="E652" s="1">
        <v>45147.9375</v>
      </c>
      <c r="F652" s="1" t="str">
        <f t="shared" si="10"/>
        <v>Wednesday</v>
      </c>
      <c r="G652" t="s">
        <v>2250</v>
      </c>
      <c r="H652" t="s">
        <v>4021</v>
      </c>
      <c r="I652" t="s">
        <v>32</v>
      </c>
      <c r="J652" t="s">
        <v>4106</v>
      </c>
      <c r="K652" t="s">
        <v>2251</v>
      </c>
      <c r="L652">
        <v>20</v>
      </c>
      <c r="M652">
        <v>40</v>
      </c>
      <c r="N652" t="s">
        <v>2036</v>
      </c>
      <c r="O652" t="s">
        <v>60</v>
      </c>
      <c r="P652">
        <v>2023</v>
      </c>
      <c r="Q652">
        <v>8</v>
      </c>
      <c r="R652">
        <v>9</v>
      </c>
      <c r="S652">
        <v>22</v>
      </c>
      <c r="T652" t="str">
        <f>TEXT(Table1[[#This Row],[Month]],"MMMM")</f>
        <v>January</v>
      </c>
    </row>
    <row r="653" spans="1:20" x14ac:dyDescent="0.25">
      <c r="A653" t="s">
        <v>2252</v>
      </c>
      <c r="B653" t="s">
        <v>3125</v>
      </c>
      <c r="C653" t="s">
        <v>1625</v>
      </c>
      <c r="D653" t="s">
        <v>3216</v>
      </c>
      <c r="E653" s="1">
        <v>45148.597222222219</v>
      </c>
      <c r="F653" s="1" t="str">
        <f t="shared" si="10"/>
        <v>Thursday</v>
      </c>
      <c r="G653" t="s">
        <v>2253</v>
      </c>
      <c r="H653" t="s">
        <v>4022</v>
      </c>
      <c r="I653" t="s">
        <v>27</v>
      </c>
      <c r="J653" t="s">
        <v>4105</v>
      </c>
      <c r="K653" t="s">
        <v>2254</v>
      </c>
      <c r="L653">
        <v>28</v>
      </c>
      <c r="M653">
        <v>55</v>
      </c>
      <c r="N653" t="s">
        <v>2045</v>
      </c>
      <c r="O653" t="s">
        <v>3432</v>
      </c>
      <c r="P653">
        <v>2023</v>
      </c>
      <c r="Q653">
        <v>8</v>
      </c>
      <c r="R653">
        <v>10</v>
      </c>
      <c r="S653">
        <v>14</v>
      </c>
      <c r="T653" t="str">
        <f>TEXT(Table1[[#This Row],[Month]],"MMMM")</f>
        <v>January</v>
      </c>
    </row>
    <row r="654" spans="1:20" x14ac:dyDescent="0.25">
      <c r="A654" t="s">
        <v>2255</v>
      </c>
      <c r="B654" t="s">
        <v>3126</v>
      </c>
      <c r="C654" t="s">
        <v>1625</v>
      </c>
      <c r="D654" t="s">
        <v>3216</v>
      </c>
      <c r="E654" s="1">
        <v>45149.78125</v>
      </c>
      <c r="F654" s="1" t="str">
        <f t="shared" si="10"/>
        <v>Friday</v>
      </c>
      <c r="G654" t="s">
        <v>2256</v>
      </c>
      <c r="H654" t="s">
        <v>4023</v>
      </c>
      <c r="I654" t="s">
        <v>875</v>
      </c>
      <c r="J654" t="s">
        <v>4104</v>
      </c>
      <c r="K654" t="s">
        <v>2257</v>
      </c>
      <c r="L654">
        <v>22</v>
      </c>
      <c r="M654">
        <v>45</v>
      </c>
      <c r="N654" t="s">
        <v>2041</v>
      </c>
      <c r="O654" t="s">
        <v>3401</v>
      </c>
      <c r="P654">
        <v>2023</v>
      </c>
      <c r="Q654">
        <v>8</v>
      </c>
      <c r="R654">
        <v>11</v>
      </c>
      <c r="S654">
        <v>18</v>
      </c>
      <c r="T654" t="str">
        <f>TEXT(Table1[[#This Row],[Month]],"MMMM")</f>
        <v>January</v>
      </c>
    </row>
    <row r="655" spans="1:20" x14ac:dyDescent="0.25">
      <c r="A655" t="s">
        <v>2258</v>
      </c>
      <c r="B655" t="s">
        <v>3127</v>
      </c>
      <c r="C655" t="s">
        <v>389</v>
      </c>
      <c r="D655" t="s">
        <v>3231</v>
      </c>
      <c r="E655" s="1">
        <v>45150.572916666664</v>
      </c>
      <c r="F655" s="1" t="str">
        <f t="shared" si="10"/>
        <v>Saturday</v>
      </c>
      <c r="G655" t="s">
        <v>2259</v>
      </c>
      <c r="H655" t="s">
        <v>4024</v>
      </c>
      <c r="I655" t="s">
        <v>32</v>
      </c>
      <c r="J655" t="s">
        <v>4106</v>
      </c>
      <c r="K655" t="s">
        <v>2260</v>
      </c>
      <c r="L655">
        <v>25</v>
      </c>
      <c r="M655">
        <v>50</v>
      </c>
      <c r="N655" t="s">
        <v>2036</v>
      </c>
      <c r="O655" t="s">
        <v>60</v>
      </c>
      <c r="P655">
        <v>2023</v>
      </c>
      <c r="Q655">
        <v>8</v>
      </c>
      <c r="R655">
        <v>12</v>
      </c>
      <c r="S655">
        <v>13</v>
      </c>
      <c r="T655" t="str">
        <f>TEXT(Table1[[#This Row],[Month]],"MMMM")</f>
        <v>January</v>
      </c>
    </row>
    <row r="656" spans="1:20" x14ac:dyDescent="0.25">
      <c r="A656" t="s">
        <v>2261</v>
      </c>
      <c r="B656" t="s">
        <v>3128</v>
      </c>
      <c r="C656" t="s">
        <v>389</v>
      </c>
      <c r="D656" t="s">
        <v>3231</v>
      </c>
      <c r="E656" s="1">
        <v>45151.833333333336</v>
      </c>
      <c r="F656" s="1" t="str">
        <f t="shared" si="10"/>
        <v>Sunday</v>
      </c>
      <c r="G656" t="s">
        <v>2262</v>
      </c>
      <c r="H656" t="s">
        <v>4025</v>
      </c>
      <c r="I656" t="s">
        <v>27</v>
      </c>
      <c r="J656" t="s">
        <v>4105</v>
      </c>
      <c r="K656" t="s">
        <v>2263</v>
      </c>
      <c r="L656">
        <v>35</v>
      </c>
      <c r="M656">
        <v>70</v>
      </c>
      <c r="N656" t="s">
        <v>2045</v>
      </c>
      <c r="O656" t="s">
        <v>3432</v>
      </c>
      <c r="P656">
        <v>2023</v>
      </c>
      <c r="Q656">
        <v>8</v>
      </c>
      <c r="R656">
        <v>13</v>
      </c>
      <c r="S656">
        <v>20</v>
      </c>
      <c r="T656" t="str">
        <f>TEXT(Table1[[#This Row],[Month]],"MMMM")</f>
        <v>January</v>
      </c>
    </row>
    <row r="657" spans="1:20" x14ac:dyDescent="0.25">
      <c r="A657" t="s">
        <v>2264</v>
      </c>
      <c r="B657" t="s">
        <v>3129</v>
      </c>
      <c r="C657" t="s">
        <v>1625</v>
      </c>
      <c r="D657" t="s">
        <v>3216</v>
      </c>
      <c r="E657" s="1">
        <v>45152.677083333336</v>
      </c>
      <c r="F657" s="1" t="str">
        <f t="shared" si="10"/>
        <v>Monday</v>
      </c>
      <c r="G657" t="s">
        <v>2265</v>
      </c>
      <c r="H657" t="s">
        <v>4026</v>
      </c>
      <c r="I657" t="s">
        <v>875</v>
      </c>
      <c r="J657" t="s">
        <v>4104</v>
      </c>
      <c r="K657" t="s">
        <v>2266</v>
      </c>
      <c r="L657">
        <v>20</v>
      </c>
      <c r="M657">
        <v>40</v>
      </c>
      <c r="N657" t="s">
        <v>2036</v>
      </c>
      <c r="O657" t="s">
        <v>60</v>
      </c>
      <c r="P657">
        <v>2023</v>
      </c>
      <c r="Q657">
        <v>8</v>
      </c>
      <c r="R657">
        <v>14</v>
      </c>
      <c r="S657">
        <v>16</v>
      </c>
      <c r="T657" t="str">
        <f>TEXT(Table1[[#This Row],[Month]],"MMMM")</f>
        <v>January</v>
      </c>
    </row>
    <row r="658" spans="1:20" x14ac:dyDescent="0.25">
      <c r="A658" t="s">
        <v>2267</v>
      </c>
      <c r="B658" t="s">
        <v>3130</v>
      </c>
      <c r="C658" t="s">
        <v>389</v>
      </c>
      <c r="D658" t="s">
        <v>3231</v>
      </c>
      <c r="E658" s="1">
        <v>45153.8125</v>
      </c>
      <c r="F658" s="1" t="str">
        <f t="shared" si="10"/>
        <v>Tuesday</v>
      </c>
      <c r="G658" t="s">
        <v>2268</v>
      </c>
      <c r="H658" t="s">
        <v>4027</v>
      </c>
      <c r="I658" t="s">
        <v>32</v>
      </c>
      <c r="J658" t="s">
        <v>4106</v>
      </c>
      <c r="K658" t="s">
        <v>2269</v>
      </c>
      <c r="L658">
        <v>28</v>
      </c>
      <c r="M658">
        <v>55</v>
      </c>
      <c r="N658" t="s">
        <v>2041</v>
      </c>
      <c r="O658" t="s">
        <v>3401</v>
      </c>
      <c r="P658">
        <v>2023</v>
      </c>
      <c r="Q658">
        <v>8</v>
      </c>
      <c r="R658">
        <v>15</v>
      </c>
      <c r="S658">
        <v>19</v>
      </c>
      <c r="T658" t="str">
        <f>TEXT(Table1[[#This Row],[Month]],"MMMM")</f>
        <v>January</v>
      </c>
    </row>
    <row r="659" spans="1:20" x14ac:dyDescent="0.25">
      <c r="A659" t="s">
        <v>2270</v>
      </c>
      <c r="B659" t="s">
        <v>3131</v>
      </c>
      <c r="C659" t="s">
        <v>2271</v>
      </c>
      <c r="D659" t="s">
        <v>3394</v>
      </c>
      <c r="E659" s="1">
        <v>45154.583333333336</v>
      </c>
      <c r="F659" s="1" t="str">
        <f t="shared" si="10"/>
        <v>Wednesday</v>
      </c>
      <c r="G659" t="s">
        <v>2272</v>
      </c>
      <c r="H659" t="s">
        <v>4028</v>
      </c>
      <c r="I659" t="s">
        <v>27</v>
      </c>
      <c r="J659" t="s">
        <v>4105</v>
      </c>
      <c r="K659" t="s">
        <v>2273</v>
      </c>
      <c r="L659">
        <v>30</v>
      </c>
      <c r="M659">
        <v>60</v>
      </c>
      <c r="N659" t="s">
        <v>2036</v>
      </c>
      <c r="O659" t="s">
        <v>60</v>
      </c>
      <c r="P659">
        <v>2023</v>
      </c>
      <c r="Q659">
        <v>8</v>
      </c>
      <c r="R659">
        <v>16</v>
      </c>
      <c r="S659">
        <v>14</v>
      </c>
      <c r="T659" t="str">
        <f>TEXT(Table1[[#This Row],[Month]],"MMMM")</f>
        <v>January</v>
      </c>
    </row>
    <row r="660" spans="1:20" x14ac:dyDescent="0.25">
      <c r="A660" t="s">
        <v>2274</v>
      </c>
      <c r="B660" t="s">
        <v>3132</v>
      </c>
      <c r="C660" t="s">
        <v>389</v>
      </c>
      <c r="D660" t="s">
        <v>3231</v>
      </c>
      <c r="E660" s="1">
        <v>45155.927083333336</v>
      </c>
      <c r="F660" s="1" t="str">
        <f t="shared" si="10"/>
        <v>Thursday</v>
      </c>
      <c r="G660" t="s">
        <v>2275</v>
      </c>
      <c r="H660" t="s">
        <v>4029</v>
      </c>
      <c r="I660" t="s">
        <v>875</v>
      </c>
      <c r="J660" t="s">
        <v>4104</v>
      </c>
      <c r="K660" t="s">
        <v>2276</v>
      </c>
      <c r="L660">
        <v>18</v>
      </c>
      <c r="M660">
        <v>35</v>
      </c>
      <c r="N660" t="s">
        <v>2045</v>
      </c>
      <c r="O660" t="s">
        <v>3432</v>
      </c>
      <c r="P660">
        <v>2023</v>
      </c>
      <c r="Q660">
        <v>8</v>
      </c>
      <c r="R660">
        <v>17</v>
      </c>
      <c r="S660">
        <v>22</v>
      </c>
      <c r="T660" t="str">
        <f>TEXT(Table1[[#This Row],[Month]],"MMMM")</f>
        <v>January</v>
      </c>
    </row>
    <row r="661" spans="1:20" x14ac:dyDescent="0.25">
      <c r="A661" t="s">
        <v>2277</v>
      </c>
      <c r="B661" t="s">
        <v>3133</v>
      </c>
      <c r="C661" t="s">
        <v>2243</v>
      </c>
      <c r="D661" t="s">
        <v>3393</v>
      </c>
      <c r="E661" s="1">
        <v>45156.6875</v>
      </c>
      <c r="F661" s="1" t="str">
        <f t="shared" si="10"/>
        <v>Friday</v>
      </c>
      <c r="G661" t="s">
        <v>2278</v>
      </c>
      <c r="H661" t="s">
        <v>4030</v>
      </c>
      <c r="I661" t="s">
        <v>32</v>
      </c>
      <c r="J661" t="s">
        <v>4106</v>
      </c>
      <c r="K661" t="s">
        <v>2279</v>
      </c>
      <c r="L661">
        <v>25</v>
      </c>
      <c r="M661">
        <v>50</v>
      </c>
      <c r="N661" t="s">
        <v>2036</v>
      </c>
      <c r="O661" t="s">
        <v>60</v>
      </c>
      <c r="P661">
        <v>2023</v>
      </c>
      <c r="Q661">
        <v>8</v>
      </c>
      <c r="R661">
        <v>18</v>
      </c>
      <c r="S661">
        <v>16</v>
      </c>
      <c r="T661" t="str">
        <f>TEXT(Table1[[#This Row],[Month]],"MMMM")</f>
        <v>January</v>
      </c>
    </row>
    <row r="662" spans="1:20" x14ac:dyDescent="0.25">
      <c r="A662" t="s">
        <v>2280</v>
      </c>
      <c r="B662" t="s">
        <v>3134</v>
      </c>
      <c r="C662" t="s">
        <v>2243</v>
      </c>
      <c r="D662" t="s">
        <v>3393</v>
      </c>
      <c r="E662" s="1">
        <v>45157.822916666664</v>
      </c>
      <c r="F662" s="1" t="str">
        <f t="shared" si="10"/>
        <v>Saturday</v>
      </c>
      <c r="G662" t="s">
        <v>2281</v>
      </c>
      <c r="H662" t="s">
        <v>4031</v>
      </c>
      <c r="I662" t="s">
        <v>27</v>
      </c>
      <c r="J662" t="s">
        <v>4105</v>
      </c>
      <c r="K662" t="s">
        <v>2282</v>
      </c>
      <c r="L662">
        <v>22</v>
      </c>
      <c r="M662">
        <v>45</v>
      </c>
      <c r="N662" t="s">
        <v>2045</v>
      </c>
      <c r="O662" t="s">
        <v>3432</v>
      </c>
      <c r="P662">
        <v>2023</v>
      </c>
      <c r="Q662">
        <v>8</v>
      </c>
      <c r="R662">
        <v>19</v>
      </c>
      <c r="S662">
        <v>19</v>
      </c>
      <c r="T662" t="str">
        <f>TEXT(Table1[[#This Row],[Month]],"MMMM")</f>
        <v>January</v>
      </c>
    </row>
    <row r="663" spans="1:20" x14ac:dyDescent="0.25">
      <c r="A663" t="s">
        <v>2283</v>
      </c>
      <c r="B663" t="s">
        <v>3135</v>
      </c>
      <c r="C663" t="s">
        <v>2243</v>
      </c>
      <c r="D663" t="s">
        <v>3393</v>
      </c>
      <c r="E663" s="1">
        <v>45158.708333333336</v>
      </c>
      <c r="F663" s="1" t="str">
        <f t="shared" si="10"/>
        <v>Sunday</v>
      </c>
      <c r="G663" t="s">
        <v>2284</v>
      </c>
      <c r="H663" t="s">
        <v>4032</v>
      </c>
      <c r="I663" t="s">
        <v>875</v>
      </c>
      <c r="J663" t="s">
        <v>4104</v>
      </c>
      <c r="K663" t="s">
        <v>2285</v>
      </c>
      <c r="L663">
        <v>30</v>
      </c>
      <c r="M663">
        <v>60</v>
      </c>
      <c r="N663" t="s">
        <v>2041</v>
      </c>
      <c r="O663" t="s">
        <v>3401</v>
      </c>
      <c r="P663">
        <v>2023</v>
      </c>
      <c r="Q663">
        <v>8</v>
      </c>
      <c r="R663">
        <v>20</v>
      </c>
      <c r="S663">
        <v>17</v>
      </c>
      <c r="T663" t="str">
        <f>TEXT(Table1[[#This Row],[Month]],"MMMM")</f>
        <v>January</v>
      </c>
    </row>
    <row r="664" spans="1:20" x14ac:dyDescent="0.25">
      <c r="A664" t="s">
        <v>2286</v>
      </c>
      <c r="B664" t="s">
        <v>3136</v>
      </c>
      <c r="C664" t="s">
        <v>1625</v>
      </c>
      <c r="D664" t="s">
        <v>3216</v>
      </c>
      <c r="E664" s="1">
        <v>45159.65625</v>
      </c>
      <c r="F664" s="1" t="str">
        <f t="shared" si="10"/>
        <v>Monday</v>
      </c>
      <c r="G664" t="s">
        <v>2287</v>
      </c>
      <c r="H664" t="s">
        <v>4033</v>
      </c>
      <c r="I664" t="s">
        <v>27</v>
      </c>
      <c r="J664" t="s">
        <v>4105</v>
      </c>
      <c r="K664" t="s">
        <v>2288</v>
      </c>
      <c r="L664">
        <v>15</v>
      </c>
      <c r="M664">
        <v>30</v>
      </c>
      <c r="N664" t="s">
        <v>2036</v>
      </c>
      <c r="O664" t="s">
        <v>60</v>
      </c>
      <c r="P664">
        <v>2023</v>
      </c>
      <c r="Q664">
        <v>8</v>
      </c>
      <c r="R664">
        <v>21</v>
      </c>
      <c r="S664">
        <v>15</v>
      </c>
      <c r="T664" t="str">
        <f>TEXT(Table1[[#This Row],[Month]],"MMMM")</f>
        <v>January</v>
      </c>
    </row>
    <row r="665" spans="1:20" x14ac:dyDescent="0.25">
      <c r="A665" t="s">
        <v>2289</v>
      </c>
      <c r="B665" t="s">
        <v>3137</v>
      </c>
      <c r="C665" t="s">
        <v>389</v>
      </c>
      <c r="D665" t="s">
        <v>3231</v>
      </c>
      <c r="E665" s="1">
        <v>45160.520833333336</v>
      </c>
      <c r="F665" s="1" t="str">
        <f t="shared" si="10"/>
        <v>Tuesday</v>
      </c>
      <c r="G665" t="s">
        <v>2290</v>
      </c>
      <c r="H665" t="s">
        <v>4034</v>
      </c>
      <c r="I665" t="s">
        <v>32</v>
      </c>
      <c r="J665" t="s">
        <v>4106</v>
      </c>
      <c r="K665" t="s">
        <v>2291</v>
      </c>
      <c r="L665">
        <v>22</v>
      </c>
      <c r="M665">
        <v>40</v>
      </c>
      <c r="N665" t="s">
        <v>2041</v>
      </c>
      <c r="O665" t="s">
        <v>3401</v>
      </c>
      <c r="P665">
        <v>2023</v>
      </c>
      <c r="Q665">
        <v>8</v>
      </c>
      <c r="R665">
        <v>22</v>
      </c>
      <c r="S665">
        <v>12</v>
      </c>
      <c r="T665" t="str">
        <f>TEXT(Table1[[#This Row],[Month]],"MMMM")</f>
        <v>January</v>
      </c>
    </row>
    <row r="666" spans="1:20" x14ac:dyDescent="0.25">
      <c r="A666" t="s">
        <v>2292</v>
      </c>
      <c r="B666" t="s">
        <v>3138</v>
      </c>
      <c r="C666" t="s">
        <v>2271</v>
      </c>
      <c r="D666" t="s">
        <v>3394</v>
      </c>
      <c r="E666" s="1">
        <v>45161.697916666664</v>
      </c>
      <c r="F666" s="1" t="str">
        <f t="shared" si="10"/>
        <v>Wednesday</v>
      </c>
      <c r="G666" t="s">
        <v>2293</v>
      </c>
      <c r="H666" t="s">
        <v>4035</v>
      </c>
      <c r="I666" t="s">
        <v>875</v>
      </c>
      <c r="J666" t="s">
        <v>4104</v>
      </c>
      <c r="K666" t="s">
        <v>2294</v>
      </c>
      <c r="L666">
        <v>28</v>
      </c>
      <c r="M666">
        <v>55</v>
      </c>
      <c r="N666" t="s">
        <v>2036</v>
      </c>
      <c r="O666" t="s">
        <v>60</v>
      </c>
      <c r="P666">
        <v>2023</v>
      </c>
      <c r="Q666">
        <v>8</v>
      </c>
      <c r="R666">
        <v>23</v>
      </c>
      <c r="S666">
        <v>16</v>
      </c>
      <c r="T666" t="str">
        <f>TEXT(Table1[[#This Row],[Month]],"MMMM")</f>
        <v>January</v>
      </c>
    </row>
    <row r="667" spans="1:20" x14ac:dyDescent="0.25">
      <c r="A667" t="s">
        <v>2295</v>
      </c>
      <c r="B667" t="s">
        <v>3139</v>
      </c>
      <c r="C667" t="s">
        <v>389</v>
      </c>
      <c r="D667" t="s">
        <v>3231</v>
      </c>
      <c r="E667" s="1">
        <v>45162.763888888891</v>
      </c>
      <c r="F667" s="1" t="str">
        <f t="shared" si="10"/>
        <v>Thursday</v>
      </c>
      <c r="G667" t="s">
        <v>2296</v>
      </c>
      <c r="H667" t="s">
        <v>4036</v>
      </c>
      <c r="I667" t="s">
        <v>27</v>
      </c>
      <c r="J667" t="s">
        <v>4105</v>
      </c>
      <c r="K667" t="s">
        <v>2297</v>
      </c>
      <c r="L667">
        <v>20</v>
      </c>
      <c r="M667">
        <v>38</v>
      </c>
      <c r="N667" t="s">
        <v>2045</v>
      </c>
      <c r="O667" t="s">
        <v>3432</v>
      </c>
      <c r="P667">
        <v>2023</v>
      </c>
      <c r="Q667">
        <v>8</v>
      </c>
      <c r="R667">
        <v>24</v>
      </c>
      <c r="S667">
        <v>18</v>
      </c>
      <c r="T667" t="str">
        <f>TEXT(Table1[[#This Row],[Month]],"MMMM")</f>
        <v>January</v>
      </c>
    </row>
    <row r="668" spans="1:20" x14ac:dyDescent="0.25">
      <c r="A668" t="s">
        <v>2298</v>
      </c>
      <c r="B668" t="s">
        <v>3140</v>
      </c>
      <c r="C668" t="s">
        <v>1625</v>
      </c>
      <c r="D668" t="s">
        <v>3216</v>
      </c>
      <c r="E668" s="1">
        <v>45163.59375</v>
      </c>
      <c r="F668" s="1" t="str">
        <f t="shared" si="10"/>
        <v>Friday</v>
      </c>
      <c r="G668" t="s">
        <v>2299</v>
      </c>
      <c r="H668" t="s">
        <v>4037</v>
      </c>
      <c r="I668" t="s">
        <v>32</v>
      </c>
      <c r="J668" t="s">
        <v>4106</v>
      </c>
      <c r="K668" t="s">
        <v>2300</v>
      </c>
      <c r="L668">
        <v>25</v>
      </c>
      <c r="M668">
        <v>50</v>
      </c>
      <c r="N668" t="s">
        <v>2041</v>
      </c>
      <c r="O668" t="s">
        <v>3401</v>
      </c>
      <c r="P668">
        <v>2023</v>
      </c>
      <c r="Q668">
        <v>8</v>
      </c>
      <c r="R668">
        <v>25</v>
      </c>
      <c r="S668">
        <v>14</v>
      </c>
      <c r="T668" t="str">
        <f>TEXT(Table1[[#This Row],[Month]],"MMMM")</f>
        <v>January</v>
      </c>
    </row>
    <row r="669" spans="1:20" x14ac:dyDescent="0.25">
      <c r="A669" t="s">
        <v>2301</v>
      </c>
      <c r="B669" t="s">
        <v>3141</v>
      </c>
      <c r="C669" t="s">
        <v>2243</v>
      </c>
      <c r="D669" t="s">
        <v>3393</v>
      </c>
      <c r="E669" s="1">
        <v>45164.729166666664</v>
      </c>
      <c r="F669" s="1" t="str">
        <f t="shared" si="10"/>
        <v>Saturday</v>
      </c>
      <c r="G669" t="s">
        <v>2302</v>
      </c>
      <c r="H669" t="s">
        <v>4038</v>
      </c>
      <c r="I669" t="s">
        <v>875</v>
      </c>
      <c r="J669" t="s">
        <v>4104</v>
      </c>
      <c r="K669" t="s">
        <v>2303</v>
      </c>
      <c r="L669">
        <v>18</v>
      </c>
      <c r="M669">
        <v>35</v>
      </c>
      <c r="N669" t="s">
        <v>2036</v>
      </c>
      <c r="O669" t="s">
        <v>60</v>
      </c>
      <c r="P669">
        <v>2023</v>
      </c>
      <c r="Q669">
        <v>8</v>
      </c>
      <c r="R669">
        <v>26</v>
      </c>
      <c r="S669">
        <v>17</v>
      </c>
      <c r="T669" t="str">
        <f>TEXT(Table1[[#This Row],[Month]],"MMMM")</f>
        <v>January</v>
      </c>
    </row>
    <row r="670" spans="1:20" x14ac:dyDescent="0.25">
      <c r="A670" t="s">
        <v>2304</v>
      </c>
      <c r="B670" t="s">
        <v>3142</v>
      </c>
      <c r="C670" t="s">
        <v>2243</v>
      </c>
      <c r="D670" t="s">
        <v>3393</v>
      </c>
      <c r="E670" s="1">
        <v>45165.864583333336</v>
      </c>
      <c r="F670" s="1" t="str">
        <f t="shared" si="10"/>
        <v>Sunday</v>
      </c>
      <c r="G670" t="s">
        <v>2305</v>
      </c>
      <c r="H670" t="s">
        <v>4039</v>
      </c>
      <c r="I670" t="s">
        <v>27</v>
      </c>
      <c r="J670" t="s">
        <v>4105</v>
      </c>
      <c r="K670" t="s">
        <v>2306</v>
      </c>
      <c r="L670">
        <v>22</v>
      </c>
      <c r="M670">
        <v>45</v>
      </c>
      <c r="N670" t="s">
        <v>2045</v>
      </c>
      <c r="O670" t="s">
        <v>3432</v>
      </c>
      <c r="P670">
        <v>2023</v>
      </c>
      <c r="Q670">
        <v>8</v>
      </c>
      <c r="R670">
        <v>27</v>
      </c>
      <c r="S670">
        <v>20</v>
      </c>
      <c r="T670" t="str">
        <f>TEXT(Table1[[#This Row],[Month]],"MMMM")</f>
        <v>January</v>
      </c>
    </row>
    <row r="671" spans="1:20" x14ac:dyDescent="0.25">
      <c r="A671" t="s">
        <v>2307</v>
      </c>
      <c r="B671" t="s">
        <v>3143</v>
      </c>
      <c r="C671" t="s">
        <v>1625</v>
      </c>
      <c r="D671" t="s">
        <v>3216</v>
      </c>
      <c r="E671" s="1">
        <v>45166.666666666664</v>
      </c>
      <c r="F671" s="1" t="str">
        <f t="shared" si="10"/>
        <v>Monday</v>
      </c>
      <c r="G671" t="s">
        <v>2308</v>
      </c>
      <c r="H671" t="s">
        <v>4040</v>
      </c>
      <c r="I671" t="s">
        <v>875</v>
      </c>
      <c r="J671" t="s">
        <v>4104</v>
      </c>
      <c r="K671" t="s">
        <v>2309</v>
      </c>
      <c r="L671">
        <v>18</v>
      </c>
      <c r="M671">
        <v>36</v>
      </c>
      <c r="N671" t="s">
        <v>2036</v>
      </c>
      <c r="O671" t="s">
        <v>60</v>
      </c>
      <c r="P671">
        <v>2023</v>
      </c>
      <c r="Q671">
        <v>8</v>
      </c>
      <c r="R671">
        <v>28</v>
      </c>
      <c r="S671">
        <v>16</v>
      </c>
      <c r="T671" t="str">
        <f>TEXT(Table1[[#This Row],[Month]],"MMMM")</f>
        <v>January</v>
      </c>
    </row>
    <row r="672" spans="1:20" x14ac:dyDescent="0.25">
      <c r="A672" t="s">
        <v>2310</v>
      </c>
      <c r="B672" t="s">
        <v>3144</v>
      </c>
      <c r="C672" t="s">
        <v>389</v>
      </c>
      <c r="D672" t="s">
        <v>3231</v>
      </c>
      <c r="E672" s="1">
        <v>45167.572916666664</v>
      </c>
      <c r="F672" s="1" t="str">
        <f t="shared" si="10"/>
        <v>Tuesday</v>
      </c>
      <c r="G672" t="s">
        <v>2311</v>
      </c>
      <c r="H672" t="s">
        <v>4041</v>
      </c>
      <c r="I672" t="s">
        <v>27</v>
      </c>
      <c r="J672" t="s">
        <v>4105</v>
      </c>
      <c r="K672" t="s">
        <v>2312</v>
      </c>
      <c r="L672">
        <v>26</v>
      </c>
      <c r="M672">
        <v>48</v>
      </c>
      <c r="N672" t="s">
        <v>2041</v>
      </c>
      <c r="O672" t="s">
        <v>3401</v>
      </c>
      <c r="P672">
        <v>2023</v>
      </c>
      <c r="Q672">
        <v>8</v>
      </c>
      <c r="R672">
        <v>29</v>
      </c>
      <c r="S672">
        <v>13</v>
      </c>
      <c r="T672" t="str">
        <f>TEXT(Table1[[#This Row],[Month]],"MMMM")</f>
        <v>January</v>
      </c>
    </row>
    <row r="673" spans="1:20" x14ac:dyDescent="0.25">
      <c r="A673" t="s">
        <v>2313</v>
      </c>
      <c r="B673" t="s">
        <v>3145</v>
      </c>
      <c r="C673" t="s">
        <v>1625</v>
      </c>
      <c r="D673" t="s">
        <v>3216</v>
      </c>
      <c r="E673" s="1">
        <v>45168.729166666664</v>
      </c>
      <c r="F673" s="1" t="str">
        <f t="shared" si="10"/>
        <v>Wednesday</v>
      </c>
      <c r="G673" t="s">
        <v>2314</v>
      </c>
      <c r="H673" t="s">
        <v>4042</v>
      </c>
      <c r="I673" t="s">
        <v>32</v>
      </c>
      <c r="J673" t="s">
        <v>4106</v>
      </c>
      <c r="K673" t="s">
        <v>2315</v>
      </c>
      <c r="L673">
        <v>20</v>
      </c>
      <c r="M673">
        <v>40</v>
      </c>
      <c r="N673" t="s">
        <v>2036</v>
      </c>
      <c r="O673" t="s">
        <v>60</v>
      </c>
      <c r="P673">
        <v>2023</v>
      </c>
      <c r="Q673">
        <v>8</v>
      </c>
      <c r="R673">
        <v>30</v>
      </c>
      <c r="S673">
        <v>17</v>
      </c>
      <c r="T673" t="str">
        <f>TEXT(Table1[[#This Row],[Month]],"MMMM")</f>
        <v>January</v>
      </c>
    </row>
    <row r="674" spans="1:20" x14ac:dyDescent="0.25">
      <c r="A674" t="s">
        <v>2316</v>
      </c>
      <c r="B674" t="s">
        <v>3146</v>
      </c>
      <c r="C674" t="s">
        <v>389</v>
      </c>
      <c r="D674" t="s">
        <v>3231</v>
      </c>
      <c r="E674" s="1">
        <v>45169.84375</v>
      </c>
      <c r="F674" s="1" t="str">
        <f t="shared" si="10"/>
        <v>Thursday</v>
      </c>
      <c r="G674" t="s">
        <v>2317</v>
      </c>
      <c r="H674" t="s">
        <v>4043</v>
      </c>
      <c r="I674" t="s">
        <v>875</v>
      </c>
      <c r="J674" t="s">
        <v>4104</v>
      </c>
      <c r="K674" t="s">
        <v>2318</v>
      </c>
      <c r="L674">
        <v>24</v>
      </c>
      <c r="M674">
        <v>42</v>
      </c>
      <c r="N674" t="s">
        <v>2045</v>
      </c>
      <c r="O674" t="s">
        <v>3432</v>
      </c>
      <c r="P674">
        <v>2023</v>
      </c>
      <c r="Q674">
        <v>8</v>
      </c>
      <c r="R674">
        <v>31</v>
      </c>
      <c r="S674">
        <v>20</v>
      </c>
      <c r="T674" t="str">
        <f>TEXT(Table1[[#This Row],[Month]],"MMMM")</f>
        <v>January</v>
      </c>
    </row>
    <row r="675" spans="1:20" x14ac:dyDescent="0.25">
      <c r="A675" t="s">
        <v>2319</v>
      </c>
      <c r="B675" t="s">
        <v>3147</v>
      </c>
      <c r="C675" t="s">
        <v>1625</v>
      </c>
      <c r="D675" t="s">
        <v>3216</v>
      </c>
      <c r="E675" s="1">
        <v>45170.614583333336</v>
      </c>
      <c r="F675" s="1" t="str">
        <f t="shared" si="10"/>
        <v>Friday</v>
      </c>
      <c r="G675" t="s">
        <v>2320</v>
      </c>
      <c r="H675" t="s">
        <v>4044</v>
      </c>
      <c r="I675" t="s">
        <v>27</v>
      </c>
      <c r="J675" t="s">
        <v>4105</v>
      </c>
      <c r="K675" t="s">
        <v>2321</v>
      </c>
      <c r="L675">
        <v>21</v>
      </c>
      <c r="M675">
        <v>39</v>
      </c>
      <c r="N675" t="s">
        <v>2041</v>
      </c>
      <c r="O675" t="s">
        <v>3401</v>
      </c>
      <c r="P675">
        <v>2023</v>
      </c>
      <c r="Q675">
        <v>9</v>
      </c>
      <c r="R675">
        <v>1</v>
      </c>
      <c r="S675">
        <v>14</v>
      </c>
      <c r="T675" t="str">
        <f>TEXT(Table1[[#This Row],[Month]],"MMMM")</f>
        <v>January</v>
      </c>
    </row>
    <row r="676" spans="1:20" x14ac:dyDescent="0.25">
      <c r="A676" t="s">
        <v>2322</v>
      </c>
      <c r="B676" t="s">
        <v>3148</v>
      </c>
      <c r="C676" t="s">
        <v>2243</v>
      </c>
      <c r="D676" t="s">
        <v>3393</v>
      </c>
      <c r="E676" s="1">
        <v>45171.770833333336</v>
      </c>
      <c r="F676" s="1" t="str">
        <f t="shared" si="10"/>
        <v>Saturday</v>
      </c>
      <c r="G676" t="s">
        <v>2323</v>
      </c>
      <c r="H676" t="s">
        <v>4045</v>
      </c>
      <c r="I676" t="s">
        <v>32</v>
      </c>
      <c r="J676" t="s">
        <v>4106</v>
      </c>
      <c r="K676" t="s">
        <v>2324</v>
      </c>
      <c r="L676">
        <v>17</v>
      </c>
      <c r="M676">
        <v>33</v>
      </c>
      <c r="N676" t="s">
        <v>2036</v>
      </c>
      <c r="O676" t="s">
        <v>60</v>
      </c>
      <c r="P676">
        <v>2023</v>
      </c>
      <c r="Q676">
        <v>9</v>
      </c>
      <c r="R676">
        <v>2</v>
      </c>
      <c r="S676">
        <v>18</v>
      </c>
      <c r="T676" t="str">
        <f>TEXT(Table1[[#This Row],[Month]],"MMMM")</f>
        <v>January</v>
      </c>
    </row>
    <row r="677" spans="1:20" x14ac:dyDescent="0.25">
      <c r="A677" t="s">
        <v>2325</v>
      </c>
      <c r="B677" t="s">
        <v>3149</v>
      </c>
      <c r="C677" t="s">
        <v>389</v>
      </c>
      <c r="D677" t="s">
        <v>3231</v>
      </c>
      <c r="E677" s="1">
        <v>45172.916666666664</v>
      </c>
      <c r="F677" s="1" t="str">
        <f t="shared" si="10"/>
        <v>Sunday</v>
      </c>
      <c r="G677" t="s">
        <v>2326</v>
      </c>
      <c r="H677" t="s">
        <v>4046</v>
      </c>
      <c r="I677" t="s">
        <v>875</v>
      </c>
      <c r="J677" t="s">
        <v>4104</v>
      </c>
      <c r="K677" t="s">
        <v>2327</v>
      </c>
      <c r="L677">
        <v>23</v>
      </c>
      <c r="M677">
        <v>44</v>
      </c>
      <c r="N677" t="s">
        <v>2045</v>
      </c>
      <c r="O677" t="s">
        <v>3432</v>
      </c>
      <c r="P677">
        <v>2023</v>
      </c>
      <c r="Q677">
        <v>9</v>
      </c>
      <c r="R677">
        <v>3</v>
      </c>
      <c r="S677">
        <v>22</v>
      </c>
      <c r="T677" t="str">
        <f>TEXT(Table1[[#This Row],[Month]],"MMMM")</f>
        <v>January</v>
      </c>
    </row>
    <row r="678" spans="1:20" x14ac:dyDescent="0.25">
      <c r="A678" t="s">
        <v>2328</v>
      </c>
      <c r="B678" t="s">
        <v>3150</v>
      </c>
      <c r="C678" t="s">
        <v>1625</v>
      </c>
      <c r="D678" t="s">
        <v>3216</v>
      </c>
      <c r="E678" s="1">
        <v>45173.635416666664</v>
      </c>
      <c r="F678" s="1" t="str">
        <f t="shared" si="10"/>
        <v>Monday</v>
      </c>
      <c r="G678" t="s">
        <v>2329</v>
      </c>
      <c r="H678" t="s">
        <v>4047</v>
      </c>
      <c r="I678" t="s">
        <v>27</v>
      </c>
      <c r="J678" t="s">
        <v>4105</v>
      </c>
      <c r="K678" t="s">
        <v>2330</v>
      </c>
      <c r="L678">
        <v>19</v>
      </c>
      <c r="M678">
        <v>37</v>
      </c>
      <c r="N678" t="s">
        <v>2036</v>
      </c>
      <c r="O678" t="s">
        <v>60</v>
      </c>
      <c r="P678">
        <v>2023</v>
      </c>
      <c r="Q678">
        <v>9</v>
      </c>
      <c r="R678">
        <v>4</v>
      </c>
      <c r="S678">
        <v>15</v>
      </c>
      <c r="T678" t="str">
        <f>TEXT(Table1[[#This Row],[Month]],"MMMM")</f>
        <v>January</v>
      </c>
    </row>
    <row r="679" spans="1:20" x14ac:dyDescent="0.25">
      <c r="A679" t="s">
        <v>2331</v>
      </c>
      <c r="B679" t="s">
        <v>3151</v>
      </c>
      <c r="C679" t="s">
        <v>389</v>
      </c>
      <c r="D679" t="s">
        <v>3231</v>
      </c>
      <c r="E679" s="1">
        <v>45174.520833333336</v>
      </c>
      <c r="F679" s="1" t="str">
        <f t="shared" si="10"/>
        <v>Tuesday</v>
      </c>
      <c r="G679" t="s">
        <v>2332</v>
      </c>
      <c r="H679" t="s">
        <v>4048</v>
      </c>
      <c r="I679" t="s">
        <v>875</v>
      </c>
      <c r="J679" t="s">
        <v>4104</v>
      </c>
      <c r="K679" t="s">
        <v>2333</v>
      </c>
      <c r="L679">
        <v>27</v>
      </c>
      <c r="M679">
        <v>52</v>
      </c>
      <c r="N679" t="s">
        <v>2041</v>
      </c>
      <c r="O679" t="s">
        <v>3401</v>
      </c>
      <c r="P679">
        <v>2023</v>
      </c>
      <c r="Q679">
        <v>9</v>
      </c>
      <c r="R679">
        <v>5</v>
      </c>
      <c r="S679">
        <v>12</v>
      </c>
      <c r="T679" t="str">
        <f>TEXT(Table1[[#This Row],[Month]],"MMMM")</f>
        <v>January</v>
      </c>
    </row>
    <row r="680" spans="1:20" x14ac:dyDescent="0.25">
      <c r="A680" t="s">
        <v>2334</v>
      </c>
      <c r="B680" t="s">
        <v>3152</v>
      </c>
      <c r="C680" t="s">
        <v>1625</v>
      </c>
      <c r="D680" t="s">
        <v>3216</v>
      </c>
      <c r="E680" s="1">
        <v>45175.697916666664</v>
      </c>
      <c r="F680" s="1" t="str">
        <f t="shared" si="10"/>
        <v>Wednesday</v>
      </c>
      <c r="G680" t="s">
        <v>2335</v>
      </c>
      <c r="H680" t="s">
        <v>4049</v>
      </c>
      <c r="I680" t="s">
        <v>32</v>
      </c>
      <c r="J680" t="s">
        <v>4106</v>
      </c>
      <c r="K680" t="s">
        <v>2336</v>
      </c>
      <c r="L680">
        <v>22</v>
      </c>
      <c r="M680">
        <v>43</v>
      </c>
      <c r="N680" t="s">
        <v>2045</v>
      </c>
      <c r="O680" t="s">
        <v>3432</v>
      </c>
      <c r="P680">
        <v>2023</v>
      </c>
      <c r="Q680">
        <v>9</v>
      </c>
      <c r="R680">
        <v>6</v>
      </c>
      <c r="S680">
        <v>16</v>
      </c>
      <c r="T680" t="str">
        <f>TEXT(Table1[[#This Row],[Month]],"MMMM")</f>
        <v>January</v>
      </c>
    </row>
    <row r="681" spans="1:20" x14ac:dyDescent="0.25">
      <c r="A681" t="s">
        <v>2337</v>
      </c>
      <c r="B681" t="s">
        <v>3153</v>
      </c>
      <c r="C681" t="s">
        <v>389</v>
      </c>
      <c r="D681" t="s">
        <v>3231</v>
      </c>
      <c r="E681" s="1">
        <v>45176.763888888891</v>
      </c>
      <c r="F681" s="1" t="str">
        <f t="shared" si="10"/>
        <v>Thursday</v>
      </c>
      <c r="G681" t="s">
        <v>2338</v>
      </c>
      <c r="H681" t="s">
        <v>4050</v>
      </c>
      <c r="I681" t="s">
        <v>27</v>
      </c>
      <c r="J681" t="s">
        <v>4105</v>
      </c>
      <c r="K681" t="s">
        <v>2339</v>
      </c>
      <c r="L681">
        <v>20</v>
      </c>
      <c r="M681">
        <v>39</v>
      </c>
      <c r="N681" t="s">
        <v>2036</v>
      </c>
      <c r="O681" t="s">
        <v>60</v>
      </c>
      <c r="P681">
        <v>2023</v>
      </c>
      <c r="Q681">
        <v>9</v>
      </c>
      <c r="R681">
        <v>7</v>
      </c>
      <c r="S681">
        <v>18</v>
      </c>
      <c r="T681" t="str">
        <f>TEXT(Table1[[#This Row],[Month]],"MMMM")</f>
        <v>January</v>
      </c>
    </row>
    <row r="682" spans="1:20" x14ac:dyDescent="0.25">
      <c r="A682" t="s">
        <v>2340</v>
      </c>
      <c r="B682" t="s">
        <v>3154</v>
      </c>
      <c r="C682" t="s">
        <v>1625</v>
      </c>
      <c r="D682" t="s">
        <v>3216</v>
      </c>
      <c r="E682" s="1">
        <v>45177.59375</v>
      </c>
      <c r="F682" s="1" t="str">
        <f t="shared" si="10"/>
        <v>Friday</v>
      </c>
      <c r="G682" t="s">
        <v>2341</v>
      </c>
      <c r="H682" t="s">
        <v>4051</v>
      </c>
      <c r="I682" t="s">
        <v>32</v>
      </c>
      <c r="J682" t="s">
        <v>4106</v>
      </c>
      <c r="K682" t="s">
        <v>2342</v>
      </c>
      <c r="L682">
        <v>26</v>
      </c>
      <c r="M682">
        <v>48</v>
      </c>
      <c r="N682" t="s">
        <v>2041</v>
      </c>
      <c r="O682" t="s">
        <v>3401</v>
      </c>
      <c r="P682">
        <v>2023</v>
      </c>
      <c r="Q682">
        <v>9</v>
      </c>
      <c r="R682">
        <v>8</v>
      </c>
      <c r="S682">
        <v>14</v>
      </c>
      <c r="T682" t="str">
        <f>TEXT(Table1[[#This Row],[Month]],"MMMM")</f>
        <v>January</v>
      </c>
    </row>
    <row r="683" spans="1:20" x14ac:dyDescent="0.25">
      <c r="A683" t="s">
        <v>2343</v>
      </c>
      <c r="B683" t="s">
        <v>3155</v>
      </c>
      <c r="C683" t="s">
        <v>2243</v>
      </c>
      <c r="D683" t="s">
        <v>3393</v>
      </c>
      <c r="E683" s="1">
        <v>45178.729166666664</v>
      </c>
      <c r="F683" s="1" t="str">
        <f t="shared" si="10"/>
        <v>Saturday</v>
      </c>
      <c r="G683" t="s">
        <v>2344</v>
      </c>
      <c r="H683" t="s">
        <v>4052</v>
      </c>
      <c r="I683" t="s">
        <v>875</v>
      </c>
      <c r="J683" t="s">
        <v>4104</v>
      </c>
      <c r="K683" t="s">
        <v>2345</v>
      </c>
      <c r="L683">
        <v>16</v>
      </c>
      <c r="M683">
        <v>32</v>
      </c>
      <c r="N683" t="s">
        <v>2036</v>
      </c>
      <c r="O683" t="s">
        <v>60</v>
      </c>
      <c r="P683">
        <v>2023</v>
      </c>
      <c r="Q683">
        <v>9</v>
      </c>
      <c r="R683">
        <v>9</v>
      </c>
      <c r="S683">
        <v>17</v>
      </c>
      <c r="T683" t="str">
        <f>TEXT(Table1[[#This Row],[Month]],"MMMM")</f>
        <v>January</v>
      </c>
    </row>
    <row r="684" spans="1:20" x14ac:dyDescent="0.25">
      <c r="A684" t="s">
        <v>2346</v>
      </c>
      <c r="B684" t="s">
        <v>3156</v>
      </c>
      <c r="C684" t="s">
        <v>389</v>
      </c>
      <c r="D684" t="s">
        <v>3231</v>
      </c>
      <c r="E684" s="1">
        <v>45179.864583333336</v>
      </c>
      <c r="F684" s="1" t="str">
        <f t="shared" si="10"/>
        <v>Sunday</v>
      </c>
      <c r="G684" t="s">
        <v>2347</v>
      </c>
      <c r="H684" t="s">
        <v>4053</v>
      </c>
      <c r="I684" t="s">
        <v>27</v>
      </c>
      <c r="J684" t="s">
        <v>4105</v>
      </c>
      <c r="K684" t="s">
        <v>2348</v>
      </c>
      <c r="L684">
        <v>23</v>
      </c>
      <c r="M684">
        <v>42</v>
      </c>
      <c r="N684" t="s">
        <v>2045</v>
      </c>
      <c r="O684" t="s">
        <v>3432</v>
      </c>
      <c r="P684">
        <v>2023</v>
      </c>
      <c r="Q684">
        <v>9</v>
      </c>
      <c r="R684">
        <v>10</v>
      </c>
      <c r="S684">
        <v>20</v>
      </c>
      <c r="T684" t="str">
        <f>TEXT(Table1[[#This Row],[Month]],"MMMM")</f>
        <v>January</v>
      </c>
    </row>
    <row r="685" spans="1:20" x14ac:dyDescent="0.25">
      <c r="A685" t="s">
        <v>2349</v>
      </c>
      <c r="B685" t="s">
        <v>3157</v>
      </c>
      <c r="C685" t="s">
        <v>2350</v>
      </c>
      <c r="D685" t="s">
        <v>3395</v>
      </c>
      <c r="E685" s="1">
        <v>45180.65625</v>
      </c>
      <c r="F685" s="1" t="str">
        <f t="shared" si="10"/>
        <v>Monday</v>
      </c>
      <c r="G685" t="s">
        <v>2351</v>
      </c>
      <c r="H685" t="s">
        <v>4054</v>
      </c>
      <c r="I685" t="s">
        <v>875</v>
      </c>
      <c r="J685" t="s">
        <v>4104</v>
      </c>
      <c r="K685" t="s">
        <v>2352</v>
      </c>
      <c r="L685">
        <v>15</v>
      </c>
      <c r="M685">
        <v>28</v>
      </c>
      <c r="N685" t="s">
        <v>2036</v>
      </c>
      <c r="O685" t="s">
        <v>60</v>
      </c>
      <c r="P685">
        <v>2023</v>
      </c>
      <c r="Q685">
        <v>9</v>
      </c>
      <c r="R685">
        <v>11</v>
      </c>
      <c r="S685">
        <v>15</v>
      </c>
      <c r="T685" t="str">
        <f>TEXT(Table1[[#This Row],[Month]],"MMMM")</f>
        <v>January</v>
      </c>
    </row>
    <row r="686" spans="1:20" x14ac:dyDescent="0.25">
      <c r="A686" t="s">
        <v>2353</v>
      </c>
      <c r="B686" t="s">
        <v>3158</v>
      </c>
      <c r="C686" t="s">
        <v>2354</v>
      </c>
      <c r="D686" t="s">
        <v>3396</v>
      </c>
      <c r="E686" s="1">
        <v>45181.520833333336</v>
      </c>
      <c r="F686" s="1" t="str">
        <f t="shared" si="10"/>
        <v>Tuesday</v>
      </c>
      <c r="G686" t="s">
        <v>2355</v>
      </c>
      <c r="H686" t="s">
        <v>4055</v>
      </c>
      <c r="I686" t="s">
        <v>27</v>
      </c>
      <c r="J686" t="s">
        <v>4105</v>
      </c>
      <c r="K686" t="s">
        <v>2356</v>
      </c>
      <c r="L686">
        <v>18</v>
      </c>
      <c r="M686">
        <v>36</v>
      </c>
      <c r="N686" t="s">
        <v>2041</v>
      </c>
      <c r="O686" t="s">
        <v>3401</v>
      </c>
      <c r="P686">
        <v>2023</v>
      </c>
      <c r="Q686">
        <v>9</v>
      </c>
      <c r="R686">
        <v>12</v>
      </c>
      <c r="S686">
        <v>12</v>
      </c>
      <c r="T686" t="str">
        <f>TEXT(Table1[[#This Row],[Month]],"MMMM")</f>
        <v>January</v>
      </c>
    </row>
    <row r="687" spans="1:20" x14ac:dyDescent="0.25">
      <c r="A687" t="s">
        <v>2357</v>
      </c>
      <c r="B687" t="s">
        <v>3159</v>
      </c>
      <c r="C687" t="s">
        <v>2358</v>
      </c>
      <c r="D687" t="s">
        <v>3397</v>
      </c>
      <c r="E687" s="1">
        <v>45182.697916666664</v>
      </c>
      <c r="F687" s="1" t="str">
        <f t="shared" si="10"/>
        <v>Wednesday</v>
      </c>
      <c r="G687" t="s">
        <v>2359</v>
      </c>
      <c r="H687" t="s">
        <v>4056</v>
      </c>
      <c r="I687" t="s">
        <v>32</v>
      </c>
      <c r="J687" t="s">
        <v>4106</v>
      </c>
      <c r="K687" t="s">
        <v>2360</v>
      </c>
      <c r="L687">
        <v>20</v>
      </c>
      <c r="M687">
        <v>40</v>
      </c>
      <c r="N687" t="s">
        <v>2045</v>
      </c>
      <c r="O687" t="s">
        <v>3432</v>
      </c>
      <c r="P687">
        <v>2023</v>
      </c>
      <c r="Q687">
        <v>9</v>
      </c>
      <c r="R687">
        <v>13</v>
      </c>
      <c r="S687">
        <v>16</v>
      </c>
      <c r="T687" t="str">
        <f>TEXT(Table1[[#This Row],[Month]],"MMMM")</f>
        <v>January</v>
      </c>
    </row>
    <row r="688" spans="1:20" x14ac:dyDescent="0.25">
      <c r="A688" t="s">
        <v>2361</v>
      </c>
      <c r="B688" t="s">
        <v>3160</v>
      </c>
      <c r="C688" t="s">
        <v>2350</v>
      </c>
      <c r="D688" t="s">
        <v>3395</v>
      </c>
      <c r="E688" s="1">
        <v>45183.763888888891</v>
      </c>
      <c r="F688" s="1" t="str">
        <f t="shared" si="10"/>
        <v>Thursday</v>
      </c>
      <c r="G688" t="s">
        <v>2362</v>
      </c>
      <c r="H688" t="s">
        <v>4057</v>
      </c>
      <c r="I688" t="s">
        <v>875</v>
      </c>
      <c r="J688" t="s">
        <v>4104</v>
      </c>
      <c r="K688" t="s">
        <v>2363</v>
      </c>
      <c r="L688">
        <v>17</v>
      </c>
      <c r="M688">
        <v>34</v>
      </c>
      <c r="N688" t="s">
        <v>2036</v>
      </c>
      <c r="O688" t="s">
        <v>60</v>
      </c>
      <c r="P688">
        <v>2023</v>
      </c>
      <c r="Q688">
        <v>9</v>
      </c>
      <c r="R688">
        <v>14</v>
      </c>
      <c r="S688">
        <v>18</v>
      </c>
      <c r="T688" t="str">
        <f>TEXT(Table1[[#This Row],[Month]],"MMMM")</f>
        <v>January</v>
      </c>
    </row>
    <row r="689" spans="1:20" x14ac:dyDescent="0.25">
      <c r="A689" t="s">
        <v>2364</v>
      </c>
      <c r="B689" t="s">
        <v>3161</v>
      </c>
      <c r="C689" t="s">
        <v>2354</v>
      </c>
      <c r="D689" t="s">
        <v>3396</v>
      </c>
      <c r="E689" s="1">
        <v>45184.59375</v>
      </c>
      <c r="F689" s="1" t="str">
        <f t="shared" si="10"/>
        <v>Friday</v>
      </c>
      <c r="G689" t="s">
        <v>2365</v>
      </c>
      <c r="H689" t="s">
        <v>4058</v>
      </c>
      <c r="I689" t="s">
        <v>27</v>
      </c>
      <c r="J689" t="s">
        <v>4105</v>
      </c>
      <c r="K689" t="s">
        <v>2366</v>
      </c>
      <c r="L689">
        <v>21</v>
      </c>
      <c r="M689">
        <v>41</v>
      </c>
      <c r="N689" t="s">
        <v>2041</v>
      </c>
      <c r="O689" t="s">
        <v>3401</v>
      </c>
      <c r="P689">
        <v>2023</v>
      </c>
      <c r="Q689">
        <v>9</v>
      </c>
      <c r="R689">
        <v>15</v>
      </c>
      <c r="S689">
        <v>14</v>
      </c>
      <c r="T689" t="str">
        <f>TEXT(Table1[[#This Row],[Month]],"MMMM")</f>
        <v>January</v>
      </c>
    </row>
    <row r="690" spans="1:20" x14ac:dyDescent="0.25">
      <c r="A690" t="s">
        <v>2367</v>
      </c>
      <c r="B690" t="s">
        <v>3162</v>
      </c>
      <c r="C690" t="s">
        <v>2358</v>
      </c>
      <c r="D690" t="s">
        <v>3397</v>
      </c>
      <c r="E690" s="1">
        <v>45185.729166666664</v>
      </c>
      <c r="F690" s="1" t="str">
        <f t="shared" si="10"/>
        <v>Saturday</v>
      </c>
      <c r="G690" t="s">
        <v>2368</v>
      </c>
      <c r="H690" t="s">
        <v>4059</v>
      </c>
      <c r="I690" t="s">
        <v>32</v>
      </c>
      <c r="J690" t="s">
        <v>4106</v>
      </c>
      <c r="K690" t="s">
        <v>2369</v>
      </c>
      <c r="L690">
        <v>19</v>
      </c>
      <c r="M690">
        <v>38</v>
      </c>
      <c r="N690" t="s">
        <v>2045</v>
      </c>
      <c r="O690" t="s">
        <v>3432</v>
      </c>
      <c r="P690">
        <v>2023</v>
      </c>
      <c r="Q690">
        <v>9</v>
      </c>
      <c r="R690">
        <v>16</v>
      </c>
      <c r="S690">
        <v>17</v>
      </c>
      <c r="T690" t="str">
        <f>TEXT(Table1[[#This Row],[Month]],"MMMM")</f>
        <v>January</v>
      </c>
    </row>
    <row r="691" spans="1:20" x14ac:dyDescent="0.25">
      <c r="A691" t="s">
        <v>2370</v>
      </c>
      <c r="B691" t="s">
        <v>3163</v>
      </c>
      <c r="C691" t="s">
        <v>2350</v>
      </c>
      <c r="D691" t="s">
        <v>3395</v>
      </c>
      <c r="E691" s="1">
        <v>45186.864583333336</v>
      </c>
      <c r="F691" s="1" t="str">
        <f t="shared" si="10"/>
        <v>Sunday</v>
      </c>
      <c r="G691" t="s">
        <v>2371</v>
      </c>
      <c r="H691" t="s">
        <v>4060</v>
      </c>
      <c r="I691" t="s">
        <v>875</v>
      </c>
      <c r="J691" t="s">
        <v>4104</v>
      </c>
      <c r="K691" t="s">
        <v>2372</v>
      </c>
      <c r="L691">
        <v>22</v>
      </c>
      <c r="M691">
        <v>44</v>
      </c>
      <c r="N691" t="s">
        <v>2036</v>
      </c>
      <c r="O691" t="s">
        <v>60</v>
      </c>
      <c r="P691">
        <v>2023</v>
      </c>
      <c r="Q691">
        <v>9</v>
      </c>
      <c r="R691">
        <v>17</v>
      </c>
      <c r="S691">
        <v>20</v>
      </c>
      <c r="T691" t="str">
        <f>TEXT(Table1[[#This Row],[Month]],"MMMM")</f>
        <v>January</v>
      </c>
    </row>
    <row r="692" spans="1:20" x14ac:dyDescent="0.25">
      <c r="A692" t="s">
        <v>2373</v>
      </c>
      <c r="B692" t="s">
        <v>3164</v>
      </c>
      <c r="C692" t="s">
        <v>2350</v>
      </c>
      <c r="D692" t="s">
        <v>3395</v>
      </c>
      <c r="E692" s="1">
        <v>45187.916666666664</v>
      </c>
      <c r="F692" s="1" t="str">
        <f t="shared" si="10"/>
        <v>Monday</v>
      </c>
      <c r="G692" t="s">
        <v>2374</v>
      </c>
      <c r="H692" t="s">
        <v>4061</v>
      </c>
      <c r="I692" t="s">
        <v>27</v>
      </c>
      <c r="J692" t="s">
        <v>4105</v>
      </c>
      <c r="K692" t="s">
        <v>2375</v>
      </c>
      <c r="L692">
        <v>16</v>
      </c>
      <c r="M692">
        <v>31</v>
      </c>
      <c r="N692" t="s">
        <v>2041</v>
      </c>
      <c r="O692" t="s">
        <v>3401</v>
      </c>
      <c r="P692">
        <v>2023</v>
      </c>
      <c r="Q692">
        <v>9</v>
      </c>
      <c r="R692">
        <v>18</v>
      </c>
      <c r="S692">
        <v>22</v>
      </c>
      <c r="T692" t="str">
        <f>TEXT(Table1[[#This Row],[Month]],"MMMM")</f>
        <v>January</v>
      </c>
    </row>
    <row r="693" spans="1:20" x14ac:dyDescent="0.25">
      <c r="A693" t="s">
        <v>2376</v>
      </c>
      <c r="B693" t="s">
        <v>3165</v>
      </c>
      <c r="C693" t="s">
        <v>2354</v>
      </c>
      <c r="D693" t="s">
        <v>3396</v>
      </c>
      <c r="E693" s="1">
        <v>45188.635416666664</v>
      </c>
      <c r="F693" s="1" t="str">
        <f t="shared" si="10"/>
        <v>Tuesday</v>
      </c>
      <c r="G693" t="s">
        <v>2377</v>
      </c>
      <c r="H693" t="s">
        <v>4062</v>
      </c>
      <c r="I693" t="s">
        <v>32</v>
      </c>
      <c r="J693" t="s">
        <v>4106</v>
      </c>
      <c r="K693" t="s">
        <v>2378</v>
      </c>
      <c r="L693">
        <v>14</v>
      </c>
      <c r="M693">
        <v>27</v>
      </c>
      <c r="N693" t="s">
        <v>2045</v>
      </c>
      <c r="O693" t="s">
        <v>3432</v>
      </c>
      <c r="P693">
        <v>2023</v>
      </c>
      <c r="Q693">
        <v>9</v>
      </c>
      <c r="R693">
        <v>19</v>
      </c>
      <c r="S693">
        <v>15</v>
      </c>
      <c r="T693" t="str">
        <f>TEXT(Table1[[#This Row],[Month]],"MMMM")</f>
        <v>January</v>
      </c>
    </row>
    <row r="694" spans="1:20" x14ac:dyDescent="0.25">
      <c r="A694" t="s">
        <v>2379</v>
      </c>
      <c r="B694" t="s">
        <v>3166</v>
      </c>
      <c r="C694" t="s">
        <v>2358</v>
      </c>
      <c r="D694" t="s">
        <v>3397</v>
      </c>
      <c r="E694" s="1">
        <v>45189.520833333336</v>
      </c>
      <c r="F694" s="1" t="str">
        <f t="shared" si="10"/>
        <v>Wednesday</v>
      </c>
      <c r="G694" t="s">
        <v>2380</v>
      </c>
      <c r="H694" t="s">
        <v>4063</v>
      </c>
      <c r="I694" t="s">
        <v>875</v>
      </c>
      <c r="J694" t="s">
        <v>4104</v>
      </c>
      <c r="K694" t="s">
        <v>2381</v>
      </c>
      <c r="L694">
        <v>18</v>
      </c>
      <c r="M694">
        <v>35</v>
      </c>
      <c r="N694" t="s">
        <v>2036</v>
      </c>
      <c r="O694" t="s">
        <v>60</v>
      </c>
      <c r="P694">
        <v>2023</v>
      </c>
      <c r="Q694">
        <v>9</v>
      </c>
      <c r="R694">
        <v>20</v>
      </c>
      <c r="S694">
        <v>12</v>
      </c>
      <c r="T694" t="str">
        <f>TEXT(Table1[[#This Row],[Month]],"MMMM")</f>
        <v>January</v>
      </c>
    </row>
    <row r="695" spans="1:20" x14ac:dyDescent="0.25">
      <c r="A695" t="s">
        <v>2382</v>
      </c>
      <c r="B695" t="s">
        <v>3167</v>
      </c>
      <c r="C695" t="s">
        <v>2350</v>
      </c>
      <c r="D695" t="s">
        <v>3395</v>
      </c>
      <c r="E695" s="1">
        <v>45190.697916666664</v>
      </c>
      <c r="F695" s="1" t="str">
        <f t="shared" si="10"/>
        <v>Thursday</v>
      </c>
      <c r="G695" t="s">
        <v>2383</v>
      </c>
      <c r="H695" t="s">
        <v>4064</v>
      </c>
      <c r="I695" t="s">
        <v>27</v>
      </c>
      <c r="J695" t="s">
        <v>4105</v>
      </c>
      <c r="K695" t="s">
        <v>2384</v>
      </c>
      <c r="L695">
        <v>20</v>
      </c>
      <c r="M695">
        <v>39</v>
      </c>
      <c r="N695" t="s">
        <v>2041</v>
      </c>
      <c r="O695" t="s">
        <v>3401</v>
      </c>
      <c r="P695">
        <v>2023</v>
      </c>
      <c r="Q695">
        <v>9</v>
      </c>
      <c r="R695">
        <v>21</v>
      </c>
      <c r="S695">
        <v>16</v>
      </c>
      <c r="T695" t="str">
        <f>TEXT(Table1[[#This Row],[Month]],"MMMM")</f>
        <v>January</v>
      </c>
    </row>
    <row r="696" spans="1:20" x14ac:dyDescent="0.25">
      <c r="A696" t="s">
        <v>2385</v>
      </c>
      <c r="B696" t="s">
        <v>3168</v>
      </c>
      <c r="C696" t="s">
        <v>2354</v>
      </c>
      <c r="D696" t="s">
        <v>3396</v>
      </c>
      <c r="E696" s="1">
        <v>45191.763888888891</v>
      </c>
      <c r="F696" s="1" t="str">
        <f t="shared" si="10"/>
        <v>Friday</v>
      </c>
      <c r="G696" t="s">
        <v>2386</v>
      </c>
      <c r="H696" t="s">
        <v>4065</v>
      </c>
      <c r="I696" t="s">
        <v>32</v>
      </c>
      <c r="J696" t="s">
        <v>4106</v>
      </c>
      <c r="K696" t="s">
        <v>2387</v>
      </c>
      <c r="L696">
        <v>23</v>
      </c>
      <c r="M696">
        <v>46</v>
      </c>
      <c r="N696" t="s">
        <v>2045</v>
      </c>
      <c r="O696" t="s">
        <v>3432</v>
      </c>
      <c r="P696">
        <v>2023</v>
      </c>
      <c r="Q696">
        <v>9</v>
      </c>
      <c r="R696">
        <v>22</v>
      </c>
      <c r="S696">
        <v>18</v>
      </c>
      <c r="T696" t="str">
        <f>TEXT(Table1[[#This Row],[Month]],"MMMM")</f>
        <v>January</v>
      </c>
    </row>
    <row r="697" spans="1:20" x14ac:dyDescent="0.25">
      <c r="A697" t="s">
        <v>2388</v>
      </c>
      <c r="B697" t="s">
        <v>3169</v>
      </c>
      <c r="C697" t="s">
        <v>2358</v>
      </c>
      <c r="D697" t="s">
        <v>3397</v>
      </c>
      <c r="E697" s="1">
        <v>45192.59375</v>
      </c>
      <c r="F697" s="1" t="str">
        <f t="shared" si="10"/>
        <v>Saturday</v>
      </c>
      <c r="G697" t="s">
        <v>2389</v>
      </c>
      <c r="H697" t="s">
        <v>4066</v>
      </c>
      <c r="I697" t="s">
        <v>875</v>
      </c>
      <c r="J697" t="s">
        <v>4104</v>
      </c>
      <c r="K697" t="s">
        <v>2390</v>
      </c>
      <c r="L697">
        <v>25</v>
      </c>
      <c r="M697">
        <v>50</v>
      </c>
      <c r="N697" t="s">
        <v>2036</v>
      </c>
      <c r="O697" t="s">
        <v>60</v>
      </c>
      <c r="P697">
        <v>2023</v>
      </c>
      <c r="Q697">
        <v>9</v>
      </c>
      <c r="R697">
        <v>23</v>
      </c>
      <c r="S697">
        <v>14</v>
      </c>
      <c r="T697" t="str">
        <f>TEXT(Table1[[#This Row],[Month]],"MMMM")</f>
        <v>January</v>
      </c>
    </row>
    <row r="698" spans="1:20" x14ac:dyDescent="0.25">
      <c r="A698" t="s">
        <v>2391</v>
      </c>
      <c r="B698" t="s">
        <v>3170</v>
      </c>
      <c r="C698" t="s">
        <v>2350</v>
      </c>
      <c r="D698" t="s">
        <v>3395</v>
      </c>
      <c r="E698" s="1">
        <v>45193.729166666664</v>
      </c>
      <c r="F698" s="1" t="str">
        <f t="shared" si="10"/>
        <v>Sunday</v>
      </c>
      <c r="G698" t="s">
        <v>2392</v>
      </c>
      <c r="H698" t="s">
        <v>4067</v>
      </c>
      <c r="I698" t="s">
        <v>27</v>
      </c>
      <c r="J698" t="s">
        <v>4105</v>
      </c>
      <c r="K698" t="s">
        <v>2393</v>
      </c>
      <c r="L698">
        <v>21</v>
      </c>
      <c r="M698">
        <v>42</v>
      </c>
      <c r="N698" t="s">
        <v>2041</v>
      </c>
      <c r="O698" t="s">
        <v>3401</v>
      </c>
      <c r="P698">
        <v>2023</v>
      </c>
      <c r="Q698">
        <v>9</v>
      </c>
      <c r="R698">
        <v>24</v>
      </c>
      <c r="S698">
        <v>17</v>
      </c>
      <c r="T698" t="str">
        <f>TEXT(Table1[[#This Row],[Month]],"MMMM")</f>
        <v>January</v>
      </c>
    </row>
    <row r="699" spans="1:20" x14ac:dyDescent="0.25">
      <c r="A699" t="s">
        <v>2394</v>
      </c>
      <c r="B699" t="s">
        <v>3171</v>
      </c>
      <c r="C699" t="s">
        <v>2350</v>
      </c>
      <c r="D699" t="s">
        <v>3395</v>
      </c>
      <c r="E699" s="1">
        <v>45194.864583333336</v>
      </c>
      <c r="F699" s="1" t="str">
        <f t="shared" si="10"/>
        <v>Monday</v>
      </c>
      <c r="G699" t="s">
        <v>2395</v>
      </c>
      <c r="H699" t="s">
        <v>4068</v>
      </c>
      <c r="I699" t="s">
        <v>32</v>
      </c>
      <c r="J699" t="s">
        <v>4106</v>
      </c>
      <c r="K699" t="s">
        <v>2396</v>
      </c>
      <c r="L699">
        <v>19</v>
      </c>
      <c r="M699">
        <v>37</v>
      </c>
      <c r="N699" t="s">
        <v>2045</v>
      </c>
      <c r="O699" t="s">
        <v>3432</v>
      </c>
      <c r="P699">
        <v>2023</v>
      </c>
      <c r="Q699">
        <v>9</v>
      </c>
      <c r="R699">
        <v>25</v>
      </c>
      <c r="S699">
        <v>20</v>
      </c>
      <c r="T699" t="str">
        <f>TEXT(Table1[[#This Row],[Month]],"MMMM")</f>
        <v>January</v>
      </c>
    </row>
    <row r="700" spans="1:20" x14ac:dyDescent="0.25">
      <c r="A700" t="s">
        <v>2397</v>
      </c>
      <c r="B700" t="s">
        <v>3172</v>
      </c>
      <c r="C700" t="s">
        <v>2354</v>
      </c>
      <c r="D700" t="s">
        <v>3396</v>
      </c>
      <c r="E700" s="1">
        <v>45195.59375</v>
      </c>
      <c r="F700" s="1" t="str">
        <f t="shared" si="10"/>
        <v>Tuesday</v>
      </c>
      <c r="G700" t="s">
        <v>2398</v>
      </c>
      <c r="H700" t="s">
        <v>4069</v>
      </c>
      <c r="I700" t="s">
        <v>875</v>
      </c>
      <c r="J700" t="s">
        <v>4104</v>
      </c>
      <c r="K700" t="s">
        <v>2399</v>
      </c>
      <c r="L700">
        <v>16</v>
      </c>
      <c r="M700">
        <v>32</v>
      </c>
      <c r="N700" t="s">
        <v>2036</v>
      </c>
      <c r="O700" t="s">
        <v>60</v>
      </c>
      <c r="P700">
        <v>2023</v>
      </c>
      <c r="Q700">
        <v>9</v>
      </c>
      <c r="R700">
        <v>26</v>
      </c>
      <c r="S700">
        <v>14</v>
      </c>
      <c r="T700" t="str">
        <f>TEXT(Table1[[#This Row],[Month]],"MMMM")</f>
        <v>January</v>
      </c>
    </row>
    <row r="701" spans="1:20" x14ac:dyDescent="0.25">
      <c r="A701" t="s">
        <v>2400</v>
      </c>
      <c r="B701" t="s">
        <v>3173</v>
      </c>
      <c r="C701" t="s">
        <v>2358</v>
      </c>
      <c r="D701" t="s">
        <v>3397</v>
      </c>
      <c r="E701" s="1">
        <v>45196.729166666664</v>
      </c>
      <c r="F701" s="1" t="str">
        <f t="shared" si="10"/>
        <v>Wednesday</v>
      </c>
      <c r="G701" t="s">
        <v>2401</v>
      </c>
      <c r="H701" t="s">
        <v>4070</v>
      </c>
      <c r="I701" t="s">
        <v>27</v>
      </c>
      <c r="J701" t="s">
        <v>4105</v>
      </c>
      <c r="K701" t="s">
        <v>2402</v>
      </c>
      <c r="L701">
        <v>18</v>
      </c>
      <c r="M701">
        <v>36</v>
      </c>
      <c r="N701" t="s">
        <v>2041</v>
      </c>
      <c r="O701" t="s">
        <v>3401</v>
      </c>
      <c r="P701">
        <v>2023</v>
      </c>
      <c r="Q701">
        <v>9</v>
      </c>
      <c r="R701">
        <v>27</v>
      </c>
      <c r="S701">
        <v>17</v>
      </c>
      <c r="T701" t="str">
        <f>TEXT(Table1[[#This Row],[Month]],"MMMM")</f>
        <v>January</v>
      </c>
    </row>
    <row r="702" spans="1:20" x14ac:dyDescent="0.25">
      <c r="A702" t="s">
        <v>2403</v>
      </c>
      <c r="B702" t="s">
        <v>3174</v>
      </c>
      <c r="C702" t="s">
        <v>2350</v>
      </c>
      <c r="D702" t="s">
        <v>3395</v>
      </c>
      <c r="E702" s="1">
        <v>45197.916666666664</v>
      </c>
      <c r="F702" s="1" t="str">
        <f t="shared" si="10"/>
        <v>Thursday</v>
      </c>
      <c r="G702" t="s">
        <v>2404</v>
      </c>
      <c r="H702" t="s">
        <v>4071</v>
      </c>
      <c r="I702" t="s">
        <v>32</v>
      </c>
      <c r="J702" t="s">
        <v>4106</v>
      </c>
      <c r="K702" t="s">
        <v>2405</v>
      </c>
      <c r="L702">
        <v>21</v>
      </c>
      <c r="M702">
        <v>41</v>
      </c>
      <c r="N702" t="s">
        <v>2045</v>
      </c>
      <c r="O702" t="s">
        <v>3432</v>
      </c>
      <c r="P702">
        <v>2023</v>
      </c>
      <c r="Q702">
        <v>9</v>
      </c>
      <c r="R702">
        <v>28</v>
      </c>
      <c r="S702">
        <v>22</v>
      </c>
      <c r="T702" t="str">
        <f>TEXT(Table1[[#This Row],[Month]],"MMMM")</f>
        <v>January</v>
      </c>
    </row>
    <row r="703" spans="1:20" x14ac:dyDescent="0.25">
      <c r="A703" t="s">
        <v>2406</v>
      </c>
      <c r="B703" t="s">
        <v>3175</v>
      </c>
      <c r="C703" t="s">
        <v>2354</v>
      </c>
      <c r="D703" t="s">
        <v>3396</v>
      </c>
      <c r="E703" s="1">
        <v>45198.65625</v>
      </c>
      <c r="F703" s="1" t="str">
        <f t="shared" si="10"/>
        <v>Friday</v>
      </c>
      <c r="G703" t="s">
        <v>2407</v>
      </c>
      <c r="H703" t="s">
        <v>4072</v>
      </c>
      <c r="I703" t="s">
        <v>875</v>
      </c>
      <c r="J703" t="s">
        <v>4104</v>
      </c>
      <c r="K703" t="s">
        <v>2408</v>
      </c>
      <c r="L703">
        <v>24</v>
      </c>
      <c r="M703">
        <v>48</v>
      </c>
      <c r="N703" t="s">
        <v>2036</v>
      </c>
      <c r="O703" t="s">
        <v>60</v>
      </c>
      <c r="P703">
        <v>2023</v>
      </c>
      <c r="Q703">
        <v>9</v>
      </c>
      <c r="R703">
        <v>29</v>
      </c>
      <c r="S703">
        <v>15</v>
      </c>
      <c r="T703" t="str">
        <f>TEXT(Table1[[#This Row],[Month]],"MMMM")</f>
        <v>January</v>
      </c>
    </row>
    <row r="704" spans="1:20" x14ac:dyDescent="0.25">
      <c r="A704" t="s">
        <v>2409</v>
      </c>
      <c r="B704" t="s">
        <v>3176</v>
      </c>
      <c r="C704" t="s">
        <v>2358</v>
      </c>
      <c r="D704" t="s">
        <v>3397</v>
      </c>
      <c r="E704" s="1">
        <v>45199.763888888891</v>
      </c>
      <c r="F704" s="1" t="str">
        <f t="shared" si="10"/>
        <v>Saturday</v>
      </c>
      <c r="G704" t="s">
        <v>2410</v>
      </c>
      <c r="H704" t="s">
        <v>4073</v>
      </c>
      <c r="I704" t="s">
        <v>27</v>
      </c>
      <c r="J704" t="s">
        <v>4105</v>
      </c>
      <c r="K704" t="s">
        <v>2411</v>
      </c>
      <c r="L704">
        <v>22</v>
      </c>
      <c r="M704">
        <v>43</v>
      </c>
      <c r="N704" t="s">
        <v>2041</v>
      </c>
      <c r="O704" t="s">
        <v>3401</v>
      </c>
      <c r="P704">
        <v>2023</v>
      </c>
      <c r="Q704">
        <v>9</v>
      </c>
      <c r="R704">
        <v>30</v>
      </c>
      <c r="S704">
        <v>18</v>
      </c>
      <c r="T704" t="str">
        <f>TEXT(Table1[[#This Row],[Month]],"MMMM")</f>
        <v>January</v>
      </c>
    </row>
    <row r="705" spans="1:20" x14ac:dyDescent="0.25">
      <c r="A705" t="s">
        <v>2412</v>
      </c>
      <c r="B705" t="s">
        <v>3177</v>
      </c>
      <c r="C705" t="s">
        <v>2350</v>
      </c>
      <c r="D705" t="s">
        <v>3395</v>
      </c>
      <c r="E705" s="1">
        <v>45200.59375</v>
      </c>
      <c r="F705" s="1" t="str">
        <f t="shared" si="10"/>
        <v>Sunday</v>
      </c>
      <c r="G705" t="s">
        <v>2413</v>
      </c>
      <c r="H705" t="s">
        <v>4074</v>
      </c>
      <c r="I705" t="s">
        <v>32</v>
      </c>
      <c r="J705" t="s">
        <v>4106</v>
      </c>
      <c r="K705" t="s">
        <v>2414</v>
      </c>
      <c r="L705">
        <v>20</v>
      </c>
      <c r="M705">
        <v>39</v>
      </c>
      <c r="N705" t="s">
        <v>2045</v>
      </c>
      <c r="O705" t="s">
        <v>3432</v>
      </c>
      <c r="P705">
        <v>2023</v>
      </c>
      <c r="Q705">
        <v>10</v>
      </c>
      <c r="R705">
        <v>1</v>
      </c>
      <c r="S705">
        <v>14</v>
      </c>
      <c r="T705" t="str">
        <f>TEXT(Table1[[#This Row],[Month]],"MMMM")</f>
        <v>January</v>
      </c>
    </row>
    <row r="706" spans="1:20" x14ac:dyDescent="0.25">
      <c r="A706" t="s">
        <v>2415</v>
      </c>
      <c r="B706" t="s">
        <v>3178</v>
      </c>
      <c r="C706" t="s">
        <v>2416</v>
      </c>
      <c r="D706" t="s">
        <v>3210</v>
      </c>
      <c r="E706" s="1">
        <v>45201.697916666664</v>
      </c>
      <c r="F706" s="1" t="str">
        <f t="shared" si="10"/>
        <v>Monday</v>
      </c>
      <c r="G706" t="s">
        <v>2417</v>
      </c>
      <c r="H706" t="s">
        <v>4075</v>
      </c>
      <c r="I706" t="s">
        <v>27</v>
      </c>
      <c r="J706" t="s">
        <v>4105</v>
      </c>
      <c r="K706" t="s">
        <v>2418</v>
      </c>
      <c r="L706">
        <v>23</v>
      </c>
      <c r="M706">
        <v>42</v>
      </c>
      <c r="N706" t="s">
        <v>2036</v>
      </c>
      <c r="O706" t="s">
        <v>60</v>
      </c>
      <c r="P706">
        <v>2023</v>
      </c>
      <c r="Q706">
        <v>10</v>
      </c>
      <c r="R706">
        <v>2</v>
      </c>
      <c r="S706">
        <v>16</v>
      </c>
      <c r="T706" t="str">
        <f>TEXT(Table1[[#This Row],[Month]],"MMMM")</f>
        <v>January</v>
      </c>
    </row>
    <row r="707" spans="1:20" x14ac:dyDescent="0.25">
      <c r="A707" t="s">
        <v>2419</v>
      </c>
      <c r="B707" t="s">
        <v>3179</v>
      </c>
      <c r="C707" t="s">
        <v>2416</v>
      </c>
      <c r="D707" t="s">
        <v>3210</v>
      </c>
      <c r="E707" s="1">
        <v>45202.520833333336</v>
      </c>
      <c r="F707" s="1" t="str">
        <f t="shared" ref="F707:F733" si="11">TEXT(E707,"DDDD")</f>
        <v>Tuesday</v>
      </c>
      <c r="G707" t="s">
        <v>2420</v>
      </c>
      <c r="H707" t="s">
        <v>4076</v>
      </c>
      <c r="I707" t="s">
        <v>875</v>
      </c>
      <c r="J707" t="s">
        <v>4104</v>
      </c>
      <c r="K707" t="s">
        <v>2421</v>
      </c>
      <c r="L707">
        <v>26</v>
      </c>
      <c r="M707">
        <v>50</v>
      </c>
      <c r="N707" t="s">
        <v>2041</v>
      </c>
      <c r="O707" t="s">
        <v>3401</v>
      </c>
      <c r="P707">
        <v>2023</v>
      </c>
      <c r="Q707">
        <v>10</v>
      </c>
      <c r="R707">
        <v>3</v>
      </c>
      <c r="S707">
        <v>12</v>
      </c>
      <c r="T707" t="str">
        <f>TEXT(Table1[[#This Row],[Month]],"MMMM")</f>
        <v>January</v>
      </c>
    </row>
    <row r="708" spans="1:20" x14ac:dyDescent="0.25">
      <c r="A708" t="s">
        <v>2422</v>
      </c>
      <c r="B708" t="s">
        <v>3180</v>
      </c>
      <c r="C708" t="s">
        <v>2416</v>
      </c>
      <c r="D708" t="s">
        <v>3210</v>
      </c>
      <c r="E708" s="1">
        <v>45203.763888888891</v>
      </c>
      <c r="F708" s="1" t="str">
        <f t="shared" si="11"/>
        <v>Wednesday</v>
      </c>
      <c r="G708" t="s">
        <v>2423</v>
      </c>
      <c r="H708" t="s">
        <v>4077</v>
      </c>
      <c r="I708" t="s">
        <v>32</v>
      </c>
      <c r="J708" t="s">
        <v>4106</v>
      </c>
      <c r="K708" t="s">
        <v>2424</v>
      </c>
      <c r="L708">
        <v>19</v>
      </c>
      <c r="M708">
        <v>38</v>
      </c>
      <c r="N708" t="s">
        <v>2045</v>
      </c>
      <c r="O708" t="s">
        <v>3432</v>
      </c>
      <c r="P708">
        <v>2023</v>
      </c>
      <c r="Q708">
        <v>10</v>
      </c>
      <c r="R708">
        <v>4</v>
      </c>
      <c r="S708">
        <v>18</v>
      </c>
      <c r="T708" t="str">
        <f>TEXT(Table1[[#This Row],[Month]],"MMMM")</f>
        <v>January</v>
      </c>
    </row>
    <row r="709" spans="1:20" x14ac:dyDescent="0.25">
      <c r="A709" t="s">
        <v>2425</v>
      </c>
      <c r="B709" t="s">
        <v>3181</v>
      </c>
      <c r="C709" t="s">
        <v>2416</v>
      </c>
      <c r="D709" t="s">
        <v>3210</v>
      </c>
      <c r="E709" s="1">
        <v>45204.59375</v>
      </c>
      <c r="F709" s="1" t="str">
        <f t="shared" si="11"/>
        <v>Thursday</v>
      </c>
      <c r="G709" t="s">
        <v>2426</v>
      </c>
      <c r="H709" t="s">
        <v>4078</v>
      </c>
      <c r="I709" t="s">
        <v>27</v>
      </c>
      <c r="J709" t="s">
        <v>4105</v>
      </c>
      <c r="K709" t="s">
        <v>2427</v>
      </c>
      <c r="L709">
        <v>21</v>
      </c>
      <c r="M709">
        <v>43</v>
      </c>
      <c r="N709" t="s">
        <v>2036</v>
      </c>
      <c r="O709" t="s">
        <v>60</v>
      </c>
      <c r="P709">
        <v>2023</v>
      </c>
      <c r="Q709">
        <v>10</v>
      </c>
      <c r="R709">
        <v>5</v>
      </c>
      <c r="S709">
        <v>14</v>
      </c>
      <c r="T709" t="str">
        <f>TEXT(Table1[[#This Row],[Month]],"MMMM")</f>
        <v>January</v>
      </c>
    </row>
    <row r="710" spans="1:20" x14ac:dyDescent="0.25">
      <c r="A710" t="s">
        <v>2428</v>
      </c>
      <c r="B710" t="s">
        <v>3182</v>
      </c>
      <c r="C710" t="s">
        <v>2416</v>
      </c>
      <c r="D710" t="s">
        <v>3210</v>
      </c>
      <c r="E710" s="1">
        <v>45205.729166666664</v>
      </c>
      <c r="F710" s="1" t="str">
        <f t="shared" si="11"/>
        <v>Friday</v>
      </c>
      <c r="G710" t="s">
        <v>2429</v>
      </c>
      <c r="H710" t="s">
        <v>4079</v>
      </c>
      <c r="I710" t="s">
        <v>875</v>
      </c>
      <c r="J710" t="s">
        <v>4104</v>
      </c>
      <c r="K710" t="s">
        <v>2430</v>
      </c>
      <c r="L710">
        <v>18</v>
      </c>
      <c r="M710">
        <v>36</v>
      </c>
      <c r="N710" t="s">
        <v>2041</v>
      </c>
      <c r="O710" t="s">
        <v>3401</v>
      </c>
      <c r="P710">
        <v>2023</v>
      </c>
      <c r="Q710">
        <v>10</v>
      </c>
      <c r="R710">
        <v>6</v>
      </c>
      <c r="S710">
        <v>17</v>
      </c>
      <c r="T710" t="str">
        <f>TEXT(Table1[[#This Row],[Month]],"MMMM")</f>
        <v>January</v>
      </c>
    </row>
    <row r="711" spans="1:20" x14ac:dyDescent="0.25">
      <c r="A711" t="s">
        <v>2431</v>
      </c>
      <c r="B711" t="s">
        <v>3183</v>
      </c>
      <c r="C711" t="s">
        <v>2416</v>
      </c>
      <c r="D711" t="s">
        <v>3210</v>
      </c>
      <c r="E711" s="1">
        <v>45206.864583333336</v>
      </c>
      <c r="F711" s="1" t="str">
        <f t="shared" si="11"/>
        <v>Saturday</v>
      </c>
      <c r="G711" t="s">
        <v>2432</v>
      </c>
      <c r="H711" t="s">
        <v>4080</v>
      </c>
      <c r="I711" t="s">
        <v>27</v>
      </c>
      <c r="J711" t="s">
        <v>4105</v>
      </c>
      <c r="K711" t="s">
        <v>2433</v>
      </c>
      <c r="L711">
        <v>22</v>
      </c>
      <c r="M711">
        <v>45</v>
      </c>
      <c r="N711" t="s">
        <v>2045</v>
      </c>
      <c r="O711" t="s">
        <v>3432</v>
      </c>
      <c r="P711">
        <v>2023</v>
      </c>
      <c r="Q711">
        <v>10</v>
      </c>
      <c r="R711">
        <v>7</v>
      </c>
      <c r="S711">
        <v>20</v>
      </c>
      <c r="T711" t="str">
        <f>TEXT(Table1[[#This Row],[Month]],"MMMM")</f>
        <v>January</v>
      </c>
    </row>
    <row r="712" spans="1:20" x14ac:dyDescent="0.25">
      <c r="A712" t="s">
        <v>2434</v>
      </c>
      <c r="B712" t="s">
        <v>3184</v>
      </c>
      <c r="C712" t="s">
        <v>2416</v>
      </c>
      <c r="D712" t="s">
        <v>3210</v>
      </c>
      <c r="E712" s="1">
        <v>45207.635416666664</v>
      </c>
      <c r="F712" s="1" t="str">
        <f t="shared" si="11"/>
        <v>Sunday</v>
      </c>
      <c r="G712" t="s">
        <v>2435</v>
      </c>
      <c r="H712" t="s">
        <v>4081</v>
      </c>
      <c r="I712" t="s">
        <v>32</v>
      </c>
      <c r="J712" t="s">
        <v>4106</v>
      </c>
      <c r="K712" t="s">
        <v>2436</v>
      </c>
      <c r="L712">
        <v>24</v>
      </c>
      <c r="M712">
        <v>48</v>
      </c>
      <c r="N712" t="s">
        <v>2036</v>
      </c>
      <c r="O712" t="s">
        <v>60</v>
      </c>
      <c r="P712">
        <v>2023</v>
      </c>
      <c r="Q712">
        <v>10</v>
      </c>
      <c r="R712">
        <v>8</v>
      </c>
      <c r="S712">
        <v>15</v>
      </c>
      <c r="T712" t="str">
        <f>TEXT(Table1[[#This Row],[Month]],"MMMM")</f>
        <v>January</v>
      </c>
    </row>
    <row r="713" spans="1:20" x14ac:dyDescent="0.25">
      <c r="A713" t="s">
        <v>2437</v>
      </c>
      <c r="B713" t="s">
        <v>3185</v>
      </c>
      <c r="C713" t="s">
        <v>2416</v>
      </c>
      <c r="D713" t="s">
        <v>3210</v>
      </c>
      <c r="E713" s="1">
        <v>45208.916666666664</v>
      </c>
      <c r="F713" s="1" t="str">
        <f t="shared" si="11"/>
        <v>Monday</v>
      </c>
      <c r="G713" t="s">
        <v>2438</v>
      </c>
      <c r="H713" t="s">
        <v>4082</v>
      </c>
      <c r="I713" t="s">
        <v>875</v>
      </c>
      <c r="J713" t="s">
        <v>4104</v>
      </c>
      <c r="K713" t="s">
        <v>2439</v>
      </c>
      <c r="L713">
        <v>20</v>
      </c>
      <c r="M713">
        <v>40</v>
      </c>
      <c r="N713" t="s">
        <v>2041</v>
      </c>
      <c r="O713" t="s">
        <v>3401</v>
      </c>
      <c r="P713">
        <v>2023</v>
      </c>
      <c r="Q713">
        <v>10</v>
      </c>
      <c r="R713">
        <v>9</v>
      </c>
      <c r="S713">
        <v>22</v>
      </c>
      <c r="T713" t="str">
        <f>TEXT(Table1[[#This Row],[Month]],"MMMM")</f>
        <v>January</v>
      </c>
    </row>
    <row r="714" spans="1:20" x14ac:dyDescent="0.25">
      <c r="A714" t="s">
        <v>2440</v>
      </c>
      <c r="B714" t="s">
        <v>3186</v>
      </c>
      <c r="C714" t="s">
        <v>2416</v>
      </c>
      <c r="D714" t="s">
        <v>3210</v>
      </c>
      <c r="E714" s="1">
        <v>45209.59375</v>
      </c>
      <c r="F714" s="1" t="str">
        <f t="shared" si="11"/>
        <v>Tuesday</v>
      </c>
      <c r="G714" t="s">
        <v>2441</v>
      </c>
      <c r="H714" t="s">
        <v>4083</v>
      </c>
      <c r="I714" t="s">
        <v>27</v>
      </c>
      <c r="J714" t="s">
        <v>4105</v>
      </c>
      <c r="K714" t="s">
        <v>2442</v>
      </c>
      <c r="L714">
        <v>25</v>
      </c>
      <c r="M714">
        <v>49</v>
      </c>
      <c r="N714" t="s">
        <v>2045</v>
      </c>
      <c r="O714" t="s">
        <v>3432</v>
      </c>
      <c r="P714">
        <v>2023</v>
      </c>
      <c r="Q714">
        <v>10</v>
      </c>
      <c r="R714">
        <v>10</v>
      </c>
      <c r="S714">
        <v>14</v>
      </c>
      <c r="T714" t="str">
        <f>TEXT(Table1[[#This Row],[Month]],"MMMM")</f>
        <v>January</v>
      </c>
    </row>
    <row r="715" spans="1:20" x14ac:dyDescent="0.25">
      <c r="A715" t="s">
        <v>2443</v>
      </c>
      <c r="B715" t="s">
        <v>3187</v>
      </c>
      <c r="C715" t="s">
        <v>2416</v>
      </c>
      <c r="D715" t="s">
        <v>3210</v>
      </c>
      <c r="E715" s="1">
        <v>45210.697916666664</v>
      </c>
      <c r="F715" s="1" t="str">
        <f t="shared" si="11"/>
        <v>Wednesday</v>
      </c>
      <c r="G715" t="s">
        <v>2444</v>
      </c>
      <c r="H715" t="s">
        <v>4084</v>
      </c>
      <c r="I715" t="s">
        <v>32</v>
      </c>
      <c r="J715" t="s">
        <v>4106</v>
      </c>
      <c r="K715" t="s">
        <v>2445</v>
      </c>
      <c r="L715">
        <v>19</v>
      </c>
      <c r="M715">
        <v>37</v>
      </c>
      <c r="N715" t="s">
        <v>2036</v>
      </c>
      <c r="O715" t="s">
        <v>60</v>
      </c>
      <c r="P715">
        <v>2023</v>
      </c>
      <c r="Q715">
        <v>10</v>
      </c>
      <c r="R715">
        <v>11</v>
      </c>
      <c r="S715">
        <v>16</v>
      </c>
      <c r="T715" t="str">
        <f>TEXT(Table1[[#This Row],[Month]],"MMMM")</f>
        <v>January</v>
      </c>
    </row>
    <row r="716" spans="1:20" x14ac:dyDescent="0.25">
      <c r="A716" t="s">
        <v>2446</v>
      </c>
      <c r="B716" t="s">
        <v>3188</v>
      </c>
      <c r="C716" t="s">
        <v>2416</v>
      </c>
      <c r="D716" t="s">
        <v>3210</v>
      </c>
      <c r="E716" s="1">
        <v>45211.763888888891</v>
      </c>
      <c r="F716" s="1" t="str">
        <f t="shared" si="11"/>
        <v>Thursday</v>
      </c>
      <c r="G716" t="s">
        <v>2447</v>
      </c>
      <c r="H716" t="s">
        <v>4085</v>
      </c>
      <c r="I716" t="s">
        <v>875</v>
      </c>
      <c r="J716" t="s">
        <v>4104</v>
      </c>
      <c r="K716" t="s">
        <v>2448</v>
      </c>
      <c r="L716">
        <v>23</v>
      </c>
      <c r="M716">
        <v>44</v>
      </c>
      <c r="N716" t="s">
        <v>2041</v>
      </c>
      <c r="O716" t="s">
        <v>3401</v>
      </c>
      <c r="P716">
        <v>2023</v>
      </c>
      <c r="Q716">
        <v>10</v>
      </c>
      <c r="R716">
        <v>12</v>
      </c>
      <c r="S716">
        <v>18</v>
      </c>
      <c r="T716" t="str">
        <f>TEXT(Table1[[#This Row],[Month]],"MMMM")</f>
        <v>January</v>
      </c>
    </row>
    <row r="717" spans="1:20" x14ac:dyDescent="0.25">
      <c r="A717" t="s">
        <v>2449</v>
      </c>
      <c r="B717" t="s">
        <v>3189</v>
      </c>
      <c r="C717" t="s">
        <v>2416</v>
      </c>
      <c r="D717" t="s">
        <v>3210</v>
      </c>
      <c r="E717" s="1">
        <v>45212.520833333336</v>
      </c>
      <c r="F717" s="1" t="str">
        <f t="shared" si="11"/>
        <v>Friday</v>
      </c>
      <c r="G717" t="s">
        <v>2450</v>
      </c>
      <c r="H717" t="s">
        <v>4086</v>
      </c>
      <c r="I717" t="s">
        <v>27</v>
      </c>
      <c r="J717" t="s">
        <v>4105</v>
      </c>
      <c r="K717" t="s">
        <v>2451</v>
      </c>
      <c r="L717">
        <v>20</v>
      </c>
      <c r="M717">
        <v>39</v>
      </c>
      <c r="N717" t="s">
        <v>2045</v>
      </c>
      <c r="O717" t="s">
        <v>3432</v>
      </c>
      <c r="P717">
        <v>2023</v>
      </c>
      <c r="Q717">
        <v>10</v>
      </c>
      <c r="R717">
        <v>13</v>
      </c>
      <c r="S717">
        <v>12</v>
      </c>
      <c r="T717" t="str">
        <f>TEXT(Table1[[#This Row],[Month]],"MMMM")</f>
        <v>January</v>
      </c>
    </row>
    <row r="718" spans="1:20" x14ac:dyDescent="0.25">
      <c r="A718" t="s">
        <v>2452</v>
      </c>
      <c r="B718" t="s">
        <v>3190</v>
      </c>
      <c r="C718" t="s">
        <v>2416</v>
      </c>
      <c r="D718" t="s">
        <v>3210</v>
      </c>
      <c r="E718" s="1">
        <v>45213.729166666664</v>
      </c>
      <c r="F718" s="1" t="str">
        <f t="shared" si="11"/>
        <v>Saturday</v>
      </c>
      <c r="G718" t="s">
        <v>2453</v>
      </c>
      <c r="H718" t="s">
        <v>4087</v>
      </c>
      <c r="I718" t="s">
        <v>32</v>
      </c>
      <c r="J718" t="s">
        <v>4106</v>
      </c>
      <c r="K718" t="s">
        <v>2454</v>
      </c>
      <c r="L718">
        <v>18</v>
      </c>
      <c r="M718">
        <v>35</v>
      </c>
      <c r="N718" t="s">
        <v>2036</v>
      </c>
      <c r="O718" t="s">
        <v>60</v>
      </c>
      <c r="P718">
        <v>2023</v>
      </c>
      <c r="Q718">
        <v>10</v>
      </c>
      <c r="R718">
        <v>14</v>
      </c>
      <c r="S718">
        <v>17</v>
      </c>
      <c r="T718" t="str">
        <f>TEXT(Table1[[#This Row],[Month]],"MMMM")</f>
        <v>January</v>
      </c>
    </row>
    <row r="719" spans="1:20" x14ac:dyDescent="0.25">
      <c r="A719" t="s">
        <v>2455</v>
      </c>
      <c r="B719" t="s">
        <v>3191</v>
      </c>
      <c r="C719" t="s">
        <v>2416</v>
      </c>
      <c r="D719" t="s">
        <v>3210</v>
      </c>
      <c r="E719" s="1">
        <v>45214.864583333336</v>
      </c>
      <c r="F719" s="1" t="str">
        <f t="shared" si="11"/>
        <v>Sunday</v>
      </c>
      <c r="G719" t="s">
        <v>2456</v>
      </c>
      <c r="H719" t="s">
        <v>4088</v>
      </c>
      <c r="I719" t="s">
        <v>875</v>
      </c>
      <c r="J719" t="s">
        <v>4104</v>
      </c>
      <c r="K719" t="s">
        <v>2457</v>
      </c>
      <c r="L719">
        <v>22</v>
      </c>
      <c r="M719">
        <v>43</v>
      </c>
      <c r="N719" t="s">
        <v>2041</v>
      </c>
      <c r="O719" t="s">
        <v>3401</v>
      </c>
      <c r="P719">
        <v>2023</v>
      </c>
      <c r="Q719">
        <v>10</v>
      </c>
      <c r="R719">
        <v>15</v>
      </c>
      <c r="S719">
        <v>20</v>
      </c>
      <c r="T719" t="str">
        <f>TEXT(Table1[[#This Row],[Month]],"MMMM")</f>
        <v>January</v>
      </c>
    </row>
    <row r="720" spans="1:20" x14ac:dyDescent="0.25">
      <c r="A720" t="s">
        <v>2458</v>
      </c>
      <c r="B720" t="s">
        <v>3192</v>
      </c>
      <c r="C720" t="s">
        <v>2459</v>
      </c>
      <c r="D720" t="s">
        <v>3398</v>
      </c>
      <c r="E720" s="1">
        <v>45215.65625</v>
      </c>
      <c r="F720" s="1" t="str">
        <f t="shared" si="11"/>
        <v>Monday</v>
      </c>
      <c r="G720" t="s">
        <v>2460</v>
      </c>
      <c r="H720" t="s">
        <v>4089</v>
      </c>
      <c r="I720" t="s">
        <v>27</v>
      </c>
      <c r="J720" t="s">
        <v>4105</v>
      </c>
      <c r="K720" t="s">
        <v>2461</v>
      </c>
      <c r="L720">
        <v>27</v>
      </c>
      <c r="M720">
        <v>52</v>
      </c>
      <c r="N720" t="s">
        <v>2045</v>
      </c>
      <c r="O720" t="s">
        <v>3432</v>
      </c>
      <c r="P720">
        <v>2023</v>
      </c>
      <c r="Q720">
        <v>10</v>
      </c>
      <c r="R720">
        <v>16</v>
      </c>
      <c r="S720">
        <v>15</v>
      </c>
      <c r="T720" t="str">
        <f>TEXT(Table1[[#This Row],[Month]],"MMMM")</f>
        <v>January</v>
      </c>
    </row>
    <row r="721" spans="1:20" x14ac:dyDescent="0.25">
      <c r="A721" t="s">
        <v>2462</v>
      </c>
      <c r="B721" t="s">
        <v>3193</v>
      </c>
      <c r="C721" t="s">
        <v>2459</v>
      </c>
      <c r="D721" t="s">
        <v>3398</v>
      </c>
      <c r="E721" s="1">
        <v>45216.520833333336</v>
      </c>
      <c r="F721" s="1" t="str">
        <f t="shared" si="11"/>
        <v>Tuesday</v>
      </c>
      <c r="G721" t="s">
        <v>2463</v>
      </c>
      <c r="H721" t="s">
        <v>4090</v>
      </c>
      <c r="I721" t="s">
        <v>875</v>
      </c>
      <c r="J721" t="s">
        <v>4104</v>
      </c>
      <c r="K721" t="s">
        <v>2464</v>
      </c>
      <c r="L721">
        <v>24</v>
      </c>
      <c r="M721">
        <v>48</v>
      </c>
      <c r="N721" t="s">
        <v>2036</v>
      </c>
      <c r="O721" t="s">
        <v>60</v>
      </c>
      <c r="P721">
        <v>2023</v>
      </c>
      <c r="Q721">
        <v>10</v>
      </c>
      <c r="R721">
        <v>17</v>
      </c>
      <c r="S721">
        <v>12</v>
      </c>
      <c r="T721" t="str">
        <f>TEXT(Table1[[#This Row],[Month]],"MMMM")</f>
        <v>January</v>
      </c>
    </row>
    <row r="722" spans="1:20" x14ac:dyDescent="0.25">
      <c r="A722" t="s">
        <v>2465</v>
      </c>
      <c r="B722" t="s">
        <v>3194</v>
      </c>
      <c r="C722" t="s">
        <v>2459</v>
      </c>
      <c r="D722" t="s">
        <v>3398</v>
      </c>
      <c r="E722" s="1">
        <v>45217.697916666664</v>
      </c>
      <c r="F722" s="1" t="str">
        <f t="shared" si="11"/>
        <v>Wednesday</v>
      </c>
      <c r="G722" t="s">
        <v>2466</v>
      </c>
      <c r="H722" t="s">
        <v>4091</v>
      </c>
      <c r="I722" t="s">
        <v>32</v>
      </c>
      <c r="J722" t="s">
        <v>4106</v>
      </c>
      <c r="K722" t="s">
        <v>2467</v>
      </c>
      <c r="L722">
        <v>19</v>
      </c>
      <c r="M722">
        <v>38</v>
      </c>
      <c r="N722" t="s">
        <v>2041</v>
      </c>
      <c r="O722" t="s">
        <v>3401</v>
      </c>
      <c r="P722">
        <v>2023</v>
      </c>
      <c r="Q722">
        <v>10</v>
      </c>
      <c r="R722">
        <v>18</v>
      </c>
      <c r="S722">
        <v>16</v>
      </c>
      <c r="T722" t="str">
        <f>TEXT(Table1[[#This Row],[Month]],"MMMM")</f>
        <v>January</v>
      </c>
    </row>
    <row r="723" spans="1:20" x14ac:dyDescent="0.25">
      <c r="A723" t="s">
        <v>2468</v>
      </c>
      <c r="B723" t="s">
        <v>3195</v>
      </c>
      <c r="C723" t="s">
        <v>2459</v>
      </c>
      <c r="D723" t="s">
        <v>3398</v>
      </c>
      <c r="E723" s="1">
        <v>45218.763888888891</v>
      </c>
      <c r="F723" s="1" t="str">
        <f t="shared" si="11"/>
        <v>Thursday</v>
      </c>
      <c r="G723" t="s">
        <v>2469</v>
      </c>
      <c r="H723" t="s">
        <v>4092</v>
      </c>
      <c r="I723" t="s">
        <v>27</v>
      </c>
      <c r="J723" t="s">
        <v>4105</v>
      </c>
      <c r="K723" t="s">
        <v>2470</v>
      </c>
      <c r="L723">
        <v>21</v>
      </c>
      <c r="M723">
        <v>42</v>
      </c>
      <c r="N723" t="s">
        <v>2045</v>
      </c>
      <c r="O723" t="s">
        <v>3432</v>
      </c>
      <c r="P723">
        <v>2023</v>
      </c>
      <c r="Q723">
        <v>10</v>
      </c>
      <c r="R723">
        <v>19</v>
      </c>
      <c r="S723">
        <v>18</v>
      </c>
      <c r="T723" t="str">
        <f>TEXT(Table1[[#This Row],[Month]],"MMMM")</f>
        <v>January</v>
      </c>
    </row>
    <row r="724" spans="1:20" x14ac:dyDescent="0.25">
      <c r="A724" t="s">
        <v>2471</v>
      </c>
      <c r="B724" t="s">
        <v>3196</v>
      </c>
      <c r="C724" t="s">
        <v>2459</v>
      </c>
      <c r="D724" t="s">
        <v>3398</v>
      </c>
      <c r="E724" s="1">
        <v>45219.59375</v>
      </c>
      <c r="F724" s="1" t="str">
        <f t="shared" si="11"/>
        <v>Friday</v>
      </c>
      <c r="G724" t="s">
        <v>2472</v>
      </c>
      <c r="H724" t="s">
        <v>4093</v>
      </c>
      <c r="I724" t="s">
        <v>875</v>
      </c>
      <c r="J724" t="s">
        <v>4104</v>
      </c>
      <c r="K724" t="s">
        <v>2473</v>
      </c>
      <c r="L724">
        <v>26</v>
      </c>
      <c r="M724">
        <v>50</v>
      </c>
      <c r="N724" t="s">
        <v>2036</v>
      </c>
      <c r="O724" t="s">
        <v>60</v>
      </c>
      <c r="P724">
        <v>2023</v>
      </c>
      <c r="Q724">
        <v>10</v>
      </c>
      <c r="R724">
        <v>20</v>
      </c>
      <c r="S724">
        <v>14</v>
      </c>
      <c r="T724" t="str">
        <f>TEXT(Table1[[#This Row],[Month]],"MMMM")</f>
        <v>January</v>
      </c>
    </row>
    <row r="725" spans="1:20" x14ac:dyDescent="0.25">
      <c r="A725" t="s">
        <v>2474</v>
      </c>
      <c r="B725" t="s">
        <v>3197</v>
      </c>
      <c r="C725" t="s">
        <v>2459</v>
      </c>
      <c r="D725" t="s">
        <v>3398</v>
      </c>
      <c r="E725" s="1">
        <v>45220.729166666664</v>
      </c>
      <c r="F725" s="1" t="str">
        <f t="shared" si="11"/>
        <v>Saturday</v>
      </c>
      <c r="G725" t="s">
        <v>2475</v>
      </c>
      <c r="H725" t="s">
        <v>4094</v>
      </c>
      <c r="I725" t="s">
        <v>32</v>
      </c>
      <c r="J725" t="s">
        <v>4106</v>
      </c>
      <c r="K725" t="s">
        <v>2476</v>
      </c>
      <c r="L725">
        <v>23</v>
      </c>
      <c r="M725">
        <v>45</v>
      </c>
      <c r="N725" t="s">
        <v>2041</v>
      </c>
      <c r="O725" t="s">
        <v>3401</v>
      </c>
      <c r="P725">
        <v>2023</v>
      </c>
      <c r="Q725">
        <v>10</v>
      </c>
      <c r="R725">
        <v>21</v>
      </c>
      <c r="S725">
        <v>17</v>
      </c>
      <c r="T725" t="str">
        <f>TEXT(Table1[[#This Row],[Month]],"MMMM")</f>
        <v>January</v>
      </c>
    </row>
    <row r="726" spans="1:20" x14ac:dyDescent="0.25">
      <c r="A726" t="s">
        <v>2477</v>
      </c>
      <c r="B726" t="s">
        <v>3198</v>
      </c>
      <c r="C726" t="s">
        <v>2459</v>
      </c>
      <c r="D726" t="s">
        <v>3398</v>
      </c>
      <c r="E726" s="1">
        <v>45221.864583333336</v>
      </c>
      <c r="F726" s="1" t="str">
        <f t="shared" si="11"/>
        <v>Sunday</v>
      </c>
      <c r="G726" t="s">
        <v>2478</v>
      </c>
      <c r="H726" t="s">
        <v>4095</v>
      </c>
      <c r="I726" t="s">
        <v>27</v>
      </c>
      <c r="J726" t="s">
        <v>4105</v>
      </c>
      <c r="K726" t="s">
        <v>2479</v>
      </c>
      <c r="L726">
        <v>22</v>
      </c>
      <c r="M726">
        <v>43</v>
      </c>
      <c r="N726" t="s">
        <v>2045</v>
      </c>
      <c r="O726" t="s">
        <v>3432</v>
      </c>
      <c r="P726">
        <v>2023</v>
      </c>
      <c r="Q726">
        <v>10</v>
      </c>
      <c r="R726">
        <v>22</v>
      </c>
      <c r="S726">
        <v>20</v>
      </c>
      <c r="T726" t="str">
        <f>TEXT(Table1[[#This Row],[Month]],"MMMM")</f>
        <v>January</v>
      </c>
    </row>
    <row r="727" spans="1:20" x14ac:dyDescent="0.25">
      <c r="A727" t="s">
        <v>2480</v>
      </c>
      <c r="B727" t="s">
        <v>3199</v>
      </c>
      <c r="C727" t="s">
        <v>2459</v>
      </c>
      <c r="D727" t="s">
        <v>3398</v>
      </c>
      <c r="E727" s="1">
        <v>42318.697916666664</v>
      </c>
      <c r="F727" s="1" t="str">
        <f t="shared" si="11"/>
        <v>Tuesday</v>
      </c>
      <c r="G727" t="s">
        <v>2481</v>
      </c>
      <c r="H727" t="s">
        <v>4096</v>
      </c>
      <c r="I727" t="s">
        <v>27</v>
      </c>
      <c r="J727" t="s">
        <v>4105</v>
      </c>
      <c r="K727" t="s">
        <v>2482</v>
      </c>
      <c r="L727">
        <v>23</v>
      </c>
      <c r="M727">
        <v>44</v>
      </c>
      <c r="N727" t="s">
        <v>2036</v>
      </c>
      <c r="O727" t="s">
        <v>60</v>
      </c>
      <c r="P727">
        <v>2015</v>
      </c>
      <c r="Q727">
        <v>11</v>
      </c>
      <c r="R727">
        <v>10</v>
      </c>
      <c r="S727">
        <v>16</v>
      </c>
      <c r="T727" t="str">
        <f>TEXT(Table1[[#This Row],[Month]],"MMMM")</f>
        <v>January</v>
      </c>
    </row>
    <row r="728" spans="1:20" x14ac:dyDescent="0.25">
      <c r="A728" t="s">
        <v>2483</v>
      </c>
      <c r="B728" t="s">
        <v>3200</v>
      </c>
      <c r="C728" t="s">
        <v>2459</v>
      </c>
      <c r="D728" t="s">
        <v>3398</v>
      </c>
      <c r="E728" s="1">
        <v>42627.520833333336</v>
      </c>
      <c r="F728" s="1" t="str">
        <f t="shared" si="11"/>
        <v>Wednesday</v>
      </c>
      <c r="G728" t="s">
        <v>2484</v>
      </c>
      <c r="H728" t="s">
        <v>4097</v>
      </c>
      <c r="I728" t="s">
        <v>875</v>
      </c>
      <c r="J728" t="s">
        <v>4104</v>
      </c>
      <c r="K728" t="s">
        <v>2485</v>
      </c>
      <c r="L728">
        <v>26</v>
      </c>
      <c r="M728">
        <v>51</v>
      </c>
      <c r="N728" t="s">
        <v>2041</v>
      </c>
      <c r="O728" t="s">
        <v>3401</v>
      </c>
      <c r="P728">
        <v>2016</v>
      </c>
      <c r="Q728">
        <v>9</v>
      </c>
      <c r="R728">
        <v>14</v>
      </c>
      <c r="S728">
        <v>12</v>
      </c>
      <c r="T728" t="str">
        <f>TEXT(Table1[[#This Row],[Month]],"MMMM")</f>
        <v>January</v>
      </c>
    </row>
    <row r="729" spans="1:20" x14ac:dyDescent="0.25">
      <c r="A729" t="s">
        <v>2486</v>
      </c>
      <c r="B729" t="s">
        <v>3201</v>
      </c>
      <c r="C729" t="s">
        <v>2459</v>
      </c>
      <c r="D729" t="s">
        <v>3398</v>
      </c>
      <c r="E729" s="1">
        <v>42965.763888888891</v>
      </c>
      <c r="F729" s="1" t="str">
        <f t="shared" si="11"/>
        <v>Friday</v>
      </c>
      <c r="G729" t="s">
        <v>2487</v>
      </c>
      <c r="H729" t="s">
        <v>4098</v>
      </c>
      <c r="I729" t="s">
        <v>32</v>
      </c>
      <c r="J729" t="s">
        <v>4106</v>
      </c>
      <c r="K729" t="s">
        <v>2488</v>
      </c>
      <c r="L729">
        <v>20</v>
      </c>
      <c r="M729">
        <v>39</v>
      </c>
      <c r="N729" t="s">
        <v>2045</v>
      </c>
      <c r="O729" t="s">
        <v>3432</v>
      </c>
      <c r="P729">
        <v>2017</v>
      </c>
      <c r="Q729">
        <v>8</v>
      </c>
      <c r="R729">
        <v>18</v>
      </c>
      <c r="S729">
        <v>18</v>
      </c>
      <c r="T729" t="str">
        <f>TEXT(Table1[[#This Row],[Month]],"MMMM")</f>
        <v>January</v>
      </c>
    </row>
    <row r="730" spans="1:20" x14ac:dyDescent="0.25">
      <c r="A730" t="s">
        <v>2489</v>
      </c>
      <c r="B730" t="s">
        <v>3202</v>
      </c>
      <c r="C730" t="s">
        <v>2459</v>
      </c>
      <c r="D730" t="s">
        <v>3398</v>
      </c>
      <c r="E730" s="1">
        <v>43273.59375</v>
      </c>
      <c r="F730" s="1" t="str">
        <f t="shared" si="11"/>
        <v>Friday</v>
      </c>
      <c r="G730" t="s">
        <v>2490</v>
      </c>
      <c r="H730" t="s">
        <v>4099</v>
      </c>
      <c r="I730" t="s">
        <v>27</v>
      </c>
      <c r="J730" t="s">
        <v>4105</v>
      </c>
      <c r="K730" t="s">
        <v>2491</v>
      </c>
      <c r="L730">
        <v>25</v>
      </c>
      <c r="M730">
        <v>48</v>
      </c>
      <c r="N730" t="s">
        <v>2036</v>
      </c>
      <c r="O730" t="s">
        <v>60</v>
      </c>
      <c r="P730">
        <v>2018</v>
      </c>
      <c r="Q730">
        <v>6</v>
      </c>
      <c r="R730">
        <v>22</v>
      </c>
      <c r="S730">
        <v>14</v>
      </c>
      <c r="T730" t="str">
        <f>TEXT(Table1[[#This Row],[Month]],"MMMM")</f>
        <v>January</v>
      </c>
    </row>
    <row r="731" spans="1:20" x14ac:dyDescent="0.25">
      <c r="A731" t="s">
        <v>2492</v>
      </c>
      <c r="B731" t="s">
        <v>3203</v>
      </c>
      <c r="C731" t="s">
        <v>2459</v>
      </c>
      <c r="D731" t="s">
        <v>3398</v>
      </c>
      <c r="E731" s="1">
        <v>43560.729166666664</v>
      </c>
      <c r="F731" s="1" t="str">
        <f t="shared" si="11"/>
        <v>Friday</v>
      </c>
      <c r="G731" t="s">
        <v>2493</v>
      </c>
      <c r="H731" t="s">
        <v>4100</v>
      </c>
      <c r="I731" t="s">
        <v>875</v>
      </c>
      <c r="J731" t="s">
        <v>4104</v>
      </c>
      <c r="K731" t="s">
        <v>2494</v>
      </c>
      <c r="L731">
        <v>22</v>
      </c>
      <c r="M731">
        <v>42</v>
      </c>
      <c r="N731" t="s">
        <v>2041</v>
      </c>
      <c r="O731" t="s">
        <v>3401</v>
      </c>
      <c r="P731">
        <v>2019</v>
      </c>
      <c r="Q731">
        <v>4</v>
      </c>
      <c r="R731">
        <v>5</v>
      </c>
      <c r="S731">
        <v>17</v>
      </c>
      <c r="T731" t="str">
        <f>TEXT(Table1[[#This Row],[Month]],"MMMM")</f>
        <v>January</v>
      </c>
    </row>
    <row r="732" spans="1:20" x14ac:dyDescent="0.25">
      <c r="A732" t="s">
        <v>2495</v>
      </c>
      <c r="B732" t="s">
        <v>3204</v>
      </c>
      <c r="C732" t="s">
        <v>2459</v>
      </c>
      <c r="D732" t="s">
        <v>3398</v>
      </c>
      <c r="E732" s="1">
        <v>43890.864583333336</v>
      </c>
      <c r="F732" s="1" t="str">
        <f t="shared" si="11"/>
        <v>Saturday</v>
      </c>
      <c r="G732" t="s">
        <v>2496</v>
      </c>
      <c r="H732" t="s">
        <v>4101</v>
      </c>
      <c r="I732" t="s">
        <v>32</v>
      </c>
      <c r="J732" t="s">
        <v>4106</v>
      </c>
      <c r="K732" t="s">
        <v>2497</v>
      </c>
      <c r="L732">
        <v>21</v>
      </c>
      <c r="M732">
        <v>43</v>
      </c>
      <c r="N732" t="s">
        <v>2045</v>
      </c>
      <c r="O732" t="s">
        <v>3432</v>
      </c>
      <c r="P732">
        <v>2020</v>
      </c>
      <c r="Q732">
        <v>2</v>
      </c>
      <c r="R732">
        <v>29</v>
      </c>
      <c r="S732">
        <v>20</v>
      </c>
      <c r="T732" t="str">
        <f>TEXT(Table1[[#This Row],[Month]],"MMMM")</f>
        <v>January</v>
      </c>
    </row>
    <row r="733" spans="1:20" x14ac:dyDescent="0.25">
      <c r="A733" t="s">
        <v>2498</v>
      </c>
      <c r="B733" t="s">
        <v>3205</v>
      </c>
      <c r="C733" t="s">
        <v>2459</v>
      </c>
      <c r="D733" t="s">
        <v>3398</v>
      </c>
      <c r="E733" s="1">
        <v>44150.635416666664</v>
      </c>
      <c r="F733" s="1" t="str">
        <f t="shared" si="11"/>
        <v>Sunday</v>
      </c>
      <c r="G733" t="s">
        <v>2499</v>
      </c>
      <c r="H733" t="s">
        <v>4102</v>
      </c>
      <c r="I733" t="s">
        <v>27</v>
      </c>
      <c r="J733" t="s">
        <v>4105</v>
      </c>
      <c r="K733" t="s">
        <v>2500</v>
      </c>
      <c r="L733">
        <v>24</v>
      </c>
      <c r="M733">
        <v>47</v>
      </c>
      <c r="N733" t="s">
        <v>2036</v>
      </c>
      <c r="O733" t="s">
        <v>60</v>
      </c>
      <c r="P733">
        <v>2020</v>
      </c>
      <c r="Q733">
        <v>11</v>
      </c>
      <c r="R733">
        <v>15</v>
      </c>
      <c r="S733">
        <v>15</v>
      </c>
      <c r="T733" t="str">
        <f>TEXT(Table1[[#This Row],[Month]],"MMMM")</f>
        <v>January</v>
      </c>
    </row>
  </sheetData>
  <conditionalFormatting sqref="A1:A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9251F-CC2D-443E-94D1-19DA051E87F0}">
  <dimension ref="A3:C8"/>
  <sheetViews>
    <sheetView workbookViewId="0">
      <selection activeCell="C24" sqref="C24"/>
    </sheetView>
  </sheetViews>
  <sheetFormatPr defaultRowHeight="15" x14ac:dyDescent="0.25"/>
  <cols>
    <col min="1" max="1" width="13.140625" bestFit="1" customWidth="1"/>
    <col min="2" max="2" width="12" bestFit="1" customWidth="1"/>
    <col min="3" max="3" width="16.140625" bestFit="1" customWidth="1"/>
  </cols>
  <sheetData>
    <row r="3" spans="1:3" x14ac:dyDescent="0.25">
      <c r="A3" s="2" t="s">
        <v>4107</v>
      </c>
      <c r="B3" t="s">
        <v>4109</v>
      </c>
      <c r="C3" t="s">
        <v>4110</v>
      </c>
    </row>
    <row r="4" spans="1:3" x14ac:dyDescent="0.25">
      <c r="A4" s="3" t="s">
        <v>32</v>
      </c>
      <c r="B4">
        <v>9672</v>
      </c>
      <c r="C4">
        <v>4844</v>
      </c>
    </row>
    <row r="5" spans="1:3" x14ac:dyDescent="0.25">
      <c r="A5" s="3" t="s">
        <v>27</v>
      </c>
      <c r="B5">
        <v>11633</v>
      </c>
      <c r="C5">
        <v>5831</v>
      </c>
    </row>
    <row r="6" spans="1:3" x14ac:dyDescent="0.25">
      <c r="A6" s="3" t="s">
        <v>875</v>
      </c>
      <c r="B6">
        <v>5809</v>
      </c>
      <c r="C6">
        <v>2918</v>
      </c>
    </row>
    <row r="7" spans="1:3" x14ac:dyDescent="0.25">
      <c r="A7" s="3" t="s">
        <v>17</v>
      </c>
      <c r="B7">
        <v>4290</v>
      </c>
      <c r="C7">
        <v>2151</v>
      </c>
    </row>
    <row r="8" spans="1:3" x14ac:dyDescent="0.25">
      <c r="A8" s="3" t="s">
        <v>4108</v>
      </c>
      <c r="B8">
        <v>31404</v>
      </c>
      <c r="C8">
        <v>15744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CBC4B-F4ED-4708-9D4B-74699529293A}">
  <dimension ref="A3:B16"/>
  <sheetViews>
    <sheetView workbookViewId="0">
      <selection activeCell="B21" sqref="B21"/>
    </sheetView>
  </sheetViews>
  <sheetFormatPr defaultRowHeight="15" x14ac:dyDescent="0.25"/>
  <cols>
    <col min="1" max="1" width="13.140625" bestFit="1" customWidth="1"/>
    <col min="2" max="2" width="26.5703125" bestFit="1" customWidth="1"/>
    <col min="3" max="3" width="16" bestFit="1" customWidth="1"/>
    <col min="4" max="4" width="11" bestFit="1" customWidth="1"/>
    <col min="5" max="5" width="9.85546875" bestFit="1" customWidth="1"/>
    <col min="6" max="6" width="10.85546875" bestFit="1" customWidth="1"/>
    <col min="7" max="7" width="10.42578125" bestFit="1" customWidth="1"/>
    <col min="8" max="8" width="9.28515625" bestFit="1" customWidth="1"/>
    <col min="9" max="9" width="11.7109375" bestFit="1" customWidth="1"/>
    <col min="10" max="10" width="12.5703125" bestFit="1" customWidth="1"/>
    <col min="11" max="11" width="11.85546875" bestFit="1" customWidth="1"/>
    <col min="12" max="12" width="6.28515625" bestFit="1" customWidth="1"/>
    <col min="13" max="13" width="11.85546875" bestFit="1" customWidth="1"/>
    <col min="14" max="14" width="7.85546875" bestFit="1" customWidth="1"/>
    <col min="15" max="15" width="12.42578125" bestFit="1" customWidth="1"/>
    <col min="16" max="16" width="13.5703125" bestFit="1" customWidth="1"/>
    <col min="17" max="17" width="7.7109375" bestFit="1" customWidth="1"/>
    <col min="18" max="18" width="11.85546875" bestFit="1" customWidth="1"/>
    <col min="19" max="19" width="5" bestFit="1" customWidth="1"/>
    <col min="20" max="20" width="4.28515625" bestFit="1" customWidth="1"/>
    <col min="21" max="21" width="8.28515625" bestFit="1" customWidth="1"/>
    <col min="22" max="22" width="6" bestFit="1" customWidth="1"/>
    <col min="23" max="23" width="10" bestFit="1" customWidth="1"/>
    <col min="24" max="24" width="11.42578125" bestFit="1" customWidth="1"/>
    <col min="25" max="25" width="7.85546875" bestFit="1" customWidth="1"/>
    <col min="26" max="26" width="9.140625" bestFit="1" customWidth="1"/>
    <col min="27" max="27" width="13.140625" bestFit="1" customWidth="1"/>
    <col min="28" max="28" width="9.42578125" bestFit="1" customWidth="1"/>
    <col min="29" max="29" width="11.140625" bestFit="1" customWidth="1"/>
    <col min="30" max="30" width="11.42578125" bestFit="1" customWidth="1"/>
    <col min="31" max="31" width="16.5703125" bestFit="1" customWidth="1"/>
    <col min="32" max="32" width="9.85546875" bestFit="1" customWidth="1"/>
    <col min="33" max="33" width="6.7109375" bestFit="1" customWidth="1"/>
    <col min="34" max="34" width="8.140625" bestFit="1" customWidth="1"/>
    <col min="35" max="35" width="11.7109375" bestFit="1" customWidth="1"/>
    <col min="36" max="36" width="14.7109375" bestFit="1" customWidth="1"/>
    <col min="37" max="37" width="11.140625" bestFit="1" customWidth="1"/>
    <col min="38" max="38" width="9.85546875" bestFit="1" customWidth="1"/>
    <col min="39" max="39" width="10" bestFit="1" customWidth="1"/>
    <col min="40" max="40" width="11.140625" bestFit="1" customWidth="1"/>
    <col min="41" max="41" width="14.42578125" bestFit="1" customWidth="1"/>
    <col min="42" max="42" width="12.85546875" bestFit="1" customWidth="1"/>
    <col min="43" max="43" width="8.7109375" bestFit="1" customWidth="1"/>
    <col min="44" max="44" width="18.7109375" bestFit="1" customWidth="1"/>
    <col min="45" max="45" width="9.5703125" bestFit="1" customWidth="1"/>
    <col min="46" max="46" width="18.42578125" bestFit="1" customWidth="1"/>
    <col min="47" max="47" width="15.85546875" bestFit="1" customWidth="1"/>
    <col min="48" max="48" width="8.85546875" bestFit="1" customWidth="1"/>
    <col min="49" max="49" width="9" bestFit="1" customWidth="1"/>
    <col min="50" max="50" width="6.7109375" bestFit="1" customWidth="1"/>
    <col min="51" max="51" width="10.5703125" bestFit="1" customWidth="1"/>
    <col min="52" max="52" width="7.7109375" bestFit="1" customWidth="1"/>
    <col min="53" max="53" width="11.85546875" bestFit="1" customWidth="1"/>
    <col min="54" max="54" width="14.140625" bestFit="1" customWidth="1"/>
    <col min="55" max="55" width="11" bestFit="1" customWidth="1"/>
    <col min="56" max="56" width="12.85546875" bestFit="1" customWidth="1"/>
    <col min="57" max="57" width="15.42578125" bestFit="1" customWidth="1"/>
    <col min="58" max="58" width="7.42578125" bestFit="1" customWidth="1"/>
    <col min="59" max="59" width="10.42578125" bestFit="1" customWidth="1"/>
    <col min="60" max="60" width="12.85546875" bestFit="1" customWidth="1"/>
    <col min="61" max="61" width="7.28515625" bestFit="1" customWidth="1"/>
    <col min="62" max="62" width="7.140625" bestFit="1" customWidth="1"/>
    <col min="63" max="63" width="8.85546875" bestFit="1" customWidth="1"/>
    <col min="64" max="64" width="12.28515625" bestFit="1" customWidth="1"/>
    <col min="65" max="65" width="8.42578125" bestFit="1" customWidth="1"/>
    <col min="66" max="66" width="15.42578125" bestFit="1" customWidth="1"/>
    <col min="67" max="67" width="11" bestFit="1" customWidth="1"/>
    <col min="68" max="68" width="14.28515625" bestFit="1" customWidth="1"/>
    <col min="69" max="69" width="12.7109375" bestFit="1" customWidth="1"/>
    <col min="70" max="70" width="7" bestFit="1" customWidth="1"/>
    <col min="71" max="71" width="12" bestFit="1" customWidth="1"/>
    <col min="72" max="72" width="10.5703125" bestFit="1" customWidth="1"/>
    <col min="73" max="73" width="11.140625" bestFit="1" customWidth="1"/>
    <col min="74" max="74" width="7.85546875" bestFit="1" customWidth="1"/>
    <col min="75" max="75" width="18.140625" bestFit="1" customWidth="1"/>
    <col min="76" max="76" width="5.140625" bestFit="1" customWidth="1"/>
    <col min="77" max="77" width="8.85546875" bestFit="1" customWidth="1"/>
    <col min="78" max="78" width="11" bestFit="1" customWidth="1"/>
    <col min="79" max="79" width="10.7109375" bestFit="1" customWidth="1"/>
    <col min="80" max="80" width="11.140625" bestFit="1" customWidth="1"/>
    <col min="81" max="81" width="4.85546875" bestFit="1" customWidth="1"/>
    <col min="82" max="82" width="7.28515625" bestFit="1" customWidth="1"/>
    <col min="83" max="83" width="10.28515625" bestFit="1" customWidth="1"/>
    <col min="84" max="84" width="9" bestFit="1" customWidth="1"/>
    <col min="85" max="85" width="12.5703125" bestFit="1" customWidth="1"/>
    <col min="86" max="86" width="10.42578125" bestFit="1" customWidth="1"/>
    <col min="87" max="87" width="10.140625" bestFit="1" customWidth="1"/>
    <col min="88" max="88" width="10.7109375" bestFit="1" customWidth="1"/>
    <col min="89" max="89" width="10.85546875" bestFit="1" customWidth="1"/>
    <col min="90" max="90" width="9.42578125" bestFit="1" customWidth="1"/>
    <col min="91" max="91" width="8.42578125" bestFit="1" customWidth="1"/>
    <col min="92" max="92" width="9.5703125" bestFit="1" customWidth="1"/>
    <col min="93" max="93" width="5.5703125" bestFit="1" customWidth="1"/>
    <col min="94" max="94" width="10.140625" bestFit="1" customWidth="1"/>
    <col min="95" max="95" width="6.5703125" bestFit="1" customWidth="1"/>
    <col min="96" max="96" width="9" bestFit="1" customWidth="1"/>
    <col min="97" max="97" width="5.140625" bestFit="1" customWidth="1"/>
    <col min="98" max="98" width="10" bestFit="1" customWidth="1"/>
    <col min="99" max="99" width="10.85546875" bestFit="1" customWidth="1"/>
    <col min="100" max="100" width="13.7109375" bestFit="1" customWidth="1"/>
    <col min="101" max="101" width="12.5703125" bestFit="1" customWidth="1"/>
    <col min="102" max="102" width="5.7109375" bestFit="1" customWidth="1"/>
    <col min="103" max="103" width="8.140625" bestFit="1" customWidth="1"/>
    <col min="104" max="104" width="8.85546875" bestFit="1" customWidth="1"/>
    <col min="105" max="105" width="6.140625" bestFit="1" customWidth="1"/>
    <col min="106" max="106" width="11.5703125" bestFit="1" customWidth="1"/>
    <col min="107" max="107" width="10.5703125" bestFit="1" customWidth="1"/>
    <col min="108" max="108" width="12" bestFit="1" customWidth="1"/>
    <col min="109" max="109" width="12.7109375" bestFit="1" customWidth="1"/>
    <col min="110" max="110" width="10.5703125" bestFit="1" customWidth="1"/>
    <col min="111" max="111" width="8.28515625" bestFit="1" customWidth="1"/>
    <col min="112" max="112" width="12" bestFit="1" customWidth="1"/>
    <col min="113" max="113" width="8" bestFit="1" customWidth="1"/>
    <col min="114" max="114" width="8.7109375" bestFit="1" customWidth="1"/>
    <col min="115" max="115" width="7.5703125" bestFit="1" customWidth="1"/>
    <col min="116" max="116" width="8.5703125" bestFit="1" customWidth="1"/>
    <col min="117" max="117" width="8" bestFit="1" customWidth="1"/>
    <col min="118" max="118" width="3.85546875" bestFit="1" customWidth="1"/>
    <col min="119" max="119" width="12.28515625" bestFit="1" customWidth="1"/>
    <col min="120" max="120" width="13.85546875" bestFit="1" customWidth="1"/>
    <col min="121" max="121" width="5" bestFit="1" customWidth="1"/>
    <col min="122" max="122" width="9" bestFit="1" customWidth="1"/>
    <col min="123" max="123" width="10.42578125" bestFit="1" customWidth="1"/>
    <col min="124" max="124" width="4.7109375" bestFit="1" customWidth="1"/>
    <col min="125" max="125" width="8.7109375" bestFit="1" customWidth="1"/>
    <col min="126" max="126" width="5.140625" bestFit="1" customWidth="1"/>
    <col min="127" max="127" width="7.28515625" bestFit="1" customWidth="1"/>
    <col min="128" max="128" width="11.42578125" bestFit="1" customWidth="1"/>
    <col min="129" max="129" width="8.28515625" bestFit="1" customWidth="1"/>
    <col min="130" max="130" width="12.5703125" bestFit="1" customWidth="1"/>
    <col min="131" max="131" width="12.140625" bestFit="1" customWidth="1"/>
    <col min="132" max="132" width="14" bestFit="1" customWidth="1"/>
    <col min="133" max="133" width="12.140625" bestFit="1" customWidth="1"/>
    <col min="134" max="134" width="10.85546875" bestFit="1" customWidth="1"/>
    <col min="135" max="135" width="15.28515625" bestFit="1" customWidth="1"/>
    <col min="136" max="136" width="9" bestFit="1" customWidth="1"/>
    <col min="137" max="137" width="7.7109375" bestFit="1" customWidth="1"/>
    <col min="138" max="138" width="9.28515625" bestFit="1" customWidth="1"/>
    <col min="139" max="139" width="10.42578125" bestFit="1" customWidth="1"/>
    <col min="140" max="140" width="8.7109375" bestFit="1" customWidth="1"/>
    <col min="141" max="141" width="16.5703125" bestFit="1" customWidth="1"/>
    <col min="142" max="142" width="9.7109375" bestFit="1" customWidth="1"/>
    <col min="143" max="143" width="10.28515625" bestFit="1" customWidth="1"/>
    <col min="144" max="144" width="13.85546875" bestFit="1" customWidth="1"/>
    <col min="145" max="145" width="8" bestFit="1" customWidth="1"/>
    <col min="146" max="146" width="7.140625" bestFit="1" customWidth="1"/>
    <col min="147" max="147" width="10" bestFit="1" customWidth="1"/>
    <col min="148" max="148" width="8.140625" bestFit="1" customWidth="1"/>
    <col min="149" max="149" width="9.28515625" bestFit="1" customWidth="1"/>
    <col min="150" max="150" width="8.7109375" bestFit="1" customWidth="1"/>
    <col min="151" max="151" width="5.7109375" bestFit="1" customWidth="1"/>
    <col min="152" max="152" width="6.28515625" bestFit="1" customWidth="1"/>
    <col min="153" max="153" width="9" bestFit="1" customWidth="1"/>
    <col min="154" max="154" width="10.140625" bestFit="1" customWidth="1"/>
    <col min="155" max="155" width="6.85546875" bestFit="1" customWidth="1"/>
    <col min="156" max="156" width="12.85546875" bestFit="1" customWidth="1"/>
    <col min="157" max="157" width="6.28515625" bestFit="1" customWidth="1"/>
    <col min="158" max="158" width="15" bestFit="1" customWidth="1"/>
    <col min="159" max="159" width="11.85546875" bestFit="1" customWidth="1"/>
    <col min="160" max="160" width="10.140625" bestFit="1" customWidth="1"/>
    <col min="161" max="161" width="10.42578125" bestFit="1" customWidth="1"/>
    <col min="162" max="162" width="9.140625" bestFit="1" customWidth="1"/>
    <col min="163" max="163" width="5.85546875" bestFit="1" customWidth="1"/>
    <col min="164" max="164" width="17.28515625" bestFit="1" customWidth="1"/>
    <col min="165" max="165" width="4.140625" bestFit="1" customWidth="1"/>
    <col min="166" max="166" width="8.140625" bestFit="1" customWidth="1"/>
    <col min="167" max="167" width="11.28515625" bestFit="1" customWidth="1"/>
    <col min="168" max="168" width="8.42578125" bestFit="1" customWidth="1"/>
    <col min="169" max="169" width="7" bestFit="1" customWidth="1"/>
    <col min="170" max="170" width="6.7109375" bestFit="1" customWidth="1"/>
    <col min="171" max="171" width="8.42578125" bestFit="1" customWidth="1"/>
    <col min="172" max="172" width="7.28515625" bestFit="1" customWidth="1"/>
    <col min="173" max="173" width="5.85546875" bestFit="1" customWidth="1"/>
    <col min="174" max="174" width="7.7109375" bestFit="1" customWidth="1"/>
    <col min="175" max="175" width="9.140625" bestFit="1" customWidth="1"/>
    <col min="176" max="176" width="8.28515625" bestFit="1" customWidth="1"/>
    <col min="177" max="177" width="9.42578125" bestFit="1" customWidth="1"/>
    <col min="178" max="178" width="9.7109375" bestFit="1" customWidth="1"/>
    <col min="179" max="179" width="11.28515625" bestFit="1" customWidth="1"/>
    <col min="180" max="180" width="5.5703125" bestFit="1" customWidth="1"/>
    <col min="181" max="181" width="15.85546875" bestFit="1" customWidth="1"/>
    <col min="182" max="182" width="8.5703125" bestFit="1" customWidth="1"/>
    <col min="183" max="183" width="10.5703125" bestFit="1" customWidth="1"/>
    <col min="184" max="184" width="8.42578125" bestFit="1" customWidth="1"/>
    <col min="185" max="185" width="8.7109375" bestFit="1" customWidth="1"/>
    <col min="186" max="186" width="8.28515625" bestFit="1" customWidth="1"/>
    <col min="187" max="187" width="19.5703125" bestFit="1" customWidth="1"/>
    <col min="188" max="188" width="13.140625" bestFit="1" customWidth="1"/>
    <col min="189" max="189" width="8.28515625" bestFit="1" customWidth="1"/>
    <col min="190" max="190" width="13.140625" bestFit="1" customWidth="1"/>
    <col min="191" max="191" width="8.85546875" bestFit="1" customWidth="1"/>
    <col min="192" max="192" width="4.7109375" bestFit="1" customWidth="1"/>
    <col min="193" max="193" width="11.28515625" bestFit="1" customWidth="1"/>
    <col min="194" max="194" width="27.5703125" bestFit="1" customWidth="1"/>
    <col min="195" max="195" width="13.7109375" bestFit="1" customWidth="1"/>
    <col min="196" max="196" width="27.5703125" bestFit="1" customWidth="1"/>
    <col min="197" max="197" width="13.7109375" bestFit="1" customWidth="1"/>
    <col min="198" max="198" width="27.5703125" bestFit="1" customWidth="1"/>
    <col min="199" max="199" width="13.7109375" bestFit="1" customWidth="1"/>
    <col min="200" max="200" width="27.5703125" bestFit="1" customWidth="1"/>
    <col min="201" max="201" width="13.7109375" bestFit="1" customWidth="1"/>
    <col min="202" max="202" width="27.5703125" bestFit="1" customWidth="1"/>
    <col min="203" max="203" width="13.7109375" bestFit="1" customWidth="1"/>
    <col min="204" max="204" width="27.5703125" bestFit="1" customWidth="1"/>
    <col min="205" max="205" width="13.7109375" bestFit="1" customWidth="1"/>
    <col min="206" max="206" width="27.5703125" bestFit="1" customWidth="1"/>
    <col min="207" max="207" width="13.7109375" bestFit="1" customWidth="1"/>
    <col min="208" max="208" width="27.5703125" bestFit="1" customWidth="1"/>
    <col min="209" max="209" width="13.7109375" bestFit="1" customWidth="1"/>
    <col min="210" max="210" width="27.5703125" bestFit="1" customWidth="1"/>
    <col min="211" max="211" width="13.7109375" bestFit="1" customWidth="1"/>
    <col min="212" max="212" width="27.5703125" bestFit="1" customWidth="1"/>
    <col min="213" max="213" width="13.7109375" bestFit="1" customWidth="1"/>
    <col min="214" max="214" width="27.5703125" bestFit="1" customWidth="1"/>
    <col min="215" max="215" width="13.7109375" bestFit="1" customWidth="1"/>
    <col min="216" max="216" width="27.5703125" bestFit="1" customWidth="1"/>
    <col min="217" max="217" width="13.7109375" bestFit="1" customWidth="1"/>
    <col min="218" max="218" width="27.5703125" bestFit="1" customWidth="1"/>
    <col min="219" max="219" width="13.7109375" bestFit="1" customWidth="1"/>
    <col min="220" max="220" width="27.5703125" bestFit="1" customWidth="1"/>
    <col min="221" max="221" width="13.7109375" bestFit="1" customWidth="1"/>
    <col min="222" max="222" width="27.5703125" bestFit="1" customWidth="1"/>
    <col min="223" max="223" width="13.7109375" bestFit="1" customWidth="1"/>
    <col min="224" max="224" width="27.5703125" bestFit="1" customWidth="1"/>
    <col min="225" max="225" width="13.7109375" bestFit="1" customWidth="1"/>
    <col min="226" max="226" width="27.5703125" bestFit="1" customWidth="1"/>
    <col min="227" max="227" width="13.7109375" bestFit="1" customWidth="1"/>
    <col min="228" max="228" width="27.5703125" bestFit="1" customWidth="1"/>
    <col min="229" max="229" width="13.7109375" bestFit="1" customWidth="1"/>
    <col min="230" max="230" width="27.5703125" bestFit="1" customWidth="1"/>
    <col min="231" max="231" width="13.7109375" bestFit="1" customWidth="1"/>
    <col min="232" max="232" width="27.5703125" bestFit="1" customWidth="1"/>
    <col min="233" max="233" width="13.7109375" bestFit="1" customWidth="1"/>
    <col min="234" max="234" width="27.5703125" bestFit="1" customWidth="1"/>
    <col min="235" max="235" width="13.7109375" bestFit="1" customWidth="1"/>
    <col min="236" max="236" width="27.5703125" bestFit="1" customWidth="1"/>
    <col min="237" max="237" width="13.7109375" bestFit="1" customWidth="1"/>
    <col min="238" max="238" width="27.5703125" bestFit="1" customWidth="1"/>
    <col min="239" max="239" width="13.7109375" bestFit="1" customWidth="1"/>
    <col min="240" max="240" width="27.5703125" bestFit="1" customWidth="1"/>
    <col min="241" max="241" width="13.7109375" bestFit="1" customWidth="1"/>
    <col min="242" max="242" width="27.5703125" bestFit="1" customWidth="1"/>
    <col min="243" max="243" width="13.7109375" bestFit="1" customWidth="1"/>
    <col min="244" max="244" width="27.5703125" bestFit="1" customWidth="1"/>
    <col min="245" max="245" width="13.7109375" bestFit="1" customWidth="1"/>
    <col min="246" max="246" width="27.5703125" bestFit="1" customWidth="1"/>
    <col min="247" max="247" width="13.7109375" bestFit="1" customWidth="1"/>
    <col min="248" max="248" width="27.5703125" bestFit="1" customWidth="1"/>
    <col min="249" max="249" width="13.7109375" bestFit="1" customWidth="1"/>
    <col min="250" max="250" width="27.5703125" bestFit="1" customWidth="1"/>
    <col min="251" max="251" width="13.7109375" bestFit="1" customWidth="1"/>
    <col min="252" max="252" width="27.5703125" bestFit="1" customWidth="1"/>
    <col min="253" max="253" width="13.7109375" bestFit="1" customWidth="1"/>
    <col min="254" max="254" width="27.5703125" bestFit="1" customWidth="1"/>
    <col min="255" max="255" width="13.7109375" bestFit="1" customWidth="1"/>
    <col min="256" max="256" width="27.5703125" bestFit="1" customWidth="1"/>
    <col min="257" max="257" width="13.7109375" bestFit="1" customWidth="1"/>
    <col min="258" max="258" width="27.5703125" bestFit="1" customWidth="1"/>
    <col min="259" max="259" width="13.7109375" bestFit="1" customWidth="1"/>
    <col min="260" max="260" width="27.5703125" bestFit="1" customWidth="1"/>
    <col min="261" max="261" width="13.7109375" bestFit="1" customWidth="1"/>
    <col min="262" max="262" width="27.5703125" bestFit="1" customWidth="1"/>
    <col min="263" max="263" width="13.7109375" bestFit="1" customWidth="1"/>
    <col min="264" max="264" width="27.5703125" bestFit="1" customWidth="1"/>
    <col min="265" max="265" width="13.7109375" bestFit="1" customWidth="1"/>
    <col min="266" max="266" width="27.5703125" bestFit="1" customWidth="1"/>
    <col min="267" max="267" width="13.7109375" bestFit="1" customWidth="1"/>
    <col min="268" max="268" width="27.5703125" bestFit="1" customWidth="1"/>
    <col min="269" max="269" width="13.7109375" bestFit="1" customWidth="1"/>
    <col min="270" max="270" width="27.5703125" bestFit="1" customWidth="1"/>
    <col min="271" max="271" width="13.7109375" bestFit="1" customWidth="1"/>
    <col min="272" max="272" width="27.5703125" bestFit="1" customWidth="1"/>
    <col min="273" max="273" width="13.7109375" bestFit="1" customWidth="1"/>
    <col min="274" max="274" width="27.5703125" bestFit="1" customWidth="1"/>
    <col min="275" max="275" width="13.7109375" bestFit="1" customWidth="1"/>
    <col min="276" max="276" width="27.5703125" bestFit="1" customWidth="1"/>
    <col min="277" max="277" width="13.7109375" bestFit="1" customWidth="1"/>
    <col min="278" max="278" width="27.5703125" bestFit="1" customWidth="1"/>
    <col min="279" max="279" width="13.7109375" bestFit="1" customWidth="1"/>
    <col min="280" max="280" width="27.5703125" bestFit="1" customWidth="1"/>
    <col min="281" max="281" width="13.7109375" bestFit="1" customWidth="1"/>
    <col min="282" max="282" width="27.5703125" bestFit="1" customWidth="1"/>
    <col min="283" max="283" width="13.7109375" bestFit="1" customWidth="1"/>
    <col min="284" max="284" width="27.5703125" bestFit="1" customWidth="1"/>
    <col min="285" max="285" width="13.7109375" bestFit="1" customWidth="1"/>
    <col min="286" max="286" width="27.5703125" bestFit="1" customWidth="1"/>
    <col min="287" max="287" width="13.7109375" bestFit="1" customWidth="1"/>
    <col min="288" max="288" width="27.5703125" bestFit="1" customWidth="1"/>
    <col min="289" max="289" width="13.7109375" bestFit="1" customWidth="1"/>
    <col min="290" max="290" width="27.5703125" bestFit="1" customWidth="1"/>
    <col min="291" max="291" width="13.7109375" bestFit="1" customWidth="1"/>
    <col min="292" max="292" width="27.5703125" bestFit="1" customWidth="1"/>
    <col min="293" max="293" width="13.7109375" bestFit="1" customWidth="1"/>
    <col min="294" max="294" width="27.5703125" bestFit="1" customWidth="1"/>
    <col min="295" max="295" width="13.7109375" bestFit="1" customWidth="1"/>
    <col min="296" max="296" width="27.5703125" bestFit="1" customWidth="1"/>
    <col min="297" max="297" width="13.7109375" bestFit="1" customWidth="1"/>
    <col min="298" max="298" width="27.5703125" bestFit="1" customWidth="1"/>
    <col min="299" max="299" width="13.7109375" bestFit="1" customWidth="1"/>
    <col min="300" max="300" width="27.5703125" bestFit="1" customWidth="1"/>
    <col min="301" max="301" width="13.7109375" bestFit="1" customWidth="1"/>
    <col min="302" max="302" width="27.5703125" bestFit="1" customWidth="1"/>
    <col min="303" max="303" width="13.7109375" bestFit="1" customWidth="1"/>
    <col min="304" max="304" width="27.5703125" bestFit="1" customWidth="1"/>
    <col min="305" max="305" width="13.7109375" bestFit="1" customWidth="1"/>
    <col min="306" max="306" width="27.5703125" bestFit="1" customWidth="1"/>
    <col min="307" max="307" width="13.7109375" bestFit="1" customWidth="1"/>
    <col min="308" max="308" width="27.5703125" bestFit="1" customWidth="1"/>
    <col min="309" max="309" width="13.7109375" bestFit="1" customWidth="1"/>
    <col min="310" max="310" width="27.5703125" bestFit="1" customWidth="1"/>
    <col min="311" max="311" width="13.7109375" bestFit="1" customWidth="1"/>
    <col min="312" max="312" width="27.5703125" bestFit="1" customWidth="1"/>
    <col min="313" max="313" width="13.7109375" bestFit="1" customWidth="1"/>
    <col min="314" max="314" width="27.5703125" bestFit="1" customWidth="1"/>
    <col min="315" max="315" width="13.7109375" bestFit="1" customWidth="1"/>
    <col min="316" max="316" width="27.5703125" bestFit="1" customWidth="1"/>
    <col min="317" max="317" width="13.7109375" bestFit="1" customWidth="1"/>
    <col min="318" max="318" width="27.5703125" bestFit="1" customWidth="1"/>
    <col min="319" max="319" width="13.7109375" bestFit="1" customWidth="1"/>
    <col min="320" max="320" width="27.5703125" bestFit="1" customWidth="1"/>
    <col min="321" max="321" width="13.7109375" bestFit="1" customWidth="1"/>
    <col min="322" max="322" width="27.5703125" bestFit="1" customWidth="1"/>
    <col min="323" max="323" width="13.7109375" bestFit="1" customWidth="1"/>
    <col min="324" max="324" width="27.5703125" bestFit="1" customWidth="1"/>
    <col min="325" max="325" width="13.7109375" bestFit="1" customWidth="1"/>
    <col min="326" max="326" width="27.5703125" bestFit="1" customWidth="1"/>
    <col min="327" max="327" width="13.7109375" bestFit="1" customWidth="1"/>
    <col min="328" max="328" width="27.5703125" bestFit="1" customWidth="1"/>
    <col min="329" max="329" width="13.7109375" bestFit="1" customWidth="1"/>
    <col min="330" max="330" width="27.5703125" bestFit="1" customWidth="1"/>
    <col min="331" max="331" width="13.7109375" bestFit="1" customWidth="1"/>
    <col min="332" max="332" width="27.5703125" bestFit="1" customWidth="1"/>
    <col min="333" max="333" width="13.7109375" bestFit="1" customWidth="1"/>
    <col min="334" max="334" width="27.5703125" bestFit="1" customWidth="1"/>
    <col min="335" max="335" width="13.7109375" bestFit="1" customWidth="1"/>
    <col min="336" max="336" width="27.5703125" bestFit="1" customWidth="1"/>
    <col min="337" max="337" width="13.7109375" bestFit="1" customWidth="1"/>
    <col min="338" max="338" width="27.5703125" bestFit="1" customWidth="1"/>
    <col min="339" max="339" width="13.7109375" bestFit="1" customWidth="1"/>
    <col min="340" max="340" width="27.5703125" bestFit="1" customWidth="1"/>
    <col min="341" max="341" width="13.7109375" bestFit="1" customWidth="1"/>
    <col min="342" max="342" width="27.5703125" bestFit="1" customWidth="1"/>
    <col min="343" max="343" width="13.7109375" bestFit="1" customWidth="1"/>
    <col min="344" max="344" width="27.5703125" bestFit="1" customWidth="1"/>
    <col min="345" max="345" width="13.7109375" bestFit="1" customWidth="1"/>
    <col min="346" max="346" width="27.5703125" bestFit="1" customWidth="1"/>
    <col min="347" max="347" width="13.7109375" bestFit="1" customWidth="1"/>
    <col min="348" max="348" width="27.5703125" bestFit="1" customWidth="1"/>
    <col min="349" max="349" width="13.7109375" bestFit="1" customWidth="1"/>
    <col min="350" max="350" width="27.5703125" bestFit="1" customWidth="1"/>
    <col min="351" max="351" width="13.7109375" bestFit="1" customWidth="1"/>
    <col min="352" max="352" width="27.5703125" bestFit="1" customWidth="1"/>
    <col min="353" max="353" width="13.7109375" bestFit="1" customWidth="1"/>
    <col min="354" max="354" width="27.5703125" bestFit="1" customWidth="1"/>
    <col min="355" max="355" width="13.7109375" bestFit="1" customWidth="1"/>
    <col min="356" max="356" width="27.5703125" bestFit="1" customWidth="1"/>
    <col min="357" max="357" width="13.7109375" bestFit="1" customWidth="1"/>
    <col min="358" max="358" width="27.5703125" bestFit="1" customWidth="1"/>
    <col min="359" max="359" width="13.7109375" bestFit="1" customWidth="1"/>
    <col min="360" max="360" width="27.5703125" bestFit="1" customWidth="1"/>
    <col min="361" max="361" width="13.7109375" bestFit="1" customWidth="1"/>
    <col min="362" max="362" width="27.5703125" bestFit="1" customWidth="1"/>
    <col min="363" max="363" width="13.7109375" bestFit="1" customWidth="1"/>
    <col min="364" max="364" width="27.5703125" bestFit="1" customWidth="1"/>
    <col min="365" max="365" width="13.7109375" bestFit="1" customWidth="1"/>
    <col min="366" max="366" width="27.5703125" bestFit="1" customWidth="1"/>
    <col min="367" max="367" width="13.7109375" bestFit="1" customWidth="1"/>
    <col min="368" max="368" width="27.5703125" bestFit="1" customWidth="1"/>
    <col min="369" max="369" width="13.7109375" bestFit="1" customWidth="1"/>
    <col min="370" max="370" width="27.5703125" bestFit="1" customWidth="1"/>
    <col min="371" max="371" width="13.7109375" bestFit="1" customWidth="1"/>
    <col min="372" max="372" width="27.5703125" bestFit="1" customWidth="1"/>
    <col min="373" max="373" width="13.7109375" bestFit="1" customWidth="1"/>
    <col min="374" max="374" width="27.5703125" bestFit="1" customWidth="1"/>
    <col min="375" max="375" width="13.7109375" bestFit="1" customWidth="1"/>
    <col min="376" max="376" width="27.5703125" bestFit="1" customWidth="1"/>
    <col min="377" max="377" width="13.7109375" bestFit="1" customWidth="1"/>
    <col min="378" max="378" width="27.5703125" bestFit="1" customWidth="1"/>
    <col min="379" max="379" width="13.7109375" bestFit="1" customWidth="1"/>
    <col min="380" max="380" width="27.5703125" bestFit="1" customWidth="1"/>
    <col min="381" max="381" width="13.7109375" bestFit="1" customWidth="1"/>
    <col min="382" max="382" width="27.5703125" bestFit="1" customWidth="1"/>
    <col min="383" max="383" width="13.7109375" bestFit="1" customWidth="1"/>
    <col min="384" max="384" width="32.5703125" bestFit="1" customWidth="1"/>
    <col min="385" max="385" width="18.7109375" bestFit="1" customWidth="1"/>
  </cols>
  <sheetData>
    <row r="3" spans="1:2" x14ac:dyDescent="0.25">
      <c r="A3" s="2" t="s">
        <v>4107</v>
      </c>
      <c r="B3" t="s">
        <v>4111</v>
      </c>
    </row>
    <row r="4" spans="1:2" x14ac:dyDescent="0.25">
      <c r="A4" s="3">
        <v>1</v>
      </c>
      <c r="B4">
        <v>82</v>
      </c>
    </row>
    <row r="5" spans="1:2" x14ac:dyDescent="0.25">
      <c r="A5" s="3">
        <v>2</v>
      </c>
      <c r="B5">
        <v>85</v>
      </c>
    </row>
    <row r="6" spans="1:2" x14ac:dyDescent="0.25">
      <c r="A6" s="3">
        <v>3</v>
      </c>
      <c r="B6">
        <v>44</v>
      </c>
    </row>
    <row r="7" spans="1:2" x14ac:dyDescent="0.25">
      <c r="A7" s="3">
        <v>4</v>
      </c>
      <c r="B7">
        <v>51</v>
      </c>
    </row>
    <row r="8" spans="1:2" x14ac:dyDescent="0.25">
      <c r="A8" s="3">
        <v>5</v>
      </c>
      <c r="B8">
        <v>46</v>
      </c>
    </row>
    <row r="9" spans="1:2" x14ac:dyDescent="0.25">
      <c r="A9" s="3">
        <v>6</v>
      </c>
      <c r="B9">
        <v>71</v>
      </c>
    </row>
    <row r="10" spans="1:2" x14ac:dyDescent="0.25">
      <c r="A10" s="3">
        <v>7</v>
      </c>
      <c r="B10">
        <v>62</v>
      </c>
    </row>
    <row r="11" spans="1:2" x14ac:dyDescent="0.25">
      <c r="A11" s="3">
        <v>8</v>
      </c>
      <c r="B11">
        <v>78</v>
      </c>
    </row>
    <row r="12" spans="1:2" x14ac:dyDescent="0.25">
      <c r="A12" s="3">
        <v>9</v>
      </c>
      <c r="B12">
        <v>77</v>
      </c>
    </row>
    <row r="13" spans="1:2" x14ac:dyDescent="0.25">
      <c r="A13" s="3">
        <v>10</v>
      </c>
      <c r="B13">
        <v>48</v>
      </c>
    </row>
    <row r="14" spans="1:2" x14ac:dyDescent="0.25">
      <c r="A14" s="3">
        <v>11</v>
      </c>
      <c r="B14">
        <v>49</v>
      </c>
    </row>
    <row r="15" spans="1:2" x14ac:dyDescent="0.25">
      <c r="A15" s="3">
        <v>12</v>
      </c>
      <c r="B15">
        <v>39</v>
      </c>
    </row>
    <row r="16" spans="1:2" x14ac:dyDescent="0.25">
      <c r="A16" s="3" t="s">
        <v>4108</v>
      </c>
      <c r="B16">
        <v>732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96132-99B7-4264-AED5-58EB9B1FF266}">
  <dimension ref="A3:D7"/>
  <sheetViews>
    <sheetView workbookViewId="0">
      <selection activeCell="M23" sqref="M23"/>
    </sheetView>
  </sheetViews>
  <sheetFormatPr defaultRowHeight="15" x14ac:dyDescent="0.25"/>
  <cols>
    <col min="1" max="1" width="13.140625" bestFit="1" customWidth="1"/>
    <col min="2" max="2" width="16.140625" bestFit="1" customWidth="1"/>
    <col min="3" max="3" width="12" bestFit="1" customWidth="1"/>
    <col min="4" max="4" width="23.85546875" bestFit="1" customWidth="1"/>
  </cols>
  <sheetData>
    <row r="3" spans="1:4" x14ac:dyDescent="0.25">
      <c r="A3" s="2" t="s">
        <v>4107</v>
      </c>
      <c r="B3" t="s">
        <v>4110</v>
      </c>
      <c r="C3" t="s">
        <v>4109</v>
      </c>
      <c r="D3" t="s">
        <v>4113</v>
      </c>
    </row>
    <row r="4" spans="1:4" x14ac:dyDescent="0.25">
      <c r="A4" s="3" t="s">
        <v>4106</v>
      </c>
      <c r="B4">
        <v>4844</v>
      </c>
      <c r="C4">
        <v>9672</v>
      </c>
      <c r="D4">
        <v>14516</v>
      </c>
    </row>
    <row r="5" spans="1:4" x14ac:dyDescent="0.25">
      <c r="A5" s="3" t="s">
        <v>4105</v>
      </c>
      <c r="B5">
        <v>5831</v>
      </c>
      <c r="C5">
        <v>11633</v>
      </c>
      <c r="D5">
        <v>17464</v>
      </c>
    </row>
    <row r="6" spans="1:4" x14ac:dyDescent="0.25">
      <c r="A6" s="3" t="s">
        <v>4104</v>
      </c>
      <c r="B6">
        <v>5069</v>
      </c>
      <c r="C6">
        <v>10099</v>
      </c>
      <c r="D6">
        <v>15168</v>
      </c>
    </row>
    <row r="7" spans="1:4" x14ac:dyDescent="0.25">
      <c r="A7" s="3" t="s">
        <v>4108</v>
      </c>
      <c r="B7">
        <v>15744</v>
      </c>
      <c r="C7">
        <v>31404</v>
      </c>
      <c r="D7">
        <v>47148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FEEE7-6F19-4518-980A-A10215C9C17B}">
  <dimension ref="A3:GK10"/>
  <sheetViews>
    <sheetView tabSelected="1" workbookViewId="0">
      <selection activeCell="J22" sqref="J22"/>
    </sheetView>
  </sheetViews>
  <sheetFormatPr defaultRowHeight="15" x14ac:dyDescent="0.25"/>
  <cols>
    <col min="1" max="1" width="26.5703125" bestFit="1" customWidth="1"/>
    <col min="2" max="2" width="16.28515625" bestFit="1" customWidth="1"/>
    <col min="3" max="3" width="16" bestFit="1" customWidth="1"/>
    <col min="4" max="4" width="11" bestFit="1" customWidth="1"/>
    <col min="5" max="5" width="9.85546875" bestFit="1" customWidth="1"/>
    <col min="6" max="6" width="10.85546875" bestFit="1" customWidth="1"/>
    <col min="7" max="7" width="10.42578125" bestFit="1" customWidth="1"/>
    <col min="8" max="8" width="9.28515625" bestFit="1" customWidth="1"/>
    <col min="9" max="9" width="11.7109375" bestFit="1" customWidth="1"/>
    <col min="10" max="10" width="12.5703125" bestFit="1" customWidth="1"/>
    <col min="11" max="11" width="11.85546875" bestFit="1" customWidth="1"/>
    <col min="12" max="12" width="6.28515625" bestFit="1" customWidth="1"/>
    <col min="13" max="13" width="11.85546875" bestFit="1" customWidth="1"/>
    <col min="14" max="14" width="7.85546875" bestFit="1" customWidth="1"/>
    <col min="15" max="15" width="12.42578125" bestFit="1" customWidth="1"/>
    <col min="16" max="16" width="13.5703125" bestFit="1" customWidth="1"/>
    <col min="17" max="17" width="7.7109375" bestFit="1" customWidth="1"/>
    <col min="18" max="18" width="11.85546875" bestFit="1" customWidth="1"/>
    <col min="19" max="19" width="5" bestFit="1" customWidth="1"/>
    <col min="20" max="20" width="4.28515625" bestFit="1" customWidth="1"/>
    <col min="21" max="21" width="8.28515625" bestFit="1" customWidth="1"/>
    <col min="22" max="22" width="6" bestFit="1" customWidth="1"/>
    <col min="23" max="23" width="10" bestFit="1" customWidth="1"/>
    <col min="24" max="24" width="11.42578125" bestFit="1" customWidth="1"/>
    <col min="25" max="25" width="7.85546875" bestFit="1" customWidth="1"/>
    <col min="27" max="27" width="13.140625" bestFit="1" customWidth="1"/>
    <col min="28" max="28" width="9.42578125" bestFit="1" customWidth="1"/>
    <col min="29" max="29" width="11.140625" bestFit="1" customWidth="1"/>
    <col min="30" max="30" width="11.42578125" bestFit="1" customWidth="1"/>
    <col min="31" max="31" width="16.5703125" bestFit="1" customWidth="1"/>
    <col min="32" max="32" width="9.85546875" bestFit="1" customWidth="1"/>
    <col min="33" max="33" width="6.7109375" bestFit="1" customWidth="1"/>
    <col min="34" max="34" width="8.140625" bestFit="1" customWidth="1"/>
    <col min="35" max="35" width="11.7109375" bestFit="1" customWidth="1"/>
    <col min="36" max="36" width="14.7109375" bestFit="1" customWidth="1"/>
    <col min="37" max="37" width="11.140625" bestFit="1" customWidth="1"/>
    <col min="38" max="38" width="9.85546875" bestFit="1" customWidth="1"/>
    <col min="39" max="39" width="10" bestFit="1" customWidth="1"/>
    <col min="40" max="40" width="11.140625" bestFit="1" customWidth="1"/>
    <col min="41" max="41" width="14.42578125" bestFit="1" customWidth="1"/>
    <col min="42" max="42" width="12.85546875" bestFit="1" customWidth="1"/>
    <col min="43" max="43" width="8.7109375" bestFit="1" customWidth="1"/>
    <col min="44" max="44" width="18.7109375" bestFit="1" customWidth="1"/>
    <col min="45" max="45" width="9.5703125" bestFit="1" customWidth="1"/>
    <col min="46" max="46" width="18.42578125" bestFit="1" customWidth="1"/>
    <col min="47" max="47" width="15.85546875" bestFit="1" customWidth="1"/>
    <col min="48" max="48" width="8.85546875" bestFit="1" customWidth="1"/>
    <col min="49" max="49" width="9" bestFit="1" customWidth="1"/>
    <col min="50" max="50" width="6.7109375" bestFit="1" customWidth="1"/>
    <col min="51" max="51" width="10.5703125" bestFit="1" customWidth="1"/>
    <col min="52" max="52" width="7.7109375" bestFit="1" customWidth="1"/>
    <col min="53" max="53" width="11.85546875" bestFit="1" customWidth="1"/>
    <col min="54" max="54" width="14.140625" bestFit="1" customWidth="1"/>
    <col min="55" max="55" width="11" bestFit="1" customWidth="1"/>
    <col min="56" max="56" width="12.85546875" bestFit="1" customWidth="1"/>
    <col min="57" max="57" width="15.42578125" bestFit="1" customWidth="1"/>
    <col min="58" max="58" width="7.42578125" bestFit="1" customWidth="1"/>
    <col min="59" max="59" width="10.42578125" bestFit="1" customWidth="1"/>
    <col min="60" max="60" width="12.85546875" bestFit="1" customWidth="1"/>
    <col min="61" max="61" width="7.28515625" bestFit="1" customWidth="1"/>
    <col min="62" max="62" width="7.140625" bestFit="1" customWidth="1"/>
    <col min="63" max="63" width="8.85546875" bestFit="1" customWidth="1"/>
    <col min="64" max="64" width="12.28515625" bestFit="1" customWidth="1"/>
    <col min="65" max="65" width="8.42578125" bestFit="1" customWidth="1"/>
    <col min="66" max="66" width="15.42578125" bestFit="1" customWidth="1"/>
    <col min="67" max="67" width="11" bestFit="1" customWidth="1"/>
    <col min="68" max="68" width="14.28515625" bestFit="1" customWidth="1"/>
    <col min="69" max="69" width="12.7109375" bestFit="1" customWidth="1"/>
    <col min="70" max="70" width="7" bestFit="1" customWidth="1"/>
    <col min="71" max="71" width="12" bestFit="1" customWidth="1"/>
    <col min="72" max="72" width="10.5703125" bestFit="1" customWidth="1"/>
    <col min="73" max="73" width="11.140625" bestFit="1" customWidth="1"/>
    <col min="74" max="74" width="7.85546875" bestFit="1" customWidth="1"/>
    <col min="75" max="75" width="18.140625" bestFit="1" customWidth="1"/>
    <col min="76" max="76" width="5.140625" bestFit="1" customWidth="1"/>
    <col min="77" max="77" width="8.85546875" bestFit="1" customWidth="1"/>
    <col min="78" max="78" width="11" bestFit="1" customWidth="1"/>
    <col min="79" max="79" width="10.7109375" bestFit="1" customWidth="1"/>
    <col min="80" max="80" width="11.140625" bestFit="1" customWidth="1"/>
    <col min="81" max="81" width="4.85546875" bestFit="1" customWidth="1"/>
    <col min="82" max="82" width="7.28515625" bestFit="1" customWidth="1"/>
    <col min="83" max="83" width="10.28515625" bestFit="1" customWidth="1"/>
    <col min="84" max="84" width="9" bestFit="1" customWidth="1"/>
    <col min="85" max="85" width="12.5703125" bestFit="1" customWidth="1"/>
    <col min="86" max="86" width="10.42578125" bestFit="1" customWidth="1"/>
    <col min="87" max="87" width="10.140625" bestFit="1" customWidth="1"/>
    <col min="88" max="88" width="10.7109375" bestFit="1" customWidth="1"/>
    <col min="89" max="89" width="10.85546875" bestFit="1" customWidth="1"/>
    <col min="90" max="90" width="9.42578125" bestFit="1" customWidth="1"/>
    <col min="91" max="91" width="8.42578125" bestFit="1" customWidth="1"/>
    <col min="92" max="92" width="9.5703125" bestFit="1" customWidth="1"/>
    <col min="93" max="93" width="5.5703125" bestFit="1" customWidth="1"/>
    <col min="94" max="94" width="10.140625" bestFit="1" customWidth="1"/>
    <col min="95" max="95" width="6.5703125" bestFit="1" customWidth="1"/>
    <col min="96" max="96" width="9" bestFit="1" customWidth="1"/>
    <col min="97" max="97" width="5.140625" bestFit="1" customWidth="1"/>
    <col min="98" max="98" width="10" bestFit="1" customWidth="1"/>
    <col min="99" max="99" width="10.85546875" bestFit="1" customWidth="1"/>
    <col min="100" max="100" width="13.7109375" bestFit="1" customWidth="1"/>
    <col min="101" max="101" width="12.5703125" bestFit="1" customWidth="1"/>
    <col min="102" max="102" width="5.7109375" bestFit="1" customWidth="1"/>
    <col min="103" max="103" width="8.140625" bestFit="1" customWidth="1"/>
    <col min="104" max="104" width="8.85546875" bestFit="1" customWidth="1"/>
    <col min="105" max="105" width="6.140625" bestFit="1" customWidth="1"/>
    <col min="106" max="106" width="11.5703125" bestFit="1" customWidth="1"/>
    <col min="107" max="107" width="10.5703125" bestFit="1" customWidth="1"/>
    <col min="108" max="108" width="12" bestFit="1" customWidth="1"/>
    <col min="109" max="109" width="12.7109375" bestFit="1" customWidth="1"/>
    <col min="110" max="110" width="10.5703125" bestFit="1" customWidth="1"/>
    <col min="111" max="111" width="8.28515625" bestFit="1" customWidth="1"/>
    <col min="112" max="112" width="12" bestFit="1" customWidth="1"/>
    <col min="113" max="113" width="8" bestFit="1" customWidth="1"/>
    <col min="114" max="114" width="8.7109375" bestFit="1" customWidth="1"/>
    <col min="115" max="115" width="7.5703125" bestFit="1" customWidth="1"/>
    <col min="116" max="116" width="8.5703125" bestFit="1" customWidth="1"/>
    <col min="117" max="117" width="8" bestFit="1" customWidth="1"/>
    <col min="118" max="118" width="3.85546875" bestFit="1" customWidth="1"/>
    <col min="119" max="119" width="12.28515625" bestFit="1" customWidth="1"/>
    <col min="120" max="120" width="13.85546875" bestFit="1" customWidth="1"/>
    <col min="121" max="121" width="5" bestFit="1" customWidth="1"/>
    <col min="122" max="122" width="9" bestFit="1" customWidth="1"/>
    <col min="123" max="123" width="10.42578125" bestFit="1" customWidth="1"/>
    <col min="124" max="124" width="4.7109375" bestFit="1" customWidth="1"/>
    <col min="125" max="125" width="8.7109375" bestFit="1" customWidth="1"/>
    <col min="126" max="126" width="5.140625" bestFit="1" customWidth="1"/>
    <col min="127" max="127" width="7.28515625" bestFit="1" customWidth="1"/>
    <col min="128" max="128" width="11.42578125" bestFit="1" customWidth="1"/>
    <col min="129" max="129" width="8.28515625" bestFit="1" customWidth="1"/>
    <col min="130" max="130" width="12.5703125" bestFit="1" customWidth="1"/>
    <col min="131" max="131" width="12.140625" bestFit="1" customWidth="1"/>
    <col min="132" max="132" width="14" bestFit="1" customWidth="1"/>
    <col min="133" max="133" width="12.140625" bestFit="1" customWidth="1"/>
    <col min="134" max="134" width="10.85546875" bestFit="1" customWidth="1"/>
    <col min="135" max="135" width="15.28515625" bestFit="1" customWidth="1"/>
    <col min="136" max="136" width="9" bestFit="1" customWidth="1"/>
    <col min="137" max="137" width="7.7109375" bestFit="1" customWidth="1"/>
    <col min="138" max="138" width="9.28515625" bestFit="1" customWidth="1"/>
    <col min="139" max="139" width="10.42578125" bestFit="1" customWidth="1"/>
    <col min="140" max="140" width="8.7109375" bestFit="1" customWidth="1"/>
    <col min="141" max="141" width="16.5703125" bestFit="1" customWidth="1"/>
    <col min="142" max="142" width="9.7109375" bestFit="1" customWidth="1"/>
    <col min="143" max="143" width="10.28515625" bestFit="1" customWidth="1"/>
    <col min="144" max="144" width="13.85546875" bestFit="1" customWidth="1"/>
    <col min="145" max="145" width="8" bestFit="1" customWidth="1"/>
    <col min="146" max="146" width="7.140625" bestFit="1" customWidth="1"/>
    <col min="147" max="147" width="10" bestFit="1" customWidth="1"/>
    <col min="148" max="148" width="8.140625" bestFit="1" customWidth="1"/>
    <col min="149" max="149" width="9.28515625" bestFit="1" customWidth="1"/>
    <col min="150" max="150" width="8.7109375" bestFit="1" customWidth="1"/>
    <col min="151" max="151" width="5.7109375" bestFit="1" customWidth="1"/>
    <col min="152" max="152" width="6.28515625" bestFit="1" customWidth="1"/>
    <col min="153" max="153" width="9" bestFit="1" customWidth="1"/>
    <col min="154" max="154" width="10.140625" bestFit="1" customWidth="1"/>
    <col min="155" max="155" width="6.85546875" bestFit="1" customWidth="1"/>
    <col min="156" max="156" width="12.85546875" bestFit="1" customWidth="1"/>
    <col min="157" max="157" width="6.28515625" bestFit="1" customWidth="1"/>
    <col min="158" max="158" width="15" bestFit="1" customWidth="1"/>
    <col min="159" max="159" width="11.85546875" bestFit="1" customWidth="1"/>
    <col min="160" max="160" width="10.140625" bestFit="1" customWidth="1"/>
    <col min="161" max="161" width="10.42578125" bestFit="1" customWidth="1"/>
    <col min="163" max="163" width="5.85546875" bestFit="1" customWidth="1"/>
    <col min="164" max="164" width="17.28515625" bestFit="1" customWidth="1"/>
    <col min="165" max="165" width="4.140625" bestFit="1" customWidth="1"/>
    <col min="166" max="166" width="8.140625" bestFit="1" customWidth="1"/>
    <col min="167" max="167" width="11.28515625" bestFit="1" customWidth="1"/>
    <col min="168" max="168" width="8.42578125" bestFit="1" customWidth="1"/>
    <col min="169" max="169" width="7" bestFit="1" customWidth="1"/>
    <col min="170" max="170" width="6.7109375" bestFit="1" customWidth="1"/>
    <col min="171" max="171" width="8.42578125" bestFit="1" customWidth="1"/>
    <col min="172" max="172" width="7.28515625" bestFit="1" customWidth="1"/>
    <col min="173" max="173" width="5.85546875" bestFit="1" customWidth="1"/>
    <col min="174" max="174" width="7.7109375" bestFit="1" customWidth="1"/>
    <col min="176" max="176" width="8.28515625" bestFit="1" customWidth="1"/>
    <col min="177" max="177" width="9.42578125" bestFit="1" customWidth="1"/>
    <col min="178" max="178" width="9.7109375" bestFit="1" customWidth="1"/>
    <col min="179" max="179" width="11.28515625" bestFit="1" customWidth="1"/>
    <col min="180" max="180" width="5.5703125" bestFit="1" customWidth="1"/>
    <col min="181" max="181" width="15.85546875" bestFit="1" customWidth="1"/>
    <col min="182" max="182" width="8.5703125" bestFit="1" customWidth="1"/>
    <col min="183" max="183" width="10.5703125" bestFit="1" customWidth="1"/>
    <col min="184" max="184" width="8.42578125" bestFit="1" customWidth="1"/>
    <col min="185" max="185" width="8.7109375" bestFit="1" customWidth="1"/>
    <col min="186" max="186" width="8.28515625" bestFit="1" customWidth="1"/>
    <col min="187" max="187" width="19.5703125" bestFit="1" customWidth="1"/>
    <col min="188" max="188" width="13.140625" bestFit="1" customWidth="1"/>
    <col min="189" max="189" width="8.28515625" bestFit="1" customWidth="1"/>
    <col min="190" max="190" width="13.140625" bestFit="1" customWidth="1"/>
    <col min="191" max="191" width="8.85546875" bestFit="1" customWidth="1"/>
    <col min="192" max="192" width="4.7109375" bestFit="1" customWidth="1"/>
    <col min="193" max="193" width="11.28515625" bestFit="1" customWidth="1"/>
  </cols>
  <sheetData>
    <row r="3" spans="1:193" x14ac:dyDescent="0.25">
      <c r="A3" s="2" t="s">
        <v>4111</v>
      </c>
      <c r="B3" s="2" t="s">
        <v>4112</v>
      </c>
    </row>
    <row r="4" spans="1:193" x14ac:dyDescent="0.25">
      <c r="A4" s="2" t="s">
        <v>4107</v>
      </c>
      <c r="B4" t="s">
        <v>3225</v>
      </c>
      <c r="C4" t="s">
        <v>3299</v>
      </c>
      <c r="D4" t="s">
        <v>3220</v>
      </c>
      <c r="E4" t="s">
        <v>3226</v>
      </c>
      <c r="F4" t="s">
        <v>3322</v>
      </c>
      <c r="G4" t="s">
        <v>3316</v>
      </c>
      <c r="H4" t="s">
        <v>3221</v>
      </c>
      <c r="I4" t="s">
        <v>3350</v>
      </c>
      <c r="J4" t="s">
        <v>3265</v>
      </c>
      <c r="K4" t="s">
        <v>3218</v>
      </c>
      <c r="L4" t="s">
        <v>3211</v>
      </c>
      <c r="M4" t="s">
        <v>3227</v>
      </c>
      <c r="N4" t="s">
        <v>3255</v>
      </c>
      <c r="O4" t="s">
        <v>3297</v>
      </c>
      <c r="P4" t="s">
        <v>3280</v>
      </c>
      <c r="Q4" t="s">
        <v>3244</v>
      </c>
      <c r="R4" t="s">
        <v>3323</v>
      </c>
      <c r="S4" t="s">
        <v>3222</v>
      </c>
      <c r="T4" t="s">
        <v>3397</v>
      </c>
      <c r="U4" t="s">
        <v>3330</v>
      </c>
      <c r="V4" t="s">
        <v>3228</v>
      </c>
      <c r="W4" t="s">
        <v>3277</v>
      </c>
      <c r="X4" t="s">
        <v>3288</v>
      </c>
      <c r="Y4" t="s">
        <v>3295</v>
      </c>
      <c r="Z4" t="s">
        <v>3254</v>
      </c>
      <c r="AA4" t="s">
        <v>3377</v>
      </c>
      <c r="AB4" t="s">
        <v>3229</v>
      </c>
      <c r="AC4" t="s">
        <v>3352</v>
      </c>
      <c r="AD4" t="s">
        <v>3357</v>
      </c>
      <c r="AE4" t="s">
        <v>3387</v>
      </c>
      <c r="AF4" t="s">
        <v>3375</v>
      </c>
      <c r="AG4" t="s">
        <v>3358</v>
      </c>
      <c r="AH4" t="s">
        <v>3360</v>
      </c>
      <c r="AI4" t="s">
        <v>3242</v>
      </c>
      <c r="AJ4" t="s">
        <v>3272</v>
      </c>
      <c r="AK4" t="s">
        <v>3298</v>
      </c>
      <c r="AL4" t="s">
        <v>3276</v>
      </c>
      <c r="AM4" t="s">
        <v>3230</v>
      </c>
      <c r="AN4" t="s">
        <v>3362</v>
      </c>
      <c r="AO4" t="s">
        <v>3292</v>
      </c>
      <c r="AP4" t="s">
        <v>3237</v>
      </c>
      <c r="AQ4" t="s">
        <v>3315</v>
      </c>
      <c r="AR4" t="s">
        <v>3388</v>
      </c>
      <c r="AS4" t="s">
        <v>3311</v>
      </c>
      <c r="AT4" t="s">
        <v>3383</v>
      </c>
      <c r="AU4" t="s">
        <v>3324</v>
      </c>
      <c r="AV4" t="s">
        <v>3260</v>
      </c>
      <c r="AW4" t="s">
        <v>3338</v>
      </c>
      <c r="AX4" t="s">
        <v>3321</v>
      </c>
      <c r="AY4" t="s">
        <v>3341</v>
      </c>
      <c r="AZ4" t="s">
        <v>3248</v>
      </c>
      <c r="BA4" t="s">
        <v>3339</v>
      </c>
      <c r="BB4" t="s">
        <v>3266</v>
      </c>
      <c r="BC4" t="s">
        <v>3283</v>
      </c>
      <c r="BD4" t="s">
        <v>3223</v>
      </c>
      <c r="BE4" t="s">
        <v>3334</v>
      </c>
      <c r="BF4" t="s">
        <v>3214</v>
      </c>
      <c r="BG4" t="s">
        <v>3286</v>
      </c>
      <c r="BH4" t="s">
        <v>3306</v>
      </c>
      <c r="BI4" t="s">
        <v>3359</v>
      </c>
      <c r="BJ4" t="s">
        <v>3235</v>
      </c>
      <c r="BK4" t="s">
        <v>3307</v>
      </c>
      <c r="BL4" t="s">
        <v>3393</v>
      </c>
      <c r="BM4" t="s">
        <v>3355</v>
      </c>
      <c r="BN4" t="s">
        <v>3332</v>
      </c>
      <c r="BO4" t="s">
        <v>3271</v>
      </c>
      <c r="BP4" t="s">
        <v>3241</v>
      </c>
      <c r="BQ4" t="s">
        <v>3302</v>
      </c>
      <c r="BR4" t="s">
        <v>3356</v>
      </c>
      <c r="BS4" t="s">
        <v>3365</v>
      </c>
      <c r="BT4" t="s">
        <v>3219</v>
      </c>
      <c r="BU4" t="s">
        <v>3245</v>
      </c>
      <c r="BV4" t="s">
        <v>3285</v>
      </c>
      <c r="BW4" t="s">
        <v>3379</v>
      </c>
      <c r="BX4" t="s">
        <v>3258</v>
      </c>
      <c r="BY4" t="s">
        <v>3236</v>
      </c>
      <c r="BZ4" t="s">
        <v>3231</v>
      </c>
      <c r="CA4" t="s">
        <v>3336</v>
      </c>
      <c r="CB4" t="s">
        <v>3349</v>
      </c>
      <c r="CC4" t="s">
        <v>3212</v>
      </c>
      <c r="CD4" t="s">
        <v>3279</v>
      </c>
      <c r="CE4" t="s">
        <v>3318</v>
      </c>
      <c r="CF4" t="s">
        <v>3320</v>
      </c>
      <c r="CG4" t="s">
        <v>3274</v>
      </c>
      <c r="CH4" t="s">
        <v>3347</v>
      </c>
      <c r="CI4" t="s">
        <v>3284</v>
      </c>
      <c r="CJ4" t="s">
        <v>3253</v>
      </c>
      <c r="CK4" t="s">
        <v>3246</v>
      </c>
      <c r="CL4" t="s">
        <v>3354</v>
      </c>
      <c r="CM4" t="s">
        <v>3270</v>
      </c>
      <c r="CN4" t="s">
        <v>3239</v>
      </c>
      <c r="CO4" t="s">
        <v>3249</v>
      </c>
      <c r="CP4" t="s">
        <v>3215</v>
      </c>
      <c r="CQ4" t="s">
        <v>3398</v>
      </c>
      <c r="CR4" t="s">
        <v>3310</v>
      </c>
      <c r="CS4" t="s">
        <v>3396</v>
      </c>
      <c r="CT4" t="s">
        <v>3343</v>
      </c>
      <c r="CU4" t="s">
        <v>3329</v>
      </c>
      <c r="CV4" t="s">
        <v>3369</v>
      </c>
      <c r="CW4" t="s">
        <v>3257</v>
      </c>
      <c r="CX4" t="s">
        <v>3240</v>
      </c>
      <c r="CY4" t="s">
        <v>3268</v>
      </c>
      <c r="CZ4" t="s">
        <v>3361</v>
      </c>
      <c r="DA4" t="s">
        <v>3363</v>
      </c>
      <c r="DB4" t="s">
        <v>3380</v>
      </c>
      <c r="DC4" t="s">
        <v>3326</v>
      </c>
      <c r="DD4" t="s">
        <v>3261</v>
      </c>
      <c r="DE4" t="s">
        <v>3319</v>
      </c>
      <c r="DF4" t="s">
        <v>3290</v>
      </c>
      <c r="DG4" t="s">
        <v>3275</v>
      </c>
      <c r="DH4" t="s">
        <v>3256</v>
      </c>
      <c r="DI4" t="s">
        <v>3303</v>
      </c>
      <c r="DJ4" t="s">
        <v>3333</v>
      </c>
      <c r="DK4" t="s">
        <v>3282</v>
      </c>
      <c r="DL4" t="s">
        <v>3251</v>
      </c>
      <c r="DM4" t="s">
        <v>3364</v>
      </c>
      <c r="DN4" t="s">
        <v>3216</v>
      </c>
      <c r="DO4" t="s">
        <v>3378</v>
      </c>
      <c r="DP4" t="s">
        <v>3293</v>
      </c>
      <c r="DQ4" t="s">
        <v>3232</v>
      </c>
      <c r="DR4" t="s">
        <v>3346</v>
      </c>
      <c r="DS4" t="s">
        <v>3250</v>
      </c>
      <c r="DT4" t="s">
        <v>3342</v>
      </c>
      <c r="DU4" t="s">
        <v>3335</v>
      </c>
      <c r="DV4" t="s">
        <v>3217</v>
      </c>
      <c r="DW4" t="s">
        <v>3328</v>
      </c>
      <c r="DX4" t="s">
        <v>3263</v>
      </c>
      <c r="DY4" t="s">
        <v>3317</v>
      </c>
      <c r="DZ4" t="s">
        <v>3382</v>
      </c>
      <c r="EA4" t="s">
        <v>3305</v>
      </c>
      <c r="EB4" t="s">
        <v>3374</v>
      </c>
      <c r="EC4" t="s">
        <v>3394</v>
      </c>
      <c r="ED4" t="s">
        <v>3291</v>
      </c>
      <c r="EE4" t="s">
        <v>3386</v>
      </c>
      <c r="EF4" t="s">
        <v>3209</v>
      </c>
      <c r="EG4" t="s">
        <v>3210</v>
      </c>
      <c r="EH4" t="s">
        <v>3264</v>
      </c>
      <c r="EI4" t="s">
        <v>3262</v>
      </c>
      <c r="EJ4" t="s">
        <v>3370</v>
      </c>
      <c r="EK4" t="s">
        <v>3390</v>
      </c>
      <c r="EL4" t="s">
        <v>3301</v>
      </c>
      <c r="EM4" t="s">
        <v>3289</v>
      </c>
      <c r="EN4" t="s">
        <v>3281</v>
      </c>
      <c r="EO4" t="s">
        <v>3309</v>
      </c>
      <c r="EP4" t="s">
        <v>3273</v>
      </c>
      <c r="EQ4" t="s">
        <v>3304</v>
      </c>
      <c r="ER4" t="s">
        <v>3208</v>
      </c>
      <c r="ES4" t="s">
        <v>3345</v>
      </c>
      <c r="ET4" t="s">
        <v>3372</v>
      </c>
      <c r="EU4" t="s">
        <v>3233</v>
      </c>
      <c r="EV4" t="s">
        <v>3269</v>
      </c>
      <c r="EW4" t="s">
        <v>3312</v>
      </c>
      <c r="EX4" t="s">
        <v>3296</v>
      </c>
      <c r="EY4" t="s">
        <v>3259</v>
      </c>
      <c r="EZ4" t="s">
        <v>3314</v>
      </c>
      <c r="FA4" t="s">
        <v>3392</v>
      </c>
      <c r="FB4" t="s">
        <v>3373</v>
      </c>
      <c r="FC4" t="s">
        <v>3252</v>
      </c>
      <c r="FD4" t="s">
        <v>3325</v>
      </c>
      <c r="FE4" t="s">
        <v>3247</v>
      </c>
      <c r="FF4" t="s">
        <v>3351</v>
      </c>
      <c r="FG4" t="s">
        <v>3340</v>
      </c>
      <c r="FH4" t="s">
        <v>3389</v>
      </c>
      <c r="FI4" t="s">
        <v>3395</v>
      </c>
      <c r="FJ4" t="s">
        <v>3213</v>
      </c>
      <c r="FK4" t="s">
        <v>3294</v>
      </c>
      <c r="FL4" t="s">
        <v>3238</v>
      </c>
      <c r="FM4" t="s">
        <v>3234</v>
      </c>
      <c r="FN4" t="s">
        <v>3376</v>
      </c>
      <c r="FO4" t="s">
        <v>3344</v>
      </c>
      <c r="FP4" t="s">
        <v>3337</v>
      </c>
      <c r="FQ4" t="s">
        <v>3327</v>
      </c>
      <c r="FR4" t="s">
        <v>3348</v>
      </c>
      <c r="FS4" t="s">
        <v>3331</v>
      </c>
      <c r="FT4" t="s">
        <v>3224</v>
      </c>
      <c r="FU4" t="s">
        <v>3367</v>
      </c>
      <c r="FV4" t="s">
        <v>3371</v>
      </c>
      <c r="FW4" t="s">
        <v>3243</v>
      </c>
      <c r="FX4" t="s">
        <v>3287</v>
      </c>
      <c r="FY4" t="s">
        <v>3385</v>
      </c>
      <c r="FZ4" t="s">
        <v>3366</v>
      </c>
      <c r="GA4" t="s">
        <v>3353</v>
      </c>
      <c r="GB4" t="s">
        <v>3368</v>
      </c>
      <c r="GC4" t="s">
        <v>3381</v>
      </c>
      <c r="GD4" t="s">
        <v>3308</v>
      </c>
      <c r="GE4" t="s">
        <v>3391</v>
      </c>
      <c r="GF4" t="s">
        <v>3384</v>
      </c>
      <c r="GG4" t="s">
        <v>3313</v>
      </c>
      <c r="GH4" t="s">
        <v>3300</v>
      </c>
      <c r="GI4" t="s">
        <v>3278</v>
      </c>
      <c r="GJ4" t="s">
        <v>3267</v>
      </c>
      <c r="GK4" t="s">
        <v>4108</v>
      </c>
    </row>
    <row r="5" spans="1:193" x14ac:dyDescent="0.25">
      <c r="A5" s="3" t="s">
        <v>3402</v>
      </c>
      <c r="B5" s="4">
        <v>4</v>
      </c>
      <c r="C5" s="4">
        <v>1</v>
      </c>
      <c r="D5" s="4"/>
      <c r="E5" s="4"/>
      <c r="F5" s="4"/>
      <c r="G5" s="4"/>
      <c r="H5" s="4"/>
      <c r="I5" s="4"/>
      <c r="J5" s="4">
        <v>1</v>
      </c>
      <c r="K5" s="4"/>
      <c r="L5" s="4"/>
      <c r="M5" s="4">
        <v>1</v>
      </c>
      <c r="N5" s="4"/>
      <c r="O5" s="4"/>
      <c r="P5" s="4"/>
      <c r="Q5" s="4">
        <v>2</v>
      </c>
      <c r="R5" s="4"/>
      <c r="S5" s="4">
        <v>2</v>
      </c>
      <c r="T5" s="4"/>
      <c r="U5" s="4"/>
      <c r="V5" s="4"/>
      <c r="W5" s="4">
        <v>1</v>
      </c>
      <c r="X5" s="4"/>
      <c r="Y5" s="4"/>
      <c r="Z5" s="4"/>
      <c r="AA5" s="4"/>
      <c r="AB5" s="4">
        <v>1</v>
      </c>
      <c r="AC5" s="4"/>
      <c r="AD5" s="4"/>
      <c r="AE5" s="4"/>
      <c r="AF5" s="4"/>
      <c r="AG5" s="4"/>
      <c r="AH5" s="4"/>
      <c r="AI5" s="4">
        <v>1</v>
      </c>
      <c r="AJ5" s="4">
        <v>1</v>
      </c>
      <c r="AK5" s="4"/>
      <c r="AL5" s="4">
        <v>1</v>
      </c>
      <c r="AM5" s="4">
        <v>3</v>
      </c>
      <c r="AN5" s="4"/>
      <c r="AO5" s="4"/>
      <c r="AP5" s="4">
        <v>2</v>
      </c>
      <c r="AQ5" s="4"/>
      <c r="AR5" s="4"/>
      <c r="AS5" s="4"/>
      <c r="AT5" s="4"/>
      <c r="AU5" s="4"/>
      <c r="AV5" s="4">
        <v>2</v>
      </c>
      <c r="AW5" s="4"/>
      <c r="AX5" s="4"/>
      <c r="AY5" s="4">
        <v>1</v>
      </c>
      <c r="AZ5" s="4">
        <v>2</v>
      </c>
      <c r="BA5" s="4"/>
      <c r="BB5" s="4"/>
      <c r="BC5" s="4">
        <v>2</v>
      </c>
      <c r="BD5" s="4"/>
      <c r="BE5" s="4"/>
      <c r="BF5" s="4"/>
      <c r="BG5" s="4">
        <v>2</v>
      </c>
      <c r="BH5" s="4">
        <v>1</v>
      </c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>
        <v>2</v>
      </c>
      <c r="BV5" s="4"/>
      <c r="BW5" s="4"/>
      <c r="BX5" s="4"/>
      <c r="BY5" s="4"/>
      <c r="BZ5" s="4">
        <v>1</v>
      </c>
      <c r="CA5" s="4"/>
      <c r="CB5" s="4"/>
      <c r="CC5" s="4"/>
      <c r="CD5" s="4"/>
      <c r="CE5" s="4"/>
      <c r="CF5" s="4">
        <v>1</v>
      </c>
      <c r="CG5" s="4"/>
      <c r="CH5" s="4"/>
      <c r="CI5" s="4"/>
      <c r="CJ5" s="4"/>
      <c r="CK5" s="4"/>
      <c r="CL5" s="4"/>
      <c r="CM5" s="4">
        <v>3</v>
      </c>
      <c r="CN5" s="4">
        <v>2</v>
      </c>
      <c r="CO5" s="4"/>
      <c r="CP5" s="4"/>
      <c r="CQ5" s="4"/>
      <c r="CR5" s="4"/>
      <c r="CS5" s="4"/>
      <c r="CT5" s="4"/>
      <c r="CU5" s="4"/>
      <c r="CV5" s="4"/>
      <c r="CW5" s="4">
        <v>2</v>
      </c>
      <c r="CX5" s="4"/>
      <c r="CY5" s="4">
        <v>2</v>
      </c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>
        <v>1</v>
      </c>
      <c r="DL5" s="4"/>
      <c r="DM5" s="4"/>
      <c r="DN5" s="4"/>
      <c r="DO5" s="4"/>
      <c r="DP5" s="4"/>
      <c r="DQ5" s="4"/>
      <c r="DR5" s="4"/>
      <c r="DS5" s="4">
        <v>3</v>
      </c>
      <c r="DT5" s="4">
        <v>1</v>
      </c>
      <c r="DU5" s="4"/>
      <c r="DV5" s="4">
        <v>2</v>
      </c>
      <c r="DW5" s="4"/>
      <c r="DX5" s="4">
        <v>1</v>
      </c>
      <c r="DY5" s="4"/>
      <c r="DZ5" s="4"/>
      <c r="EA5" s="4"/>
      <c r="EB5" s="4">
        <v>1</v>
      </c>
      <c r="EC5" s="4"/>
      <c r="ED5" s="4">
        <v>1</v>
      </c>
      <c r="EE5" s="4">
        <v>1</v>
      </c>
      <c r="EF5" s="4"/>
      <c r="EG5" s="4">
        <v>2</v>
      </c>
      <c r="EH5" s="4">
        <v>1</v>
      </c>
      <c r="EI5" s="4">
        <v>1</v>
      </c>
      <c r="EJ5" s="4"/>
      <c r="EK5" s="4"/>
      <c r="EL5" s="4"/>
      <c r="EM5" s="4"/>
      <c r="EN5" s="4"/>
      <c r="EO5" s="4"/>
      <c r="EP5" s="4">
        <v>3</v>
      </c>
      <c r="EQ5" s="4"/>
      <c r="ER5" s="4">
        <v>2</v>
      </c>
      <c r="ES5" s="4"/>
      <c r="ET5" s="4"/>
      <c r="EU5" s="4">
        <v>2</v>
      </c>
      <c r="EV5" s="4"/>
      <c r="EW5" s="4"/>
      <c r="EX5" s="4"/>
      <c r="EY5" s="4"/>
      <c r="EZ5" s="4"/>
      <c r="FA5" s="4"/>
      <c r="FB5" s="4"/>
      <c r="FC5" s="4">
        <v>2</v>
      </c>
      <c r="FD5" s="4"/>
      <c r="FE5" s="4">
        <v>1</v>
      </c>
      <c r="FF5" s="4"/>
      <c r="FG5" s="4"/>
      <c r="FH5" s="4"/>
      <c r="FI5" s="4"/>
      <c r="FJ5" s="4"/>
      <c r="FK5" s="4"/>
      <c r="FL5" s="4">
        <v>1</v>
      </c>
      <c r="FM5" s="4"/>
      <c r="FN5" s="4"/>
      <c r="FO5" s="4"/>
      <c r="FP5" s="4"/>
      <c r="FQ5" s="4">
        <v>1</v>
      </c>
      <c r="FR5" s="4"/>
      <c r="FS5" s="4"/>
      <c r="FT5" s="4">
        <v>1</v>
      </c>
      <c r="FU5" s="4"/>
      <c r="FV5" s="4"/>
      <c r="FW5" s="4"/>
      <c r="FX5" s="4"/>
      <c r="FY5" s="4"/>
      <c r="FZ5" s="4"/>
      <c r="GA5" s="4"/>
      <c r="GB5" s="4"/>
      <c r="GC5" s="4">
        <v>1</v>
      </c>
      <c r="GD5" s="4"/>
      <c r="GE5" s="4"/>
      <c r="GF5" s="4"/>
      <c r="GG5" s="4"/>
      <c r="GH5" s="4"/>
      <c r="GI5" s="4">
        <v>2</v>
      </c>
      <c r="GJ5" s="4"/>
      <c r="GK5" s="4">
        <v>75</v>
      </c>
    </row>
    <row r="6" spans="1:193" x14ac:dyDescent="0.25">
      <c r="A6" s="3" t="s">
        <v>3401</v>
      </c>
      <c r="B6" s="4">
        <v>3</v>
      </c>
      <c r="C6" s="4"/>
      <c r="D6" s="4"/>
      <c r="E6" s="4"/>
      <c r="F6" s="4"/>
      <c r="G6" s="4"/>
      <c r="H6" s="4"/>
      <c r="I6" s="4"/>
      <c r="J6" s="4">
        <v>2</v>
      </c>
      <c r="K6" s="4">
        <v>1</v>
      </c>
      <c r="L6" s="4">
        <v>2</v>
      </c>
      <c r="M6" s="4"/>
      <c r="N6" s="4"/>
      <c r="O6" s="4"/>
      <c r="P6" s="4">
        <v>1</v>
      </c>
      <c r="Q6" s="4"/>
      <c r="R6" s="4"/>
      <c r="S6" s="4"/>
      <c r="T6" s="4">
        <v>2</v>
      </c>
      <c r="U6" s="4">
        <v>1</v>
      </c>
      <c r="V6" s="4">
        <v>1</v>
      </c>
      <c r="W6" s="4"/>
      <c r="X6" s="4"/>
      <c r="Y6" s="4"/>
      <c r="Z6" s="4">
        <v>4</v>
      </c>
      <c r="AA6" s="4"/>
      <c r="AB6" s="4"/>
      <c r="AC6" s="4"/>
      <c r="AD6" s="4"/>
      <c r="AE6" s="4"/>
      <c r="AF6" s="4"/>
      <c r="AG6" s="4"/>
      <c r="AH6" s="4"/>
      <c r="AI6" s="4">
        <v>1</v>
      </c>
      <c r="AJ6" s="4">
        <v>3</v>
      </c>
      <c r="AK6" s="4"/>
      <c r="AL6" s="4">
        <v>2</v>
      </c>
      <c r="AM6" s="4"/>
      <c r="AN6" s="4"/>
      <c r="AO6" s="4"/>
      <c r="AP6" s="4">
        <v>4</v>
      </c>
      <c r="AQ6" s="4"/>
      <c r="AR6" s="4"/>
      <c r="AS6" s="4"/>
      <c r="AT6" s="4"/>
      <c r="AU6" s="4"/>
      <c r="AV6" s="4">
        <v>2</v>
      </c>
      <c r="AW6" s="4"/>
      <c r="AX6" s="4"/>
      <c r="AY6" s="4"/>
      <c r="AZ6" s="4">
        <v>2</v>
      </c>
      <c r="BA6" s="4"/>
      <c r="BB6" s="4">
        <v>1</v>
      </c>
      <c r="BC6" s="4">
        <v>1</v>
      </c>
      <c r="BD6" s="4"/>
      <c r="BE6" s="4"/>
      <c r="BF6" s="4">
        <v>1</v>
      </c>
      <c r="BG6" s="4"/>
      <c r="BH6" s="4"/>
      <c r="BI6" s="4"/>
      <c r="BJ6" s="4">
        <v>3</v>
      </c>
      <c r="BK6" s="4"/>
      <c r="BL6" s="4">
        <v>1</v>
      </c>
      <c r="BM6" s="4"/>
      <c r="BN6" s="4"/>
      <c r="BO6" s="4"/>
      <c r="BP6" s="4"/>
      <c r="BQ6" s="4"/>
      <c r="BR6" s="4"/>
      <c r="BS6" s="4">
        <v>1</v>
      </c>
      <c r="BT6" s="4">
        <v>1</v>
      </c>
      <c r="BU6" s="4">
        <v>2</v>
      </c>
      <c r="BV6" s="4"/>
      <c r="BW6" s="4"/>
      <c r="BX6" s="4">
        <v>2</v>
      </c>
      <c r="BY6" s="4"/>
      <c r="BZ6" s="4">
        <v>11</v>
      </c>
      <c r="CA6" s="4">
        <v>1</v>
      </c>
      <c r="CB6" s="4"/>
      <c r="CC6" s="4"/>
      <c r="CD6" s="4"/>
      <c r="CE6" s="4"/>
      <c r="CF6" s="4"/>
      <c r="CG6" s="4"/>
      <c r="CH6" s="4"/>
      <c r="CI6" s="4">
        <v>2</v>
      </c>
      <c r="CJ6" s="4"/>
      <c r="CK6" s="4">
        <v>1</v>
      </c>
      <c r="CL6" s="4"/>
      <c r="CM6" s="4"/>
      <c r="CN6" s="4">
        <v>1</v>
      </c>
      <c r="CO6" s="4">
        <v>3</v>
      </c>
      <c r="CP6" s="4">
        <v>1</v>
      </c>
      <c r="CQ6" s="4">
        <v>4</v>
      </c>
      <c r="CR6" s="4"/>
      <c r="CS6" s="4">
        <v>2</v>
      </c>
      <c r="CT6" s="4"/>
      <c r="CU6" s="4"/>
      <c r="CV6" s="4">
        <v>1</v>
      </c>
      <c r="CW6" s="4"/>
      <c r="CX6" s="4">
        <v>2</v>
      </c>
      <c r="CY6" s="4"/>
      <c r="CZ6" s="4"/>
      <c r="DA6" s="4"/>
      <c r="DB6" s="4"/>
      <c r="DC6" s="4"/>
      <c r="DD6" s="4">
        <v>2</v>
      </c>
      <c r="DE6" s="4">
        <v>1</v>
      </c>
      <c r="DF6" s="4"/>
      <c r="DG6" s="4"/>
      <c r="DH6" s="4"/>
      <c r="DI6" s="4"/>
      <c r="DJ6" s="4"/>
      <c r="DK6" s="4"/>
      <c r="DL6" s="4"/>
      <c r="DM6" s="4"/>
      <c r="DN6" s="4">
        <v>15</v>
      </c>
      <c r="DO6" s="4"/>
      <c r="DP6" s="4"/>
      <c r="DQ6" s="4"/>
      <c r="DR6" s="4"/>
      <c r="DS6" s="4">
        <v>1</v>
      </c>
      <c r="DT6" s="4"/>
      <c r="DU6" s="4"/>
      <c r="DV6" s="4"/>
      <c r="DW6" s="4"/>
      <c r="DX6" s="4">
        <v>1</v>
      </c>
      <c r="DY6" s="4"/>
      <c r="DZ6" s="4"/>
      <c r="EA6" s="4">
        <v>1</v>
      </c>
      <c r="EB6" s="4"/>
      <c r="EC6" s="4"/>
      <c r="ED6" s="4"/>
      <c r="EE6" s="4"/>
      <c r="EF6" s="4">
        <v>2</v>
      </c>
      <c r="EG6" s="4">
        <v>5</v>
      </c>
      <c r="EH6" s="4">
        <v>2</v>
      </c>
      <c r="EI6" s="4">
        <v>2</v>
      </c>
      <c r="EJ6" s="4"/>
      <c r="EK6" s="4"/>
      <c r="EL6" s="4">
        <v>1</v>
      </c>
      <c r="EM6" s="4">
        <v>1</v>
      </c>
      <c r="EN6" s="4">
        <v>1</v>
      </c>
      <c r="EO6" s="4"/>
      <c r="EP6" s="4">
        <v>1</v>
      </c>
      <c r="EQ6" s="4"/>
      <c r="ER6" s="4">
        <v>8</v>
      </c>
      <c r="ES6" s="4"/>
      <c r="ET6" s="4"/>
      <c r="EU6" s="4">
        <v>1</v>
      </c>
      <c r="EV6" s="4">
        <v>1</v>
      </c>
      <c r="EW6" s="4"/>
      <c r="EX6" s="4"/>
      <c r="EY6" s="4">
        <v>1</v>
      </c>
      <c r="EZ6" s="4"/>
      <c r="FA6" s="4"/>
      <c r="FB6" s="4">
        <v>1</v>
      </c>
      <c r="FC6" s="4"/>
      <c r="FD6" s="4"/>
      <c r="FE6" s="4"/>
      <c r="FF6" s="4"/>
      <c r="FG6" s="4"/>
      <c r="FH6" s="4"/>
      <c r="FI6" s="4">
        <v>3</v>
      </c>
      <c r="FJ6" s="4"/>
      <c r="FK6" s="4"/>
      <c r="FL6" s="4">
        <v>6</v>
      </c>
      <c r="FM6" s="4"/>
      <c r="FN6" s="4"/>
      <c r="FO6" s="4"/>
      <c r="FP6" s="4">
        <v>1</v>
      </c>
      <c r="FQ6" s="4"/>
      <c r="FR6" s="4"/>
      <c r="FS6" s="4"/>
      <c r="FT6" s="4">
        <v>1</v>
      </c>
      <c r="FU6" s="4"/>
      <c r="FV6" s="4"/>
      <c r="FW6" s="4">
        <v>1</v>
      </c>
      <c r="FX6" s="4"/>
      <c r="FY6" s="4"/>
      <c r="FZ6" s="4"/>
      <c r="GA6" s="4">
        <v>1</v>
      </c>
      <c r="GB6" s="4"/>
      <c r="GC6" s="4"/>
      <c r="GD6" s="4"/>
      <c r="GE6" s="4"/>
      <c r="GF6" s="4">
        <v>1</v>
      </c>
      <c r="GG6" s="4"/>
      <c r="GH6" s="4"/>
      <c r="GI6" s="4"/>
      <c r="GJ6" s="4"/>
      <c r="GK6" s="4">
        <v>135</v>
      </c>
    </row>
    <row r="7" spans="1:193" x14ac:dyDescent="0.25">
      <c r="A7" s="3" t="s">
        <v>3403</v>
      </c>
      <c r="B7" s="4"/>
      <c r="C7" s="4"/>
      <c r="D7" s="4"/>
      <c r="E7" s="4"/>
      <c r="F7" s="4"/>
      <c r="G7" s="4"/>
      <c r="H7" s="4"/>
      <c r="I7" s="4"/>
      <c r="J7" s="4">
        <v>1</v>
      </c>
      <c r="K7" s="4"/>
      <c r="L7" s="4"/>
      <c r="M7" s="4">
        <v>1</v>
      </c>
      <c r="N7" s="4"/>
      <c r="O7" s="4"/>
      <c r="P7" s="4"/>
      <c r="Q7" s="4">
        <v>1</v>
      </c>
      <c r="R7" s="4"/>
      <c r="S7" s="4"/>
      <c r="T7" s="4"/>
      <c r="U7" s="4"/>
      <c r="V7" s="4"/>
      <c r="W7" s="4">
        <v>1</v>
      </c>
      <c r="X7" s="4"/>
      <c r="Y7" s="4"/>
      <c r="Z7" s="4"/>
      <c r="AA7" s="4"/>
      <c r="AB7" s="4">
        <v>2</v>
      </c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>
        <v>3</v>
      </c>
      <c r="AQ7" s="4"/>
      <c r="AR7" s="4"/>
      <c r="AS7" s="4"/>
      <c r="AT7" s="4"/>
      <c r="AU7" s="4"/>
      <c r="AV7" s="4">
        <v>3</v>
      </c>
      <c r="AW7" s="4"/>
      <c r="AX7" s="4"/>
      <c r="AY7" s="4"/>
      <c r="AZ7" s="4">
        <v>2</v>
      </c>
      <c r="BA7" s="4"/>
      <c r="BB7" s="4">
        <v>1</v>
      </c>
      <c r="BC7" s="4"/>
      <c r="BD7" s="4">
        <v>2</v>
      </c>
      <c r="BE7" s="4"/>
      <c r="BF7" s="4">
        <v>1</v>
      </c>
      <c r="BG7" s="4"/>
      <c r="BH7" s="4"/>
      <c r="BI7" s="4"/>
      <c r="BJ7" s="4"/>
      <c r="BK7" s="4"/>
      <c r="BL7" s="4"/>
      <c r="BM7" s="4"/>
      <c r="BN7" s="4">
        <v>1</v>
      </c>
      <c r="BO7" s="4"/>
      <c r="BP7" s="4">
        <v>1</v>
      </c>
      <c r="BQ7" s="4"/>
      <c r="BR7" s="4"/>
      <c r="BS7" s="4"/>
      <c r="BT7" s="4"/>
      <c r="BU7" s="4">
        <v>1</v>
      </c>
      <c r="BV7" s="4"/>
      <c r="BW7" s="4"/>
      <c r="BX7" s="4"/>
      <c r="BY7" s="4"/>
      <c r="BZ7" s="4">
        <v>2</v>
      </c>
      <c r="CA7" s="4"/>
      <c r="CB7" s="4"/>
      <c r="CC7" s="4"/>
      <c r="CD7" s="4">
        <v>2</v>
      </c>
      <c r="CE7" s="4"/>
      <c r="CF7" s="4"/>
      <c r="CG7" s="4">
        <v>1</v>
      </c>
      <c r="CH7" s="4"/>
      <c r="CI7" s="4">
        <v>2</v>
      </c>
      <c r="CJ7" s="4"/>
      <c r="CK7" s="4">
        <v>3</v>
      </c>
      <c r="CL7" s="4"/>
      <c r="CM7" s="4"/>
      <c r="CN7" s="4">
        <v>3</v>
      </c>
      <c r="CO7" s="4">
        <v>1</v>
      </c>
      <c r="CP7" s="4">
        <v>1</v>
      </c>
      <c r="CQ7" s="4"/>
      <c r="CR7" s="4"/>
      <c r="CS7" s="4"/>
      <c r="CT7" s="4"/>
      <c r="CU7" s="4"/>
      <c r="CV7" s="4"/>
      <c r="CW7" s="4"/>
      <c r="CX7" s="4"/>
      <c r="CY7" s="4">
        <v>4</v>
      </c>
      <c r="CZ7" s="4"/>
      <c r="DA7" s="4"/>
      <c r="DB7" s="4"/>
      <c r="DC7" s="4"/>
      <c r="DD7" s="4">
        <v>2</v>
      </c>
      <c r="DE7" s="4"/>
      <c r="DF7" s="4"/>
      <c r="DG7" s="4">
        <v>2</v>
      </c>
      <c r="DH7" s="4">
        <v>2</v>
      </c>
      <c r="DI7" s="4"/>
      <c r="DJ7" s="4"/>
      <c r="DK7" s="4"/>
      <c r="DL7" s="4">
        <v>2</v>
      </c>
      <c r="DM7" s="4"/>
      <c r="DN7" s="4"/>
      <c r="DO7" s="4">
        <v>1</v>
      </c>
      <c r="DP7" s="4">
        <v>1</v>
      </c>
      <c r="DQ7" s="4"/>
      <c r="DR7" s="4"/>
      <c r="DS7" s="4"/>
      <c r="DT7" s="4"/>
      <c r="DU7" s="4"/>
      <c r="DV7" s="4"/>
      <c r="DW7" s="4"/>
      <c r="DX7" s="4">
        <v>1</v>
      </c>
      <c r="DY7" s="4"/>
      <c r="DZ7" s="4"/>
      <c r="EA7" s="4"/>
      <c r="EB7" s="4"/>
      <c r="EC7" s="4"/>
      <c r="ED7" s="4"/>
      <c r="EE7" s="4"/>
      <c r="EF7" s="4"/>
      <c r="EG7" s="4">
        <v>1</v>
      </c>
      <c r="EH7" s="4">
        <v>2</v>
      </c>
      <c r="EI7" s="4">
        <v>1</v>
      </c>
      <c r="EJ7" s="4"/>
      <c r="EK7" s="4"/>
      <c r="EL7" s="4"/>
      <c r="EM7" s="4"/>
      <c r="EN7" s="4"/>
      <c r="EO7" s="4"/>
      <c r="EP7" s="4"/>
      <c r="EQ7" s="4"/>
      <c r="ER7" s="4">
        <v>7</v>
      </c>
      <c r="ES7" s="4"/>
      <c r="ET7" s="4"/>
      <c r="EU7" s="4"/>
      <c r="EV7" s="4"/>
      <c r="EW7" s="4"/>
      <c r="EX7" s="4"/>
      <c r="EY7" s="4"/>
      <c r="EZ7" s="4"/>
      <c r="FA7" s="4"/>
      <c r="FB7" s="4"/>
      <c r="FC7" s="4">
        <v>1</v>
      </c>
      <c r="FD7" s="4"/>
      <c r="FE7" s="4"/>
      <c r="FF7" s="4"/>
      <c r="FG7" s="4"/>
      <c r="FH7" s="4"/>
      <c r="FI7" s="4"/>
      <c r="FJ7" s="4">
        <v>2</v>
      </c>
      <c r="FK7" s="4"/>
      <c r="FL7" s="4"/>
      <c r="FM7" s="4">
        <v>2</v>
      </c>
      <c r="FN7" s="4"/>
      <c r="FO7" s="4"/>
      <c r="FP7" s="4"/>
      <c r="FQ7" s="4"/>
      <c r="FR7" s="4"/>
      <c r="FS7" s="4"/>
      <c r="FT7" s="4"/>
      <c r="FU7" s="4"/>
      <c r="FV7" s="4"/>
      <c r="FW7" s="4"/>
      <c r="FX7" s="4">
        <v>1</v>
      </c>
      <c r="FY7" s="4"/>
      <c r="FZ7" s="4">
        <v>1</v>
      </c>
      <c r="GA7" s="4"/>
      <c r="GB7" s="4"/>
      <c r="GC7" s="4"/>
      <c r="GD7" s="4"/>
      <c r="GE7" s="4"/>
      <c r="GF7" s="4"/>
      <c r="GG7" s="4"/>
      <c r="GH7" s="4"/>
      <c r="GI7" s="4"/>
      <c r="GJ7" s="4">
        <v>1</v>
      </c>
      <c r="GK7" s="4">
        <v>70</v>
      </c>
    </row>
    <row r="8" spans="1:193" x14ac:dyDescent="0.25">
      <c r="A8" s="3" t="s">
        <v>3432</v>
      </c>
      <c r="B8" s="4">
        <v>1</v>
      </c>
      <c r="C8" s="4"/>
      <c r="D8" s="4"/>
      <c r="E8" s="4">
        <v>2</v>
      </c>
      <c r="F8" s="4"/>
      <c r="G8" s="4"/>
      <c r="H8" s="4"/>
      <c r="I8" s="4"/>
      <c r="J8" s="4">
        <v>2</v>
      </c>
      <c r="K8" s="4">
        <v>2</v>
      </c>
      <c r="L8" s="4"/>
      <c r="M8" s="4"/>
      <c r="N8" s="4">
        <v>2</v>
      </c>
      <c r="O8" s="4">
        <v>1</v>
      </c>
      <c r="P8" s="4">
        <v>1</v>
      </c>
      <c r="Q8" s="4">
        <v>1</v>
      </c>
      <c r="R8" s="4"/>
      <c r="S8" s="4"/>
      <c r="T8" s="4">
        <v>2</v>
      </c>
      <c r="U8" s="4"/>
      <c r="V8" s="4"/>
      <c r="W8" s="4">
        <v>2</v>
      </c>
      <c r="X8" s="4"/>
      <c r="Y8" s="4">
        <v>1</v>
      </c>
      <c r="Z8" s="4"/>
      <c r="AA8" s="4"/>
      <c r="AB8" s="4">
        <v>1</v>
      </c>
      <c r="AC8" s="4">
        <v>1</v>
      </c>
      <c r="AD8" s="4"/>
      <c r="AE8" s="4"/>
      <c r="AF8" s="4"/>
      <c r="AG8" s="4"/>
      <c r="AH8" s="4"/>
      <c r="AI8" s="4"/>
      <c r="AJ8" s="4"/>
      <c r="AK8" s="4"/>
      <c r="AL8" s="4"/>
      <c r="AM8" s="4">
        <v>4</v>
      </c>
      <c r="AN8" s="4"/>
      <c r="AO8" s="4">
        <v>1</v>
      </c>
      <c r="AP8" s="4">
        <v>4</v>
      </c>
      <c r="AQ8" s="4"/>
      <c r="AR8" s="4"/>
      <c r="AS8" s="4"/>
      <c r="AT8" s="4"/>
      <c r="AU8" s="4"/>
      <c r="AV8" s="4">
        <v>4</v>
      </c>
      <c r="AW8" s="4"/>
      <c r="AX8" s="4">
        <v>1</v>
      </c>
      <c r="AY8" s="4">
        <v>1</v>
      </c>
      <c r="AZ8" s="4"/>
      <c r="BA8" s="4"/>
      <c r="BB8" s="4">
        <v>2</v>
      </c>
      <c r="BC8" s="4"/>
      <c r="BD8" s="4"/>
      <c r="BE8" s="4"/>
      <c r="BF8" s="4">
        <v>3</v>
      </c>
      <c r="BG8" s="4">
        <v>1</v>
      </c>
      <c r="BH8" s="4"/>
      <c r="BI8" s="4"/>
      <c r="BJ8" s="4">
        <v>1</v>
      </c>
      <c r="BK8" s="4">
        <v>1</v>
      </c>
      <c r="BL8" s="4">
        <v>3</v>
      </c>
      <c r="BM8" s="4">
        <v>1</v>
      </c>
      <c r="BN8" s="4"/>
      <c r="BO8" s="4">
        <v>1</v>
      </c>
      <c r="BP8" s="4">
        <v>2</v>
      </c>
      <c r="BQ8" s="4"/>
      <c r="BR8" s="4"/>
      <c r="BS8" s="4"/>
      <c r="BT8" s="4"/>
      <c r="BU8" s="4"/>
      <c r="BV8" s="4"/>
      <c r="BW8" s="4"/>
      <c r="BX8" s="4"/>
      <c r="BY8" s="4">
        <v>1</v>
      </c>
      <c r="BZ8" s="4">
        <v>11</v>
      </c>
      <c r="CA8" s="4"/>
      <c r="CB8" s="4"/>
      <c r="CC8" s="4"/>
      <c r="CD8" s="4">
        <v>1</v>
      </c>
      <c r="CE8" s="4"/>
      <c r="CF8" s="4"/>
      <c r="CG8" s="4">
        <v>2</v>
      </c>
      <c r="CH8" s="4"/>
      <c r="CI8" s="4">
        <v>1</v>
      </c>
      <c r="CJ8" s="4">
        <v>2</v>
      </c>
      <c r="CK8" s="4"/>
      <c r="CL8" s="4"/>
      <c r="CM8" s="4"/>
      <c r="CN8" s="4">
        <v>3</v>
      </c>
      <c r="CO8" s="4">
        <v>1</v>
      </c>
      <c r="CP8" s="4">
        <v>1</v>
      </c>
      <c r="CQ8" s="4">
        <v>5</v>
      </c>
      <c r="CR8" s="4">
        <v>1</v>
      </c>
      <c r="CS8" s="4">
        <v>2</v>
      </c>
      <c r="CT8" s="4"/>
      <c r="CU8" s="4"/>
      <c r="CV8" s="4"/>
      <c r="CW8" s="4"/>
      <c r="CX8" s="4">
        <v>2</v>
      </c>
      <c r="CY8" s="4">
        <v>2</v>
      </c>
      <c r="CZ8" s="4"/>
      <c r="DA8" s="4"/>
      <c r="DB8" s="4"/>
      <c r="DC8" s="4">
        <v>1</v>
      </c>
      <c r="DD8" s="4">
        <v>1</v>
      </c>
      <c r="DE8" s="4"/>
      <c r="DF8" s="4">
        <v>1</v>
      </c>
      <c r="DG8" s="4">
        <v>3</v>
      </c>
      <c r="DH8" s="4"/>
      <c r="DI8" s="4"/>
      <c r="DJ8" s="4"/>
      <c r="DK8" s="4">
        <v>1</v>
      </c>
      <c r="DL8" s="4"/>
      <c r="DM8" s="4"/>
      <c r="DN8" s="4">
        <v>9</v>
      </c>
      <c r="DO8" s="4"/>
      <c r="DP8" s="4"/>
      <c r="DQ8" s="4"/>
      <c r="DR8" s="4"/>
      <c r="DS8" s="4">
        <v>3</v>
      </c>
      <c r="DT8" s="4"/>
      <c r="DU8" s="4"/>
      <c r="DV8" s="4"/>
      <c r="DW8" s="4"/>
      <c r="DX8" s="4">
        <v>2</v>
      </c>
      <c r="DY8" s="4"/>
      <c r="DZ8" s="4"/>
      <c r="EA8" s="4"/>
      <c r="EB8" s="4"/>
      <c r="EC8" s="4"/>
      <c r="ED8" s="4"/>
      <c r="EE8" s="4"/>
      <c r="EF8" s="4"/>
      <c r="EG8" s="4">
        <v>4</v>
      </c>
      <c r="EH8" s="4">
        <v>3</v>
      </c>
      <c r="EI8" s="4">
        <v>1</v>
      </c>
      <c r="EJ8" s="4"/>
      <c r="EK8" s="4"/>
      <c r="EL8" s="4"/>
      <c r="EM8" s="4"/>
      <c r="EN8" s="4"/>
      <c r="EO8" s="4"/>
      <c r="EP8" s="4"/>
      <c r="EQ8" s="4"/>
      <c r="ER8" s="4">
        <v>10</v>
      </c>
      <c r="ES8" s="4"/>
      <c r="ET8" s="4"/>
      <c r="EU8" s="4">
        <v>2</v>
      </c>
      <c r="EV8" s="4"/>
      <c r="EW8" s="4"/>
      <c r="EX8" s="4">
        <v>1</v>
      </c>
      <c r="EY8" s="4">
        <v>2</v>
      </c>
      <c r="EZ8" s="4"/>
      <c r="FA8" s="4"/>
      <c r="FB8" s="4"/>
      <c r="FC8" s="4"/>
      <c r="FD8" s="4"/>
      <c r="FE8" s="4">
        <v>2</v>
      </c>
      <c r="FF8" s="4"/>
      <c r="FG8" s="4"/>
      <c r="FH8" s="4"/>
      <c r="FI8" s="4">
        <v>3</v>
      </c>
      <c r="FJ8" s="4"/>
      <c r="FK8" s="4">
        <v>1</v>
      </c>
      <c r="FL8" s="4">
        <v>3</v>
      </c>
      <c r="FM8" s="4">
        <v>1</v>
      </c>
      <c r="FN8" s="4"/>
      <c r="FO8" s="4"/>
      <c r="FP8" s="4"/>
      <c r="FQ8" s="4"/>
      <c r="FR8" s="4"/>
      <c r="FS8" s="4"/>
      <c r="FT8" s="4">
        <v>1</v>
      </c>
      <c r="FU8" s="4"/>
      <c r="FV8" s="4"/>
      <c r="FW8" s="4">
        <v>3</v>
      </c>
      <c r="FX8" s="4"/>
      <c r="FY8" s="4">
        <v>1</v>
      </c>
      <c r="FZ8" s="4"/>
      <c r="GA8" s="4"/>
      <c r="GB8" s="4"/>
      <c r="GC8" s="4"/>
      <c r="GD8" s="4"/>
      <c r="GE8" s="4"/>
      <c r="GF8" s="4"/>
      <c r="GG8" s="4"/>
      <c r="GH8" s="4"/>
      <c r="GI8" s="4"/>
      <c r="GJ8" s="4"/>
      <c r="GK8" s="4">
        <v>143</v>
      </c>
    </row>
    <row r="9" spans="1:193" x14ac:dyDescent="0.25">
      <c r="A9" s="3" t="s">
        <v>60</v>
      </c>
      <c r="B9" s="4"/>
      <c r="C9" s="4"/>
      <c r="D9" s="4">
        <v>3</v>
      </c>
      <c r="E9" s="4"/>
      <c r="F9" s="4"/>
      <c r="G9" s="4">
        <v>1</v>
      </c>
      <c r="H9" s="4">
        <v>2</v>
      </c>
      <c r="I9" s="4"/>
      <c r="J9" s="4"/>
      <c r="K9" s="4"/>
      <c r="L9" s="4"/>
      <c r="M9" s="4">
        <v>1</v>
      </c>
      <c r="N9" s="4"/>
      <c r="O9" s="4"/>
      <c r="P9" s="4"/>
      <c r="Q9" s="4"/>
      <c r="R9" s="4"/>
      <c r="S9" s="4">
        <v>2</v>
      </c>
      <c r="T9" s="4">
        <v>2</v>
      </c>
      <c r="U9" s="4"/>
      <c r="V9" s="4">
        <v>2</v>
      </c>
      <c r="W9" s="4"/>
      <c r="X9" s="4"/>
      <c r="Y9" s="4"/>
      <c r="Z9" s="4"/>
      <c r="AA9" s="4"/>
      <c r="AB9" s="4"/>
      <c r="AC9" s="4"/>
      <c r="AD9" s="4">
        <v>1</v>
      </c>
      <c r="AE9" s="4">
        <v>1</v>
      </c>
      <c r="AF9" s="4"/>
      <c r="AG9" s="4">
        <v>1</v>
      </c>
      <c r="AH9" s="4">
        <v>1</v>
      </c>
      <c r="AI9" s="4">
        <v>2</v>
      </c>
      <c r="AJ9" s="4"/>
      <c r="AK9" s="4">
        <v>1</v>
      </c>
      <c r="AL9" s="4"/>
      <c r="AM9" s="4">
        <v>1</v>
      </c>
      <c r="AN9" s="4"/>
      <c r="AO9" s="4"/>
      <c r="AP9" s="4">
        <v>5</v>
      </c>
      <c r="AQ9" s="4"/>
      <c r="AR9" s="4"/>
      <c r="AS9" s="4">
        <v>1</v>
      </c>
      <c r="AT9" s="4"/>
      <c r="AU9" s="4"/>
      <c r="AV9" s="4">
        <v>4</v>
      </c>
      <c r="AW9" s="4">
        <v>1</v>
      </c>
      <c r="AX9" s="4"/>
      <c r="AY9" s="4"/>
      <c r="AZ9" s="4">
        <v>3</v>
      </c>
      <c r="BA9" s="4"/>
      <c r="BB9" s="4">
        <v>2</v>
      </c>
      <c r="BC9" s="4"/>
      <c r="BD9" s="4"/>
      <c r="BE9" s="4"/>
      <c r="BF9" s="4"/>
      <c r="BG9" s="4"/>
      <c r="BH9" s="4"/>
      <c r="BI9" s="4">
        <v>1</v>
      </c>
      <c r="BJ9" s="4">
        <v>3</v>
      </c>
      <c r="BK9" s="4"/>
      <c r="BL9" s="4">
        <v>4</v>
      </c>
      <c r="BM9" s="4">
        <v>1</v>
      </c>
      <c r="BN9" s="4"/>
      <c r="BO9" s="4">
        <v>2</v>
      </c>
      <c r="BP9" s="4">
        <v>2</v>
      </c>
      <c r="BQ9" s="4">
        <v>2</v>
      </c>
      <c r="BR9" s="4">
        <v>1</v>
      </c>
      <c r="BS9" s="4"/>
      <c r="BT9" s="4">
        <v>1</v>
      </c>
      <c r="BU9" s="4">
        <v>2</v>
      </c>
      <c r="BV9" s="4">
        <v>3</v>
      </c>
      <c r="BW9" s="4"/>
      <c r="BX9" s="4"/>
      <c r="BY9" s="4">
        <v>4</v>
      </c>
      <c r="BZ9" s="4">
        <v>10</v>
      </c>
      <c r="CA9" s="4"/>
      <c r="CB9" s="4"/>
      <c r="CC9" s="4">
        <v>2</v>
      </c>
      <c r="CD9" s="4"/>
      <c r="CE9" s="4"/>
      <c r="CF9" s="4"/>
      <c r="CG9" s="4"/>
      <c r="CH9" s="4"/>
      <c r="CI9" s="4"/>
      <c r="CJ9" s="4">
        <v>4</v>
      </c>
      <c r="CK9" s="4"/>
      <c r="CL9" s="4"/>
      <c r="CM9" s="4">
        <v>1</v>
      </c>
      <c r="CN9" s="4">
        <v>4</v>
      </c>
      <c r="CO9" s="4">
        <v>2</v>
      </c>
      <c r="CP9" s="4">
        <v>1</v>
      </c>
      <c r="CQ9" s="4">
        <v>5</v>
      </c>
      <c r="CR9" s="4"/>
      <c r="CS9" s="4">
        <v>2</v>
      </c>
      <c r="CT9" s="4"/>
      <c r="CU9" s="4">
        <v>1</v>
      </c>
      <c r="CV9" s="4"/>
      <c r="CW9" s="4"/>
      <c r="CX9" s="4">
        <v>1</v>
      </c>
      <c r="CY9" s="4">
        <v>1</v>
      </c>
      <c r="CZ9" s="4"/>
      <c r="DA9" s="4">
        <v>1</v>
      </c>
      <c r="DB9" s="4"/>
      <c r="DC9" s="4"/>
      <c r="DD9" s="4">
        <v>1</v>
      </c>
      <c r="DE9" s="4"/>
      <c r="DF9" s="4">
        <v>1</v>
      </c>
      <c r="DG9" s="4"/>
      <c r="DH9" s="4"/>
      <c r="DI9" s="4"/>
      <c r="DJ9" s="4"/>
      <c r="DK9" s="4">
        <v>1</v>
      </c>
      <c r="DL9" s="4">
        <v>1</v>
      </c>
      <c r="DM9" s="4"/>
      <c r="DN9" s="4">
        <v>17</v>
      </c>
      <c r="DO9" s="4"/>
      <c r="DP9" s="4"/>
      <c r="DQ9" s="4">
        <v>3</v>
      </c>
      <c r="DR9" s="4"/>
      <c r="DS9" s="4">
        <v>2</v>
      </c>
      <c r="DT9" s="4"/>
      <c r="DU9" s="4"/>
      <c r="DV9" s="4">
        <v>1</v>
      </c>
      <c r="DW9" s="4"/>
      <c r="DX9" s="4">
        <v>1</v>
      </c>
      <c r="DY9" s="4"/>
      <c r="DZ9" s="4">
        <v>1</v>
      </c>
      <c r="EA9" s="4"/>
      <c r="EB9" s="4"/>
      <c r="EC9" s="4">
        <v>2</v>
      </c>
      <c r="ED9" s="4"/>
      <c r="EE9" s="4"/>
      <c r="EF9" s="4">
        <v>2</v>
      </c>
      <c r="EG9" s="4">
        <v>6</v>
      </c>
      <c r="EH9" s="4">
        <v>2</v>
      </c>
      <c r="EI9" s="4">
        <v>1</v>
      </c>
      <c r="EJ9" s="4"/>
      <c r="EK9" s="4"/>
      <c r="EL9" s="4"/>
      <c r="EM9" s="4"/>
      <c r="EN9" s="4">
        <v>3</v>
      </c>
      <c r="EO9" s="4"/>
      <c r="EP9" s="4">
        <v>2</v>
      </c>
      <c r="EQ9" s="4"/>
      <c r="ER9" s="4">
        <v>18</v>
      </c>
      <c r="ES9" s="4"/>
      <c r="ET9" s="4">
        <v>1</v>
      </c>
      <c r="EU9" s="4">
        <v>2</v>
      </c>
      <c r="EV9" s="4">
        <v>3</v>
      </c>
      <c r="EW9" s="4"/>
      <c r="EX9" s="4">
        <v>1</v>
      </c>
      <c r="EY9" s="4">
        <v>1</v>
      </c>
      <c r="EZ9" s="4"/>
      <c r="FA9" s="4">
        <v>1</v>
      </c>
      <c r="FB9" s="4"/>
      <c r="FC9" s="4"/>
      <c r="FD9" s="4">
        <v>1</v>
      </c>
      <c r="FE9" s="4">
        <v>1</v>
      </c>
      <c r="FF9" s="4"/>
      <c r="FG9" s="4"/>
      <c r="FH9" s="4"/>
      <c r="FI9" s="4">
        <v>3</v>
      </c>
      <c r="FJ9" s="4"/>
      <c r="FK9" s="4">
        <v>1</v>
      </c>
      <c r="FL9" s="4">
        <v>2</v>
      </c>
      <c r="FM9" s="4"/>
      <c r="FN9" s="4"/>
      <c r="FO9" s="4"/>
      <c r="FP9" s="4"/>
      <c r="FQ9" s="4"/>
      <c r="FR9" s="4"/>
      <c r="FS9" s="4"/>
      <c r="FT9" s="4">
        <v>3</v>
      </c>
      <c r="FU9" s="4"/>
      <c r="FV9" s="4"/>
      <c r="FW9" s="4"/>
      <c r="FX9" s="4"/>
      <c r="FY9" s="4"/>
      <c r="FZ9" s="4"/>
      <c r="GA9" s="4"/>
      <c r="GB9" s="4">
        <v>1</v>
      </c>
      <c r="GC9" s="4"/>
      <c r="GD9" s="4">
        <v>2</v>
      </c>
      <c r="GE9" s="4"/>
      <c r="GF9" s="4"/>
      <c r="GG9" s="4"/>
      <c r="GH9" s="4">
        <v>1</v>
      </c>
      <c r="GI9" s="4"/>
      <c r="GJ9" s="4">
        <v>1</v>
      </c>
      <c r="GK9" s="4">
        <v>188</v>
      </c>
    </row>
    <row r="10" spans="1:193" x14ac:dyDescent="0.25">
      <c r="A10" s="3" t="s">
        <v>4108</v>
      </c>
      <c r="B10" s="4">
        <v>8</v>
      </c>
      <c r="C10" s="4">
        <v>1</v>
      </c>
      <c r="D10" s="4">
        <v>3</v>
      </c>
      <c r="E10" s="4">
        <v>2</v>
      </c>
      <c r="F10" s="4"/>
      <c r="G10" s="4">
        <v>1</v>
      </c>
      <c r="H10" s="4">
        <v>2</v>
      </c>
      <c r="I10" s="4"/>
      <c r="J10" s="4">
        <v>6</v>
      </c>
      <c r="K10" s="4">
        <v>3</v>
      </c>
      <c r="L10" s="4">
        <v>2</v>
      </c>
      <c r="M10" s="4">
        <v>3</v>
      </c>
      <c r="N10" s="4">
        <v>2</v>
      </c>
      <c r="O10" s="4">
        <v>1</v>
      </c>
      <c r="P10" s="4">
        <v>2</v>
      </c>
      <c r="Q10" s="4">
        <v>4</v>
      </c>
      <c r="R10" s="4"/>
      <c r="S10" s="4">
        <v>4</v>
      </c>
      <c r="T10" s="4">
        <v>6</v>
      </c>
      <c r="U10" s="4">
        <v>1</v>
      </c>
      <c r="V10" s="4">
        <v>3</v>
      </c>
      <c r="W10" s="4">
        <v>4</v>
      </c>
      <c r="X10" s="4"/>
      <c r="Y10" s="4">
        <v>1</v>
      </c>
      <c r="Z10" s="4">
        <v>4</v>
      </c>
      <c r="AA10" s="4"/>
      <c r="AB10" s="4">
        <v>4</v>
      </c>
      <c r="AC10" s="4">
        <v>1</v>
      </c>
      <c r="AD10" s="4">
        <v>1</v>
      </c>
      <c r="AE10" s="4">
        <v>1</v>
      </c>
      <c r="AF10" s="4"/>
      <c r="AG10" s="4">
        <v>1</v>
      </c>
      <c r="AH10" s="4">
        <v>1</v>
      </c>
      <c r="AI10" s="4">
        <v>4</v>
      </c>
      <c r="AJ10" s="4">
        <v>4</v>
      </c>
      <c r="AK10" s="4">
        <v>1</v>
      </c>
      <c r="AL10" s="4">
        <v>3</v>
      </c>
      <c r="AM10" s="4">
        <v>8</v>
      </c>
      <c r="AN10" s="4"/>
      <c r="AO10" s="4">
        <v>1</v>
      </c>
      <c r="AP10" s="4">
        <v>18</v>
      </c>
      <c r="AQ10" s="4"/>
      <c r="AR10" s="4"/>
      <c r="AS10" s="4">
        <v>1</v>
      </c>
      <c r="AT10" s="4"/>
      <c r="AU10" s="4"/>
      <c r="AV10" s="4">
        <v>15</v>
      </c>
      <c r="AW10" s="4">
        <v>1</v>
      </c>
      <c r="AX10" s="4">
        <v>1</v>
      </c>
      <c r="AY10" s="4">
        <v>2</v>
      </c>
      <c r="AZ10" s="4">
        <v>9</v>
      </c>
      <c r="BA10" s="4"/>
      <c r="BB10" s="4">
        <v>6</v>
      </c>
      <c r="BC10" s="4">
        <v>3</v>
      </c>
      <c r="BD10" s="4">
        <v>2</v>
      </c>
      <c r="BE10" s="4"/>
      <c r="BF10" s="4">
        <v>5</v>
      </c>
      <c r="BG10" s="4">
        <v>3</v>
      </c>
      <c r="BH10" s="4">
        <v>1</v>
      </c>
      <c r="BI10" s="4">
        <v>1</v>
      </c>
      <c r="BJ10" s="4">
        <v>7</v>
      </c>
      <c r="BK10" s="4">
        <v>1</v>
      </c>
      <c r="BL10" s="4">
        <v>8</v>
      </c>
      <c r="BM10" s="4">
        <v>2</v>
      </c>
      <c r="BN10" s="4">
        <v>1</v>
      </c>
      <c r="BO10" s="4">
        <v>3</v>
      </c>
      <c r="BP10" s="4">
        <v>5</v>
      </c>
      <c r="BQ10" s="4">
        <v>2</v>
      </c>
      <c r="BR10" s="4">
        <v>1</v>
      </c>
      <c r="BS10" s="4">
        <v>1</v>
      </c>
      <c r="BT10" s="4">
        <v>2</v>
      </c>
      <c r="BU10" s="4">
        <v>7</v>
      </c>
      <c r="BV10" s="4">
        <v>3</v>
      </c>
      <c r="BW10" s="4"/>
      <c r="BX10" s="4">
        <v>2</v>
      </c>
      <c r="BY10" s="4">
        <v>5</v>
      </c>
      <c r="BZ10" s="4">
        <v>35</v>
      </c>
      <c r="CA10" s="4">
        <v>1</v>
      </c>
      <c r="CB10" s="4"/>
      <c r="CC10" s="4">
        <v>2</v>
      </c>
      <c r="CD10" s="4">
        <v>3</v>
      </c>
      <c r="CE10" s="4"/>
      <c r="CF10" s="4">
        <v>1</v>
      </c>
      <c r="CG10" s="4">
        <v>3</v>
      </c>
      <c r="CH10" s="4"/>
      <c r="CI10" s="4">
        <v>5</v>
      </c>
      <c r="CJ10" s="4">
        <v>6</v>
      </c>
      <c r="CK10" s="4">
        <v>4</v>
      </c>
      <c r="CL10" s="4"/>
      <c r="CM10" s="4">
        <v>4</v>
      </c>
      <c r="CN10" s="4">
        <v>13</v>
      </c>
      <c r="CO10" s="4">
        <v>7</v>
      </c>
      <c r="CP10" s="4">
        <v>4</v>
      </c>
      <c r="CQ10" s="4">
        <v>14</v>
      </c>
      <c r="CR10" s="4">
        <v>1</v>
      </c>
      <c r="CS10" s="4">
        <v>6</v>
      </c>
      <c r="CT10" s="4"/>
      <c r="CU10" s="4">
        <v>1</v>
      </c>
      <c r="CV10" s="4">
        <v>1</v>
      </c>
      <c r="CW10" s="4">
        <v>2</v>
      </c>
      <c r="CX10" s="4">
        <v>5</v>
      </c>
      <c r="CY10" s="4">
        <v>9</v>
      </c>
      <c r="CZ10" s="4"/>
      <c r="DA10" s="4">
        <v>1</v>
      </c>
      <c r="DB10" s="4"/>
      <c r="DC10" s="4">
        <v>1</v>
      </c>
      <c r="DD10" s="4">
        <v>6</v>
      </c>
      <c r="DE10" s="4">
        <v>1</v>
      </c>
      <c r="DF10" s="4">
        <v>2</v>
      </c>
      <c r="DG10" s="4">
        <v>5</v>
      </c>
      <c r="DH10" s="4">
        <v>2</v>
      </c>
      <c r="DI10" s="4"/>
      <c r="DJ10" s="4"/>
      <c r="DK10" s="4">
        <v>3</v>
      </c>
      <c r="DL10" s="4">
        <v>3</v>
      </c>
      <c r="DM10" s="4"/>
      <c r="DN10" s="4">
        <v>41</v>
      </c>
      <c r="DO10" s="4">
        <v>1</v>
      </c>
      <c r="DP10" s="4">
        <v>1</v>
      </c>
      <c r="DQ10" s="4">
        <v>3</v>
      </c>
      <c r="DR10" s="4"/>
      <c r="DS10" s="4">
        <v>9</v>
      </c>
      <c r="DT10" s="4">
        <v>1</v>
      </c>
      <c r="DU10" s="4"/>
      <c r="DV10" s="4">
        <v>3</v>
      </c>
      <c r="DW10" s="4"/>
      <c r="DX10" s="4">
        <v>6</v>
      </c>
      <c r="DY10" s="4"/>
      <c r="DZ10" s="4">
        <v>1</v>
      </c>
      <c r="EA10" s="4">
        <v>1</v>
      </c>
      <c r="EB10" s="4">
        <v>1</v>
      </c>
      <c r="EC10" s="4">
        <v>2</v>
      </c>
      <c r="ED10" s="4">
        <v>1</v>
      </c>
      <c r="EE10" s="4">
        <v>1</v>
      </c>
      <c r="EF10" s="4">
        <v>4</v>
      </c>
      <c r="EG10" s="4">
        <v>18</v>
      </c>
      <c r="EH10" s="4">
        <v>10</v>
      </c>
      <c r="EI10" s="4">
        <v>6</v>
      </c>
      <c r="EJ10" s="4"/>
      <c r="EK10" s="4"/>
      <c r="EL10" s="4">
        <v>1</v>
      </c>
      <c r="EM10" s="4">
        <v>1</v>
      </c>
      <c r="EN10" s="4">
        <v>4</v>
      </c>
      <c r="EO10" s="4"/>
      <c r="EP10" s="4">
        <v>6</v>
      </c>
      <c r="EQ10" s="4"/>
      <c r="ER10" s="4">
        <v>45</v>
      </c>
      <c r="ES10" s="4"/>
      <c r="ET10" s="4">
        <v>1</v>
      </c>
      <c r="EU10" s="4">
        <v>7</v>
      </c>
      <c r="EV10" s="4">
        <v>4</v>
      </c>
      <c r="EW10" s="4"/>
      <c r="EX10" s="4">
        <v>2</v>
      </c>
      <c r="EY10" s="4">
        <v>4</v>
      </c>
      <c r="EZ10" s="4"/>
      <c r="FA10" s="4">
        <v>1</v>
      </c>
      <c r="FB10" s="4">
        <v>1</v>
      </c>
      <c r="FC10" s="4">
        <v>3</v>
      </c>
      <c r="FD10" s="4">
        <v>1</v>
      </c>
      <c r="FE10" s="4">
        <v>4</v>
      </c>
      <c r="FF10" s="4"/>
      <c r="FG10" s="4"/>
      <c r="FH10" s="4"/>
      <c r="FI10" s="4">
        <v>9</v>
      </c>
      <c r="FJ10" s="4">
        <v>2</v>
      </c>
      <c r="FK10" s="4">
        <v>2</v>
      </c>
      <c r="FL10" s="4">
        <v>12</v>
      </c>
      <c r="FM10" s="4">
        <v>3</v>
      </c>
      <c r="FN10" s="4"/>
      <c r="FO10" s="4"/>
      <c r="FP10" s="4">
        <v>1</v>
      </c>
      <c r="FQ10" s="4">
        <v>1</v>
      </c>
      <c r="FR10" s="4"/>
      <c r="FS10" s="4"/>
      <c r="FT10" s="4">
        <v>6</v>
      </c>
      <c r="FU10" s="4"/>
      <c r="FV10" s="4"/>
      <c r="FW10" s="4">
        <v>4</v>
      </c>
      <c r="FX10" s="4">
        <v>1</v>
      </c>
      <c r="FY10" s="4">
        <v>1</v>
      </c>
      <c r="FZ10" s="4">
        <v>1</v>
      </c>
      <c r="GA10" s="4">
        <v>1</v>
      </c>
      <c r="GB10" s="4">
        <v>1</v>
      </c>
      <c r="GC10" s="4">
        <v>1</v>
      </c>
      <c r="GD10" s="4">
        <v>2</v>
      </c>
      <c r="GE10" s="4"/>
      <c r="GF10" s="4">
        <v>1</v>
      </c>
      <c r="GG10" s="4"/>
      <c r="GH10" s="4">
        <v>1</v>
      </c>
      <c r="GI10" s="4">
        <v>2</v>
      </c>
      <c r="GJ10" s="4">
        <v>2</v>
      </c>
      <c r="GK10" s="4">
        <v>611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8A82F-5F16-4E12-91AD-8066DA9E28AC}">
  <dimension ref="A3:GK38"/>
  <sheetViews>
    <sheetView workbookViewId="0">
      <selection activeCell="H21" sqref="H21"/>
    </sheetView>
  </sheetViews>
  <sheetFormatPr defaultRowHeight="15" x14ac:dyDescent="0.25"/>
  <cols>
    <col min="1" max="1" width="15.5703125" bestFit="1" customWidth="1"/>
    <col min="2" max="2" width="16.28515625" bestFit="1" customWidth="1"/>
    <col min="3" max="3" width="16" bestFit="1" customWidth="1"/>
    <col min="4" max="4" width="12" bestFit="1" customWidth="1"/>
    <col min="5" max="5" width="9.85546875" bestFit="1" customWidth="1"/>
    <col min="6" max="6" width="10.85546875" bestFit="1" customWidth="1"/>
    <col min="7" max="7" width="12" bestFit="1" customWidth="1"/>
    <col min="8" max="8" width="9.28515625" bestFit="1" customWidth="1"/>
    <col min="9" max="9" width="11.7109375" bestFit="1" customWidth="1"/>
    <col min="10" max="10" width="12.5703125" bestFit="1" customWidth="1"/>
    <col min="11" max="11" width="12" bestFit="1" customWidth="1"/>
    <col min="12" max="12" width="6.28515625" bestFit="1" customWidth="1"/>
    <col min="13" max="13" width="12" bestFit="1" customWidth="1"/>
    <col min="14" max="14" width="7.85546875" bestFit="1" customWidth="1"/>
    <col min="15" max="15" width="12.42578125" bestFit="1" customWidth="1"/>
    <col min="16" max="16" width="13.5703125" bestFit="1" customWidth="1"/>
    <col min="17" max="17" width="7.7109375" bestFit="1" customWidth="1"/>
    <col min="18" max="18" width="11.85546875" bestFit="1" customWidth="1"/>
    <col min="19" max="20" width="12" bestFit="1" customWidth="1"/>
    <col min="21" max="21" width="8.28515625" bestFit="1" customWidth="1"/>
    <col min="22" max="22" width="12" bestFit="1" customWidth="1"/>
    <col min="23" max="23" width="10" bestFit="1" customWidth="1"/>
    <col min="24" max="24" width="11.42578125" bestFit="1" customWidth="1"/>
    <col min="25" max="25" width="7.85546875" bestFit="1" customWidth="1"/>
    <col min="27" max="27" width="13.140625" bestFit="1" customWidth="1"/>
    <col min="28" max="28" width="9.42578125" bestFit="1" customWidth="1"/>
    <col min="29" max="29" width="11.140625" bestFit="1" customWidth="1"/>
    <col min="30" max="30" width="11.42578125" bestFit="1" customWidth="1"/>
    <col min="31" max="31" width="16.5703125" bestFit="1" customWidth="1"/>
    <col min="32" max="32" width="9.85546875" bestFit="1" customWidth="1"/>
    <col min="33" max="33" width="6.7109375" bestFit="1" customWidth="1"/>
    <col min="34" max="34" width="8.140625" bestFit="1" customWidth="1"/>
    <col min="35" max="35" width="11.7109375" bestFit="1" customWidth="1"/>
    <col min="36" max="36" width="14.7109375" bestFit="1" customWidth="1"/>
    <col min="37" max="37" width="11.140625" bestFit="1" customWidth="1"/>
    <col min="38" max="38" width="12" bestFit="1" customWidth="1"/>
    <col min="39" max="39" width="10" bestFit="1" customWidth="1"/>
    <col min="40" max="40" width="11.140625" bestFit="1" customWidth="1"/>
    <col min="41" max="41" width="14.42578125" bestFit="1" customWidth="1"/>
    <col min="42" max="42" width="12.85546875" bestFit="1" customWidth="1"/>
    <col min="43" max="43" width="8.7109375" bestFit="1" customWidth="1"/>
    <col min="44" max="44" width="18.7109375" bestFit="1" customWidth="1"/>
    <col min="45" max="45" width="12" bestFit="1" customWidth="1"/>
    <col min="46" max="46" width="18.42578125" bestFit="1" customWidth="1"/>
    <col min="47" max="47" width="15.85546875" bestFit="1" customWidth="1"/>
    <col min="48" max="48" width="12" bestFit="1" customWidth="1"/>
    <col min="49" max="49" width="9" bestFit="1" customWidth="1"/>
    <col min="50" max="50" width="6.7109375" bestFit="1" customWidth="1"/>
    <col min="51" max="51" width="10.5703125" bestFit="1" customWidth="1"/>
    <col min="52" max="52" width="12" bestFit="1" customWidth="1"/>
    <col min="53" max="53" width="11.85546875" bestFit="1" customWidth="1"/>
    <col min="54" max="54" width="14.140625" bestFit="1" customWidth="1"/>
    <col min="55" max="55" width="11" bestFit="1" customWidth="1"/>
    <col min="56" max="56" width="12.85546875" bestFit="1" customWidth="1"/>
    <col min="57" max="57" width="15.42578125" bestFit="1" customWidth="1"/>
    <col min="58" max="59" width="12" bestFit="1" customWidth="1"/>
    <col min="60" max="60" width="12.85546875" bestFit="1" customWidth="1"/>
    <col min="61" max="61" width="7.28515625" bestFit="1" customWidth="1"/>
    <col min="62" max="62" width="12" bestFit="1" customWidth="1"/>
    <col min="63" max="63" width="8.85546875" bestFit="1" customWidth="1"/>
    <col min="64" max="64" width="12.28515625" bestFit="1" customWidth="1"/>
    <col min="65" max="65" width="8.42578125" bestFit="1" customWidth="1"/>
    <col min="66" max="66" width="15.42578125" bestFit="1" customWidth="1"/>
    <col min="67" max="67" width="12" bestFit="1" customWidth="1"/>
    <col min="68" max="68" width="14.28515625" bestFit="1" customWidth="1"/>
    <col min="69" max="69" width="12.7109375" bestFit="1" customWidth="1"/>
    <col min="70" max="70" width="7" bestFit="1" customWidth="1"/>
    <col min="71" max="71" width="12" bestFit="1" customWidth="1"/>
    <col min="72" max="72" width="10.5703125" bestFit="1" customWidth="1"/>
    <col min="73" max="73" width="12" bestFit="1" customWidth="1"/>
    <col min="74" max="74" width="7.85546875" bestFit="1" customWidth="1"/>
    <col min="75" max="75" width="18.140625" bestFit="1" customWidth="1"/>
    <col min="76" max="76" width="5.140625" bestFit="1" customWidth="1"/>
    <col min="77" max="78" width="12" bestFit="1" customWidth="1"/>
    <col min="79" max="79" width="10.7109375" bestFit="1" customWidth="1"/>
    <col min="80" max="80" width="11.140625" bestFit="1" customWidth="1"/>
    <col min="81" max="81" width="4.85546875" bestFit="1" customWidth="1"/>
    <col min="82" max="82" width="12" bestFit="1" customWidth="1"/>
    <col min="83" max="83" width="10.28515625" bestFit="1" customWidth="1"/>
    <col min="84" max="84" width="9" bestFit="1" customWidth="1"/>
    <col min="85" max="85" width="12.5703125" bestFit="1" customWidth="1"/>
    <col min="86" max="86" width="10.42578125" bestFit="1" customWidth="1"/>
    <col min="87" max="87" width="10.140625" bestFit="1" customWidth="1"/>
    <col min="88" max="88" width="12" bestFit="1" customWidth="1"/>
    <col min="89" max="89" width="10.85546875" bestFit="1" customWidth="1"/>
    <col min="90" max="90" width="9.42578125" bestFit="1" customWidth="1"/>
    <col min="91" max="91" width="8.42578125" bestFit="1" customWidth="1"/>
    <col min="92" max="93" width="12" bestFit="1" customWidth="1"/>
    <col min="94" max="94" width="10.140625" bestFit="1" customWidth="1"/>
    <col min="95" max="97" width="12" bestFit="1" customWidth="1"/>
    <col min="98" max="98" width="10" bestFit="1" customWidth="1"/>
    <col min="99" max="99" width="10.85546875" bestFit="1" customWidth="1"/>
    <col min="100" max="100" width="13.7109375" bestFit="1" customWidth="1"/>
    <col min="101" max="101" width="12.5703125" bestFit="1" customWidth="1"/>
    <col min="102" max="102" width="5.7109375" bestFit="1" customWidth="1"/>
    <col min="103" max="103" width="12" bestFit="1" customWidth="1"/>
    <col min="104" max="104" width="8.85546875" bestFit="1" customWidth="1"/>
    <col min="105" max="105" width="6.140625" bestFit="1" customWidth="1"/>
    <col min="106" max="106" width="11.5703125" bestFit="1" customWidth="1"/>
    <col min="107" max="107" width="10.5703125" bestFit="1" customWidth="1"/>
    <col min="108" max="108" width="12" bestFit="1" customWidth="1"/>
    <col min="109" max="109" width="12.7109375" bestFit="1" customWidth="1"/>
    <col min="110" max="112" width="12" bestFit="1" customWidth="1"/>
    <col min="113" max="113" width="8" bestFit="1" customWidth="1"/>
    <col min="114" max="114" width="8.7109375" bestFit="1" customWidth="1"/>
    <col min="115" max="115" width="7.5703125" bestFit="1" customWidth="1"/>
    <col min="116" max="116" width="12" bestFit="1" customWidth="1"/>
    <col min="117" max="117" width="8" bestFit="1" customWidth="1"/>
    <col min="118" max="118" width="12" bestFit="1" customWidth="1"/>
    <col min="119" max="119" width="12.28515625" bestFit="1" customWidth="1"/>
    <col min="120" max="120" width="13.85546875" bestFit="1" customWidth="1"/>
    <col min="121" max="121" width="12" bestFit="1" customWidth="1"/>
    <col min="122" max="122" width="9" bestFit="1" customWidth="1"/>
    <col min="123" max="123" width="12" bestFit="1" customWidth="1"/>
    <col min="124" max="124" width="4.7109375" bestFit="1" customWidth="1"/>
    <col min="125" max="125" width="8.7109375" bestFit="1" customWidth="1"/>
    <col min="126" max="126" width="12" bestFit="1" customWidth="1"/>
    <col min="127" max="127" width="7.28515625" bestFit="1" customWidth="1"/>
    <col min="128" max="128" width="12" bestFit="1" customWidth="1"/>
    <col min="129" max="129" width="8.28515625" bestFit="1" customWidth="1"/>
    <col min="130" max="130" width="12.5703125" bestFit="1" customWidth="1"/>
    <col min="131" max="131" width="12.140625" bestFit="1" customWidth="1"/>
    <col min="132" max="132" width="14" bestFit="1" customWidth="1"/>
    <col min="133" max="133" width="12.140625" bestFit="1" customWidth="1"/>
    <col min="134" max="134" width="10.85546875" bestFit="1" customWidth="1"/>
    <col min="135" max="135" width="15.28515625" bestFit="1" customWidth="1"/>
    <col min="136" max="136" width="9" bestFit="1" customWidth="1"/>
    <col min="137" max="137" width="7.7109375" bestFit="1" customWidth="1"/>
    <col min="138" max="139" width="12" bestFit="1" customWidth="1"/>
    <col min="140" max="140" width="8.7109375" bestFit="1" customWidth="1"/>
    <col min="141" max="141" width="16.5703125" bestFit="1" customWidth="1"/>
    <col min="142" max="142" width="9.7109375" bestFit="1" customWidth="1"/>
    <col min="143" max="143" width="10.28515625" bestFit="1" customWidth="1"/>
    <col min="144" max="144" width="13.85546875" bestFit="1" customWidth="1"/>
    <col min="145" max="145" width="8" bestFit="1" customWidth="1"/>
    <col min="146" max="146" width="7.140625" bestFit="1" customWidth="1"/>
    <col min="147" max="147" width="10" bestFit="1" customWidth="1"/>
    <col min="148" max="148" width="12" bestFit="1" customWidth="1"/>
    <col min="149" max="149" width="9.28515625" bestFit="1" customWidth="1"/>
    <col min="150" max="150" width="8.7109375" bestFit="1" customWidth="1"/>
    <col min="151" max="151" width="12" bestFit="1" customWidth="1"/>
    <col min="152" max="152" width="6.28515625" bestFit="1" customWidth="1"/>
    <col min="153" max="153" width="9" bestFit="1" customWidth="1"/>
    <col min="154" max="154" width="10.140625" bestFit="1" customWidth="1"/>
    <col min="155" max="155" width="12" bestFit="1" customWidth="1"/>
    <col min="156" max="156" width="12.85546875" bestFit="1" customWidth="1"/>
    <col min="157" max="157" width="6.28515625" bestFit="1" customWidth="1"/>
    <col min="158" max="158" width="15" bestFit="1" customWidth="1"/>
    <col min="159" max="159" width="12" bestFit="1" customWidth="1"/>
    <col min="160" max="160" width="10.140625" bestFit="1" customWidth="1"/>
    <col min="161" max="161" width="10.42578125" bestFit="1" customWidth="1"/>
    <col min="163" max="163" width="5.85546875" bestFit="1" customWidth="1"/>
    <col min="164" max="164" width="17.28515625" bestFit="1" customWidth="1"/>
    <col min="165" max="165" width="12" bestFit="1" customWidth="1"/>
    <col min="166" max="166" width="8.140625" bestFit="1" customWidth="1"/>
    <col min="167" max="167" width="11.28515625" bestFit="1" customWidth="1"/>
    <col min="168" max="168" width="12" bestFit="1" customWidth="1"/>
    <col min="169" max="169" width="7" bestFit="1" customWidth="1"/>
    <col min="170" max="170" width="6.7109375" bestFit="1" customWidth="1"/>
    <col min="171" max="171" width="8.42578125" bestFit="1" customWidth="1"/>
    <col min="172" max="172" width="7.28515625" bestFit="1" customWidth="1"/>
    <col min="173" max="173" width="5.85546875" bestFit="1" customWidth="1"/>
    <col min="174" max="174" width="7.7109375" bestFit="1" customWidth="1"/>
    <col min="176" max="176" width="8.28515625" bestFit="1" customWidth="1"/>
    <col min="177" max="177" width="9.42578125" bestFit="1" customWidth="1"/>
    <col min="178" max="178" width="9.7109375" bestFit="1" customWidth="1"/>
    <col min="179" max="179" width="11.28515625" bestFit="1" customWidth="1"/>
    <col min="180" max="180" width="5.5703125" bestFit="1" customWidth="1"/>
    <col min="181" max="181" width="15.85546875" bestFit="1" customWidth="1"/>
    <col min="182" max="182" width="8.5703125" bestFit="1" customWidth="1"/>
    <col min="183" max="183" width="10.5703125" bestFit="1" customWidth="1"/>
    <col min="184" max="184" width="8.42578125" bestFit="1" customWidth="1"/>
    <col min="185" max="185" width="8.7109375" bestFit="1" customWidth="1"/>
    <col min="186" max="186" width="8.28515625" bestFit="1" customWidth="1"/>
    <col min="187" max="187" width="19.5703125" bestFit="1" customWidth="1"/>
    <col min="188" max="188" width="13.140625" bestFit="1" customWidth="1"/>
    <col min="189" max="189" width="12" bestFit="1" customWidth="1"/>
    <col min="190" max="190" width="13.140625" bestFit="1" customWidth="1"/>
    <col min="191" max="191" width="8.85546875" bestFit="1" customWidth="1"/>
    <col min="192" max="192" width="4.7109375" bestFit="1" customWidth="1"/>
    <col min="193" max="193" width="12" bestFit="1" customWidth="1"/>
  </cols>
  <sheetData>
    <row r="3" spans="1:193" x14ac:dyDescent="0.25">
      <c r="A3" s="2" t="s">
        <v>4114</v>
      </c>
      <c r="B3" s="2" t="s">
        <v>4112</v>
      </c>
    </row>
    <row r="4" spans="1:193" x14ac:dyDescent="0.25">
      <c r="A4" s="2" t="s">
        <v>4107</v>
      </c>
      <c r="B4" t="s">
        <v>3225</v>
      </c>
      <c r="C4" t="s">
        <v>3299</v>
      </c>
      <c r="D4" t="s">
        <v>3220</v>
      </c>
      <c r="E4" t="s">
        <v>3226</v>
      </c>
      <c r="F4" t="s">
        <v>3322</v>
      </c>
      <c r="G4" t="s">
        <v>3316</v>
      </c>
      <c r="H4" t="s">
        <v>3221</v>
      </c>
      <c r="I4" t="s">
        <v>3350</v>
      </c>
      <c r="J4" t="s">
        <v>3265</v>
      </c>
      <c r="K4" t="s">
        <v>3218</v>
      </c>
      <c r="L4" t="s">
        <v>3211</v>
      </c>
      <c r="M4" t="s">
        <v>3227</v>
      </c>
      <c r="N4" t="s">
        <v>3255</v>
      </c>
      <c r="O4" t="s">
        <v>3297</v>
      </c>
      <c r="P4" t="s">
        <v>3280</v>
      </c>
      <c r="Q4" t="s">
        <v>3244</v>
      </c>
      <c r="R4" t="s">
        <v>3323</v>
      </c>
      <c r="S4" t="s">
        <v>3222</v>
      </c>
      <c r="T4" t="s">
        <v>3397</v>
      </c>
      <c r="U4" t="s">
        <v>3330</v>
      </c>
      <c r="V4" t="s">
        <v>3228</v>
      </c>
      <c r="W4" t="s">
        <v>3277</v>
      </c>
      <c r="X4" t="s">
        <v>3288</v>
      </c>
      <c r="Y4" t="s">
        <v>3295</v>
      </c>
      <c r="Z4" t="s">
        <v>3254</v>
      </c>
      <c r="AA4" t="s">
        <v>3377</v>
      </c>
      <c r="AB4" t="s">
        <v>3229</v>
      </c>
      <c r="AC4" t="s">
        <v>3352</v>
      </c>
      <c r="AD4" t="s">
        <v>3357</v>
      </c>
      <c r="AE4" t="s">
        <v>3387</v>
      </c>
      <c r="AF4" t="s">
        <v>3375</v>
      </c>
      <c r="AG4" t="s">
        <v>3358</v>
      </c>
      <c r="AH4" t="s">
        <v>3360</v>
      </c>
      <c r="AI4" t="s">
        <v>3242</v>
      </c>
      <c r="AJ4" t="s">
        <v>3272</v>
      </c>
      <c r="AK4" t="s">
        <v>3298</v>
      </c>
      <c r="AL4" t="s">
        <v>3276</v>
      </c>
      <c r="AM4" t="s">
        <v>3230</v>
      </c>
      <c r="AN4" t="s">
        <v>3362</v>
      </c>
      <c r="AO4" t="s">
        <v>3292</v>
      </c>
      <c r="AP4" t="s">
        <v>3237</v>
      </c>
      <c r="AQ4" t="s">
        <v>3315</v>
      </c>
      <c r="AR4" t="s">
        <v>3388</v>
      </c>
      <c r="AS4" t="s">
        <v>3311</v>
      </c>
      <c r="AT4" t="s">
        <v>3383</v>
      </c>
      <c r="AU4" t="s">
        <v>3324</v>
      </c>
      <c r="AV4" t="s">
        <v>3260</v>
      </c>
      <c r="AW4" t="s">
        <v>3338</v>
      </c>
      <c r="AX4" t="s">
        <v>3321</v>
      </c>
      <c r="AY4" t="s">
        <v>3341</v>
      </c>
      <c r="AZ4" t="s">
        <v>3248</v>
      </c>
      <c r="BA4" t="s">
        <v>3339</v>
      </c>
      <c r="BB4" t="s">
        <v>3266</v>
      </c>
      <c r="BC4" t="s">
        <v>3283</v>
      </c>
      <c r="BD4" t="s">
        <v>3223</v>
      </c>
      <c r="BE4" t="s">
        <v>3334</v>
      </c>
      <c r="BF4" t="s">
        <v>3214</v>
      </c>
      <c r="BG4" t="s">
        <v>3286</v>
      </c>
      <c r="BH4" t="s">
        <v>3306</v>
      </c>
      <c r="BI4" t="s">
        <v>3359</v>
      </c>
      <c r="BJ4" t="s">
        <v>3235</v>
      </c>
      <c r="BK4" t="s">
        <v>3307</v>
      </c>
      <c r="BL4" t="s">
        <v>3393</v>
      </c>
      <c r="BM4" t="s">
        <v>3355</v>
      </c>
      <c r="BN4" t="s">
        <v>3332</v>
      </c>
      <c r="BO4" t="s">
        <v>3271</v>
      </c>
      <c r="BP4" t="s">
        <v>3241</v>
      </c>
      <c r="BQ4" t="s">
        <v>3302</v>
      </c>
      <c r="BR4" t="s">
        <v>3356</v>
      </c>
      <c r="BS4" t="s">
        <v>3365</v>
      </c>
      <c r="BT4" t="s">
        <v>3219</v>
      </c>
      <c r="BU4" t="s">
        <v>3245</v>
      </c>
      <c r="BV4" t="s">
        <v>3285</v>
      </c>
      <c r="BW4" t="s">
        <v>3379</v>
      </c>
      <c r="BX4" t="s">
        <v>3258</v>
      </c>
      <c r="BY4" t="s">
        <v>3236</v>
      </c>
      <c r="BZ4" t="s">
        <v>3231</v>
      </c>
      <c r="CA4" t="s">
        <v>3336</v>
      </c>
      <c r="CB4" t="s">
        <v>3349</v>
      </c>
      <c r="CC4" t="s">
        <v>3212</v>
      </c>
      <c r="CD4" t="s">
        <v>3279</v>
      </c>
      <c r="CE4" t="s">
        <v>3318</v>
      </c>
      <c r="CF4" t="s">
        <v>3320</v>
      </c>
      <c r="CG4" t="s">
        <v>3274</v>
      </c>
      <c r="CH4" t="s">
        <v>3347</v>
      </c>
      <c r="CI4" t="s">
        <v>3284</v>
      </c>
      <c r="CJ4" t="s">
        <v>3253</v>
      </c>
      <c r="CK4" t="s">
        <v>3246</v>
      </c>
      <c r="CL4" t="s">
        <v>3354</v>
      </c>
      <c r="CM4" t="s">
        <v>3270</v>
      </c>
      <c r="CN4" t="s">
        <v>3239</v>
      </c>
      <c r="CO4" t="s">
        <v>3249</v>
      </c>
      <c r="CP4" t="s">
        <v>3215</v>
      </c>
      <c r="CQ4" t="s">
        <v>3398</v>
      </c>
      <c r="CR4" t="s">
        <v>3310</v>
      </c>
      <c r="CS4" t="s">
        <v>3396</v>
      </c>
      <c r="CT4" t="s">
        <v>3343</v>
      </c>
      <c r="CU4" t="s">
        <v>3329</v>
      </c>
      <c r="CV4" t="s">
        <v>3369</v>
      </c>
      <c r="CW4" t="s">
        <v>3257</v>
      </c>
      <c r="CX4" t="s">
        <v>3240</v>
      </c>
      <c r="CY4" t="s">
        <v>3268</v>
      </c>
      <c r="CZ4" t="s">
        <v>3361</v>
      </c>
      <c r="DA4" t="s">
        <v>3363</v>
      </c>
      <c r="DB4" t="s">
        <v>3380</v>
      </c>
      <c r="DC4" t="s">
        <v>3326</v>
      </c>
      <c r="DD4" t="s">
        <v>3261</v>
      </c>
      <c r="DE4" t="s">
        <v>3319</v>
      </c>
      <c r="DF4" t="s">
        <v>3290</v>
      </c>
      <c r="DG4" t="s">
        <v>3275</v>
      </c>
      <c r="DH4" t="s">
        <v>3256</v>
      </c>
      <c r="DI4" t="s">
        <v>3303</v>
      </c>
      <c r="DJ4" t="s">
        <v>3333</v>
      </c>
      <c r="DK4" t="s">
        <v>3282</v>
      </c>
      <c r="DL4" t="s">
        <v>3251</v>
      </c>
      <c r="DM4" t="s">
        <v>3364</v>
      </c>
      <c r="DN4" t="s">
        <v>3216</v>
      </c>
      <c r="DO4" t="s">
        <v>3378</v>
      </c>
      <c r="DP4" t="s">
        <v>3293</v>
      </c>
      <c r="DQ4" t="s">
        <v>3232</v>
      </c>
      <c r="DR4" t="s">
        <v>3346</v>
      </c>
      <c r="DS4" t="s">
        <v>3250</v>
      </c>
      <c r="DT4" t="s">
        <v>3342</v>
      </c>
      <c r="DU4" t="s">
        <v>3335</v>
      </c>
      <c r="DV4" t="s">
        <v>3217</v>
      </c>
      <c r="DW4" t="s">
        <v>3328</v>
      </c>
      <c r="DX4" t="s">
        <v>3263</v>
      </c>
      <c r="DY4" t="s">
        <v>3317</v>
      </c>
      <c r="DZ4" t="s">
        <v>3382</v>
      </c>
      <c r="EA4" t="s">
        <v>3305</v>
      </c>
      <c r="EB4" t="s">
        <v>3374</v>
      </c>
      <c r="EC4" t="s">
        <v>3394</v>
      </c>
      <c r="ED4" t="s">
        <v>3291</v>
      </c>
      <c r="EE4" t="s">
        <v>3386</v>
      </c>
      <c r="EF4" t="s">
        <v>3209</v>
      </c>
      <c r="EG4" t="s">
        <v>3210</v>
      </c>
      <c r="EH4" t="s">
        <v>3264</v>
      </c>
      <c r="EI4" t="s">
        <v>3262</v>
      </c>
      <c r="EJ4" t="s">
        <v>3370</v>
      </c>
      <c r="EK4" t="s">
        <v>3390</v>
      </c>
      <c r="EL4" t="s">
        <v>3301</v>
      </c>
      <c r="EM4" t="s">
        <v>3289</v>
      </c>
      <c r="EN4" t="s">
        <v>3281</v>
      </c>
      <c r="EO4" t="s">
        <v>3309</v>
      </c>
      <c r="EP4" t="s">
        <v>3273</v>
      </c>
      <c r="EQ4" t="s">
        <v>3304</v>
      </c>
      <c r="ER4" t="s">
        <v>3208</v>
      </c>
      <c r="ES4" t="s">
        <v>3345</v>
      </c>
      <c r="ET4" t="s">
        <v>3372</v>
      </c>
      <c r="EU4" t="s">
        <v>3233</v>
      </c>
      <c r="EV4" t="s">
        <v>3269</v>
      </c>
      <c r="EW4" t="s">
        <v>3312</v>
      </c>
      <c r="EX4" t="s">
        <v>3296</v>
      </c>
      <c r="EY4" t="s">
        <v>3259</v>
      </c>
      <c r="EZ4" t="s">
        <v>3314</v>
      </c>
      <c r="FA4" t="s">
        <v>3392</v>
      </c>
      <c r="FB4" t="s">
        <v>3373</v>
      </c>
      <c r="FC4" t="s">
        <v>3252</v>
      </c>
      <c r="FD4" t="s">
        <v>3325</v>
      </c>
      <c r="FE4" t="s">
        <v>3247</v>
      </c>
      <c r="FF4" t="s">
        <v>3351</v>
      </c>
      <c r="FG4" t="s">
        <v>3340</v>
      </c>
      <c r="FH4" t="s">
        <v>3389</v>
      </c>
      <c r="FI4" t="s">
        <v>3395</v>
      </c>
      <c r="FJ4" t="s">
        <v>3213</v>
      </c>
      <c r="FK4" t="s">
        <v>3294</v>
      </c>
      <c r="FL4" t="s">
        <v>3238</v>
      </c>
      <c r="FM4" t="s">
        <v>3234</v>
      </c>
      <c r="FN4" t="s">
        <v>3376</v>
      </c>
      <c r="FO4" t="s">
        <v>3344</v>
      </c>
      <c r="FP4" t="s">
        <v>3337</v>
      </c>
      <c r="FQ4" t="s">
        <v>3327</v>
      </c>
      <c r="FR4" t="s">
        <v>3348</v>
      </c>
      <c r="FS4" t="s">
        <v>3331</v>
      </c>
      <c r="FT4" t="s">
        <v>3224</v>
      </c>
      <c r="FU4" t="s">
        <v>3367</v>
      </c>
      <c r="FV4" t="s">
        <v>3371</v>
      </c>
      <c r="FW4" t="s">
        <v>3243</v>
      </c>
      <c r="FX4" t="s">
        <v>3287</v>
      </c>
      <c r="FY4" t="s">
        <v>3385</v>
      </c>
      <c r="FZ4" t="s">
        <v>3366</v>
      </c>
      <c r="GA4" t="s">
        <v>3353</v>
      </c>
      <c r="GB4" t="s">
        <v>3368</v>
      </c>
      <c r="GC4" t="s">
        <v>3381</v>
      </c>
      <c r="GD4" t="s">
        <v>3308</v>
      </c>
      <c r="GE4" t="s">
        <v>3391</v>
      </c>
      <c r="GF4" t="s">
        <v>3384</v>
      </c>
      <c r="GG4" t="s">
        <v>3313</v>
      </c>
      <c r="GH4" t="s">
        <v>3300</v>
      </c>
      <c r="GI4" t="s">
        <v>3278</v>
      </c>
      <c r="GJ4" t="s">
        <v>3267</v>
      </c>
      <c r="GK4" t="s">
        <v>4108</v>
      </c>
    </row>
    <row r="5" spans="1:193" x14ac:dyDescent="0.25">
      <c r="A5" s="3" t="s">
        <v>3402</v>
      </c>
      <c r="B5">
        <v>36.75</v>
      </c>
      <c r="C5">
        <v>45</v>
      </c>
      <c r="J5">
        <v>30</v>
      </c>
      <c r="M5">
        <v>40</v>
      </c>
      <c r="Q5">
        <v>40</v>
      </c>
      <c r="S5">
        <v>45</v>
      </c>
      <c r="W5">
        <v>50</v>
      </c>
      <c r="AB5">
        <v>35</v>
      </c>
      <c r="AI5">
        <v>35</v>
      </c>
      <c r="AJ5">
        <v>36</v>
      </c>
      <c r="AL5">
        <v>50</v>
      </c>
      <c r="AM5">
        <v>28</v>
      </c>
      <c r="AP5">
        <v>48</v>
      </c>
      <c r="AV5">
        <v>35</v>
      </c>
      <c r="AY5">
        <v>40</v>
      </c>
      <c r="AZ5">
        <v>55</v>
      </c>
      <c r="BC5">
        <v>50</v>
      </c>
      <c r="BG5">
        <v>24</v>
      </c>
      <c r="BH5">
        <v>60</v>
      </c>
      <c r="BU5">
        <v>45</v>
      </c>
      <c r="BZ5">
        <v>60</v>
      </c>
      <c r="CF5">
        <v>60</v>
      </c>
      <c r="CM5">
        <v>38</v>
      </c>
      <c r="CN5">
        <v>45</v>
      </c>
      <c r="CW5">
        <v>15</v>
      </c>
      <c r="CY5">
        <v>34</v>
      </c>
      <c r="DK5">
        <v>32</v>
      </c>
      <c r="DS5">
        <v>34</v>
      </c>
      <c r="DT5">
        <v>45</v>
      </c>
      <c r="DV5">
        <v>30</v>
      </c>
      <c r="DX5">
        <v>25</v>
      </c>
      <c r="EB5">
        <v>55</v>
      </c>
      <c r="ED5">
        <v>80</v>
      </c>
      <c r="EE5">
        <v>55</v>
      </c>
      <c r="EG5">
        <v>30</v>
      </c>
      <c r="EH5">
        <v>40</v>
      </c>
      <c r="EI5">
        <v>15</v>
      </c>
      <c r="EP5">
        <v>48</v>
      </c>
      <c r="ER5">
        <v>30</v>
      </c>
      <c r="EU5">
        <v>52.5</v>
      </c>
      <c r="FC5">
        <v>17.5</v>
      </c>
      <c r="FE5">
        <v>35</v>
      </c>
      <c r="FL5">
        <v>25</v>
      </c>
      <c r="FQ5">
        <v>60</v>
      </c>
      <c r="FT5">
        <v>50</v>
      </c>
      <c r="GC5">
        <v>45</v>
      </c>
      <c r="GI5">
        <v>20</v>
      </c>
      <c r="GK5">
        <v>39.013333333333335</v>
      </c>
    </row>
    <row r="6" spans="1:193" x14ac:dyDescent="0.25">
      <c r="A6" s="3" t="s">
        <v>3416</v>
      </c>
      <c r="CN6">
        <v>45</v>
      </c>
      <c r="GK6">
        <v>45</v>
      </c>
    </row>
    <row r="7" spans="1:193" x14ac:dyDescent="0.25">
      <c r="A7" s="3" t="s">
        <v>3417</v>
      </c>
      <c r="G7">
        <v>70</v>
      </c>
      <c r="AU7">
        <v>70</v>
      </c>
      <c r="GK7">
        <v>70</v>
      </c>
    </row>
    <row r="8" spans="1:193" x14ac:dyDescent="0.25">
      <c r="A8" s="3" t="s">
        <v>3405</v>
      </c>
      <c r="U8">
        <v>30</v>
      </c>
      <c r="AS8">
        <v>45</v>
      </c>
      <c r="AY8">
        <v>55</v>
      </c>
      <c r="BE8">
        <v>80</v>
      </c>
      <c r="BQ8">
        <v>50</v>
      </c>
      <c r="CN8">
        <v>70</v>
      </c>
      <c r="CP8">
        <v>60</v>
      </c>
      <c r="CU8">
        <v>45</v>
      </c>
      <c r="DN8">
        <v>80</v>
      </c>
      <c r="DR8">
        <v>50</v>
      </c>
      <c r="DW8">
        <v>45</v>
      </c>
      <c r="EK8">
        <v>45</v>
      </c>
      <c r="FG8">
        <v>40</v>
      </c>
      <c r="FK8">
        <v>45</v>
      </c>
      <c r="FS8">
        <v>50</v>
      </c>
      <c r="GG8">
        <v>60</v>
      </c>
      <c r="GK8">
        <v>52.941176470588232</v>
      </c>
    </row>
    <row r="9" spans="1:193" x14ac:dyDescent="0.25">
      <c r="A9" s="3" t="s">
        <v>3424</v>
      </c>
      <c r="CB9">
        <v>40</v>
      </c>
      <c r="GK9">
        <v>40</v>
      </c>
    </row>
    <row r="10" spans="1:193" x14ac:dyDescent="0.25">
      <c r="A10" s="3" t="s">
        <v>3401</v>
      </c>
      <c r="B10">
        <v>32</v>
      </c>
      <c r="J10">
        <v>27.5</v>
      </c>
      <c r="K10">
        <v>30</v>
      </c>
      <c r="L10">
        <v>40</v>
      </c>
      <c r="P10">
        <v>28</v>
      </c>
      <c r="T10">
        <v>39.5</v>
      </c>
      <c r="U10">
        <v>50</v>
      </c>
      <c r="V10">
        <v>30</v>
      </c>
      <c r="Z10">
        <v>20</v>
      </c>
      <c r="AI10">
        <v>35</v>
      </c>
      <c r="AJ10">
        <v>42</v>
      </c>
      <c r="AL10">
        <v>46</v>
      </c>
      <c r="AP10">
        <v>47.5</v>
      </c>
      <c r="AV10">
        <v>52.5</v>
      </c>
      <c r="AZ10">
        <v>16</v>
      </c>
      <c r="BB10">
        <v>30</v>
      </c>
      <c r="BC10">
        <v>50</v>
      </c>
      <c r="BF10">
        <v>45</v>
      </c>
      <c r="BJ10">
        <v>46.666666666666664</v>
      </c>
      <c r="BL10">
        <v>60</v>
      </c>
      <c r="BS10">
        <v>60</v>
      </c>
      <c r="BT10">
        <v>50</v>
      </c>
      <c r="BU10">
        <v>55</v>
      </c>
      <c r="BX10">
        <v>20</v>
      </c>
      <c r="BZ10">
        <v>49.545454545454547</v>
      </c>
      <c r="CA10">
        <v>70</v>
      </c>
      <c r="CI10">
        <v>30</v>
      </c>
      <c r="CK10">
        <v>45</v>
      </c>
      <c r="CN10">
        <v>45</v>
      </c>
      <c r="CO10">
        <v>21.666666666666668</v>
      </c>
      <c r="CP10">
        <v>70</v>
      </c>
      <c r="CQ10">
        <v>44</v>
      </c>
      <c r="CS10">
        <v>38.5</v>
      </c>
      <c r="CV10">
        <v>45</v>
      </c>
      <c r="CX10">
        <v>40</v>
      </c>
      <c r="DD10">
        <v>17.5</v>
      </c>
      <c r="DE10">
        <v>70</v>
      </c>
      <c r="DN10">
        <v>50.466666666666669</v>
      </c>
      <c r="DS10">
        <v>35</v>
      </c>
      <c r="DX10">
        <v>26</v>
      </c>
      <c r="EA10">
        <v>70</v>
      </c>
      <c r="EF10">
        <v>12.5</v>
      </c>
      <c r="EG10">
        <v>42.6</v>
      </c>
      <c r="EH10">
        <v>22.5</v>
      </c>
      <c r="EI10">
        <v>20</v>
      </c>
      <c r="EL10">
        <v>40</v>
      </c>
      <c r="EM10">
        <v>35</v>
      </c>
      <c r="EN10">
        <v>44</v>
      </c>
      <c r="EP10">
        <v>44</v>
      </c>
      <c r="ER10">
        <v>27.5</v>
      </c>
      <c r="EU10">
        <v>25</v>
      </c>
      <c r="EV10">
        <v>50</v>
      </c>
      <c r="EY10">
        <v>50</v>
      </c>
      <c r="FB10">
        <v>45</v>
      </c>
      <c r="FI10">
        <v>37.333333333333336</v>
      </c>
      <c r="FL10">
        <v>41.833333333333336</v>
      </c>
      <c r="FP10">
        <v>45</v>
      </c>
      <c r="FT10">
        <v>50</v>
      </c>
      <c r="FW10">
        <v>50</v>
      </c>
      <c r="GA10">
        <v>80</v>
      </c>
      <c r="GF10">
        <v>60</v>
      </c>
      <c r="GK10">
        <v>40.651851851851852</v>
      </c>
    </row>
    <row r="11" spans="1:193" x14ac:dyDescent="0.25">
      <c r="A11" s="3" t="s">
        <v>3423</v>
      </c>
      <c r="S11">
        <v>35</v>
      </c>
      <c r="GK11">
        <v>35</v>
      </c>
    </row>
    <row r="12" spans="1:193" x14ac:dyDescent="0.25">
      <c r="A12" s="3" t="s">
        <v>3426</v>
      </c>
      <c r="CZ12">
        <v>55</v>
      </c>
      <c r="GK12">
        <v>55</v>
      </c>
    </row>
    <row r="13" spans="1:193" x14ac:dyDescent="0.25">
      <c r="A13" s="3" t="s">
        <v>3419</v>
      </c>
      <c r="S13">
        <v>35</v>
      </c>
      <c r="GK13">
        <v>35</v>
      </c>
    </row>
    <row r="14" spans="1:193" x14ac:dyDescent="0.25">
      <c r="A14" s="3" t="s">
        <v>3418</v>
      </c>
      <c r="BY14">
        <v>40</v>
      </c>
      <c r="GK14">
        <v>40</v>
      </c>
    </row>
    <row r="15" spans="1:193" x14ac:dyDescent="0.25">
      <c r="A15" s="3" t="s">
        <v>3404</v>
      </c>
      <c r="AP15">
        <v>55</v>
      </c>
      <c r="AR15">
        <v>45</v>
      </c>
      <c r="AY15">
        <v>55</v>
      </c>
      <c r="BA15">
        <v>45</v>
      </c>
      <c r="BZ15">
        <v>60</v>
      </c>
      <c r="CU15">
        <v>45</v>
      </c>
      <c r="DF15">
        <v>40</v>
      </c>
      <c r="DI15">
        <v>35</v>
      </c>
      <c r="DT15">
        <v>55</v>
      </c>
      <c r="DY15">
        <v>35</v>
      </c>
      <c r="EJ15">
        <v>45</v>
      </c>
      <c r="ES15">
        <v>35</v>
      </c>
      <c r="EX15">
        <v>55</v>
      </c>
      <c r="EY15">
        <v>35</v>
      </c>
      <c r="FN15">
        <v>60</v>
      </c>
      <c r="GK15">
        <v>46.25</v>
      </c>
    </row>
    <row r="16" spans="1:193" x14ac:dyDescent="0.25">
      <c r="A16" s="3" t="s">
        <v>3408</v>
      </c>
      <c r="C16">
        <v>55</v>
      </c>
      <c r="F16">
        <v>45</v>
      </c>
      <c r="U16">
        <v>37.5</v>
      </c>
      <c r="W16">
        <v>30</v>
      </c>
      <c r="AA16">
        <v>55</v>
      </c>
      <c r="AF16">
        <v>70</v>
      </c>
      <c r="AO16">
        <v>55</v>
      </c>
      <c r="CN16">
        <v>55</v>
      </c>
      <c r="CO16">
        <v>45</v>
      </c>
      <c r="FL16">
        <v>55</v>
      </c>
      <c r="FP16">
        <v>35</v>
      </c>
      <c r="FX16">
        <v>50</v>
      </c>
      <c r="GK16">
        <v>48.214285714285715</v>
      </c>
    </row>
    <row r="17" spans="1:193" x14ac:dyDescent="0.25">
      <c r="A17" s="3" t="s">
        <v>3407</v>
      </c>
      <c r="AV17">
        <v>35</v>
      </c>
      <c r="EO17">
        <v>35</v>
      </c>
      <c r="EX17">
        <v>35</v>
      </c>
      <c r="FL17">
        <v>45</v>
      </c>
      <c r="GE17">
        <v>70</v>
      </c>
      <c r="GK17">
        <v>44</v>
      </c>
    </row>
    <row r="18" spans="1:193" x14ac:dyDescent="0.25">
      <c r="A18" s="3" t="s">
        <v>3403</v>
      </c>
      <c r="J18">
        <v>30</v>
      </c>
      <c r="M18">
        <v>80</v>
      </c>
      <c r="Q18">
        <v>40</v>
      </c>
      <c r="W18">
        <v>20</v>
      </c>
      <c r="AB18">
        <v>30</v>
      </c>
      <c r="AP18">
        <v>53.333333333333336</v>
      </c>
      <c r="AV18">
        <v>44.666666666666664</v>
      </c>
      <c r="AZ18">
        <v>27.5</v>
      </c>
      <c r="BB18">
        <v>20</v>
      </c>
      <c r="BD18">
        <v>35</v>
      </c>
      <c r="BF18">
        <v>15</v>
      </c>
      <c r="BN18">
        <v>60</v>
      </c>
      <c r="BP18">
        <v>50</v>
      </c>
      <c r="BU18">
        <v>60</v>
      </c>
      <c r="BZ18">
        <v>55</v>
      </c>
      <c r="CD18">
        <v>36</v>
      </c>
      <c r="CG18">
        <v>40</v>
      </c>
      <c r="CI18">
        <v>26</v>
      </c>
      <c r="CK18">
        <v>45</v>
      </c>
      <c r="CN18">
        <v>40</v>
      </c>
      <c r="CO18">
        <v>60</v>
      </c>
      <c r="CP18">
        <v>30</v>
      </c>
      <c r="CY18">
        <v>28</v>
      </c>
      <c r="DD18">
        <v>18</v>
      </c>
      <c r="DG18">
        <v>36</v>
      </c>
      <c r="DH18">
        <v>30</v>
      </c>
      <c r="DL18">
        <v>20</v>
      </c>
      <c r="DO18">
        <v>45</v>
      </c>
      <c r="DP18">
        <v>40</v>
      </c>
      <c r="DX18">
        <v>25</v>
      </c>
      <c r="EG18">
        <v>30</v>
      </c>
      <c r="EH18">
        <v>37.5</v>
      </c>
      <c r="EI18">
        <v>15</v>
      </c>
      <c r="ER18">
        <v>43.571428571428569</v>
      </c>
      <c r="FC18">
        <v>20</v>
      </c>
      <c r="FJ18">
        <v>50</v>
      </c>
      <c r="FM18">
        <v>30</v>
      </c>
      <c r="FX18">
        <v>80</v>
      </c>
      <c r="FZ18">
        <v>55</v>
      </c>
      <c r="GJ18">
        <v>32</v>
      </c>
      <c r="GK18">
        <v>38.214285714285715</v>
      </c>
    </row>
    <row r="19" spans="1:193" x14ac:dyDescent="0.25">
      <c r="A19" s="3" t="s">
        <v>3427</v>
      </c>
      <c r="AN19">
        <v>50</v>
      </c>
      <c r="GK19">
        <v>50</v>
      </c>
    </row>
    <row r="20" spans="1:193" x14ac:dyDescent="0.25">
      <c r="A20" s="3" t="s">
        <v>3410</v>
      </c>
      <c r="R20">
        <v>30</v>
      </c>
      <c r="U20">
        <v>50</v>
      </c>
      <c r="AC20">
        <v>50</v>
      </c>
      <c r="AS20">
        <v>30</v>
      </c>
      <c r="BB20">
        <v>70</v>
      </c>
      <c r="BW20">
        <v>55</v>
      </c>
      <c r="BZ20">
        <v>45</v>
      </c>
      <c r="CO20">
        <v>55</v>
      </c>
      <c r="EH20">
        <v>35</v>
      </c>
      <c r="FF20">
        <v>40</v>
      </c>
      <c r="FH20">
        <v>55</v>
      </c>
      <c r="GK20">
        <v>46.81818181818182</v>
      </c>
    </row>
    <row r="21" spans="1:193" x14ac:dyDescent="0.25">
      <c r="A21" s="3" t="s">
        <v>3428</v>
      </c>
      <c r="DM21">
        <v>60</v>
      </c>
      <c r="GK21">
        <v>60</v>
      </c>
    </row>
    <row r="22" spans="1:193" x14ac:dyDescent="0.25">
      <c r="A22" s="3" t="s">
        <v>3406</v>
      </c>
      <c r="C22">
        <v>55</v>
      </c>
      <c r="X22">
        <v>40</v>
      </c>
      <c r="CB22">
        <v>35</v>
      </c>
      <c r="CE22">
        <v>45</v>
      </c>
      <c r="CN22">
        <v>35</v>
      </c>
      <c r="CT22">
        <v>60</v>
      </c>
      <c r="DB22">
        <v>70</v>
      </c>
      <c r="DJ22">
        <v>70</v>
      </c>
      <c r="DN22">
        <v>40</v>
      </c>
      <c r="EQ22">
        <v>45</v>
      </c>
      <c r="FD22">
        <v>70</v>
      </c>
      <c r="FR22">
        <v>45</v>
      </c>
      <c r="FU22">
        <v>70</v>
      </c>
      <c r="FV22">
        <v>55</v>
      </c>
      <c r="GA22">
        <v>50</v>
      </c>
      <c r="GK22">
        <v>52.333333333333336</v>
      </c>
    </row>
    <row r="23" spans="1:193" x14ac:dyDescent="0.25">
      <c r="A23" s="3" t="s">
        <v>3420</v>
      </c>
      <c r="I23">
        <v>60</v>
      </c>
      <c r="GK23">
        <v>60</v>
      </c>
    </row>
    <row r="24" spans="1:193" x14ac:dyDescent="0.25">
      <c r="A24" s="3" t="s">
        <v>3429</v>
      </c>
      <c r="D24">
        <v>45</v>
      </c>
      <c r="GK24">
        <v>45</v>
      </c>
    </row>
    <row r="25" spans="1:193" x14ac:dyDescent="0.25">
      <c r="A25" s="3" t="s">
        <v>3422</v>
      </c>
      <c r="FL25">
        <v>45</v>
      </c>
      <c r="GK25">
        <v>45</v>
      </c>
    </row>
    <row r="26" spans="1:193" x14ac:dyDescent="0.25">
      <c r="A26" s="3" t="s">
        <v>3411</v>
      </c>
      <c r="DN26">
        <v>70</v>
      </c>
      <c r="DU26">
        <v>45</v>
      </c>
      <c r="EW26">
        <v>50</v>
      </c>
      <c r="GK26">
        <v>53.75</v>
      </c>
    </row>
    <row r="27" spans="1:193" x14ac:dyDescent="0.25">
      <c r="A27" s="3" t="s">
        <v>3425</v>
      </c>
      <c r="CL27">
        <v>45</v>
      </c>
      <c r="GK27">
        <v>45</v>
      </c>
    </row>
    <row r="28" spans="1:193" x14ac:dyDescent="0.25">
      <c r="A28" s="3" t="s">
        <v>3421</v>
      </c>
      <c r="S28">
        <v>55</v>
      </c>
      <c r="GK28">
        <v>55</v>
      </c>
    </row>
    <row r="29" spans="1:193" x14ac:dyDescent="0.25">
      <c r="A29" s="3" t="s">
        <v>3414</v>
      </c>
      <c r="DF29">
        <v>55</v>
      </c>
      <c r="GK29">
        <v>55</v>
      </c>
    </row>
    <row r="30" spans="1:193" x14ac:dyDescent="0.25">
      <c r="A30" s="3" t="s">
        <v>3430</v>
      </c>
      <c r="S30">
        <v>45</v>
      </c>
      <c r="GK30">
        <v>45</v>
      </c>
    </row>
    <row r="31" spans="1:193" x14ac:dyDescent="0.25">
      <c r="A31" s="3" t="s">
        <v>3412</v>
      </c>
      <c r="AZ31">
        <v>80</v>
      </c>
      <c r="CH31">
        <v>60</v>
      </c>
      <c r="DJ31">
        <v>60</v>
      </c>
      <c r="FX31">
        <v>70</v>
      </c>
      <c r="GG31">
        <v>80</v>
      </c>
      <c r="GK31">
        <v>71.666666666666671</v>
      </c>
    </row>
    <row r="32" spans="1:193" x14ac:dyDescent="0.25">
      <c r="A32" s="3" t="s">
        <v>3413</v>
      </c>
      <c r="AZ32">
        <v>45</v>
      </c>
      <c r="BE32">
        <v>40</v>
      </c>
      <c r="EY32">
        <v>35</v>
      </c>
      <c r="EZ32">
        <v>35</v>
      </c>
      <c r="FO32">
        <v>60</v>
      </c>
      <c r="GK32">
        <v>41.666666666666664</v>
      </c>
    </row>
    <row r="33" spans="1:193" x14ac:dyDescent="0.25">
      <c r="A33" s="3" t="s">
        <v>3409</v>
      </c>
      <c r="CR33">
        <v>70</v>
      </c>
      <c r="GK33">
        <v>70</v>
      </c>
    </row>
    <row r="34" spans="1:193" x14ac:dyDescent="0.25">
      <c r="A34" s="3" t="s">
        <v>3415</v>
      </c>
      <c r="G34">
        <v>45</v>
      </c>
      <c r="AQ34">
        <v>60</v>
      </c>
      <c r="GK34">
        <v>55</v>
      </c>
    </row>
    <row r="35" spans="1:193" x14ac:dyDescent="0.25">
      <c r="A35" s="3" t="s">
        <v>3431</v>
      </c>
      <c r="AT35">
        <v>70</v>
      </c>
      <c r="GK35">
        <v>70</v>
      </c>
    </row>
    <row r="36" spans="1:193" x14ac:dyDescent="0.25">
      <c r="A36" s="3" t="s">
        <v>3432</v>
      </c>
      <c r="B36">
        <v>30</v>
      </c>
      <c r="E36">
        <v>45</v>
      </c>
      <c r="J36">
        <v>26.5</v>
      </c>
      <c r="K36">
        <v>35</v>
      </c>
      <c r="N36">
        <v>22.5</v>
      </c>
      <c r="O36">
        <v>55</v>
      </c>
      <c r="P36">
        <v>28</v>
      </c>
      <c r="Q36">
        <v>40</v>
      </c>
      <c r="T36">
        <v>39</v>
      </c>
      <c r="W36">
        <v>27</v>
      </c>
      <c r="Y36">
        <v>35</v>
      </c>
      <c r="AB36">
        <v>30</v>
      </c>
      <c r="AC36">
        <v>55</v>
      </c>
      <c r="AM36">
        <v>37.5</v>
      </c>
      <c r="AO36">
        <v>55</v>
      </c>
      <c r="AP36">
        <v>48.75</v>
      </c>
      <c r="AV36">
        <v>50</v>
      </c>
      <c r="AX36">
        <v>55</v>
      </c>
      <c r="AY36">
        <v>40</v>
      </c>
      <c r="BB36">
        <v>40</v>
      </c>
      <c r="BF36">
        <v>28.333333333333332</v>
      </c>
      <c r="BG36">
        <v>28</v>
      </c>
      <c r="BJ36">
        <v>50</v>
      </c>
      <c r="BK36">
        <v>55</v>
      </c>
      <c r="BL36">
        <v>45</v>
      </c>
      <c r="BM36">
        <v>60</v>
      </c>
      <c r="BO36">
        <v>30</v>
      </c>
      <c r="BP36">
        <v>30</v>
      </c>
      <c r="BY36">
        <v>30</v>
      </c>
      <c r="BZ36">
        <v>49.18181818181818</v>
      </c>
      <c r="CD36">
        <v>26</v>
      </c>
      <c r="CG36">
        <v>44</v>
      </c>
      <c r="CI36">
        <v>28</v>
      </c>
      <c r="CJ36">
        <v>40</v>
      </c>
      <c r="CN36">
        <v>51.666666666666664</v>
      </c>
      <c r="CO36">
        <v>45</v>
      </c>
      <c r="CP36">
        <v>60</v>
      </c>
      <c r="CQ36">
        <v>43.8</v>
      </c>
      <c r="CR36">
        <v>35</v>
      </c>
      <c r="CS36">
        <v>36.5</v>
      </c>
      <c r="CX36">
        <v>47.5</v>
      </c>
      <c r="CY36">
        <v>28</v>
      </c>
      <c r="DC36">
        <v>40</v>
      </c>
      <c r="DD36">
        <v>18</v>
      </c>
      <c r="DF36">
        <v>60</v>
      </c>
      <c r="DG36">
        <v>28.666666666666668</v>
      </c>
      <c r="DK36">
        <v>32</v>
      </c>
      <c r="DN36">
        <v>48.111111111111114</v>
      </c>
      <c r="DS36">
        <v>31.666666666666668</v>
      </c>
      <c r="DX36">
        <v>30.5</v>
      </c>
      <c r="EG36">
        <v>42.75</v>
      </c>
      <c r="EH36">
        <v>53.333333333333336</v>
      </c>
      <c r="EI36">
        <v>22</v>
      </c>
      <c r="ER36">
        <v>32.5</v>
      </c>
      <c r="EU36">
        <v>57.5</v>
      </c>
      <c r="EX36">
        <v>60</v>
      </c>
      <c r="EY36">
        <v>30</v>
      </c>
      <c r="FE36">
        <v>35</v>
      </c>
      <c r="FI36">
        <v>39</v>
      </c>
      <c r="FK36">
        <v>55</v>
      </c>
      <c r="FL36">
        <v>38.333333333333336</v>
      </c>
      <c r="FM36">
        <v>30</v>
      </c>
      <c r="FT36">
        <v>35</v>
      </c>
      <c r="FW36">
        <v>50</v>
      </c>
      <c r="FY36">
        <v>45</v>
      </c>
      <c r="GK36">
        <v>40.748251748251747</v>
      </c>
    </row>
    <row r="37" spans="1:193" x14ac:dyDescent="0.25">
      <c r="A37" s="3" t="s">
        <v>60</v>
      </c>
      <c r="D37">
        <v>43.333333333333336</v>
      </c>
      <c r="G37">
        <v>70</v>
      </c>
      <c r="H37">
        <v>30</v>
      </c>
      <c r="M37">
        <v>40</v>
      </c>
      <c r="S37">
        <v>52.5</v>
      </c>
      <c r="T37">
        <v>42.5</v>
      </c>
      <c r="V37">
        <v>35</v>
      </c>
      <c r="AD37">
        <v>50</v>
      </c>
      <c r="AE37">
        <v>35</v>
      </c>
      <c r="AG37">
        <v>45</v>
      </c>
      <c r="AH37">
        <v>45</v>
      </c>
      <c r="AI37">
        <v>35</v>
      </c>
      <c r="AK37">
        <v>30</v>
      </c>
      <c r="AM37">
        <v>60</v>
      </c>
      <c r="AP37">
        <v>56</v>
      </c>
      <c r="AS37">
        <v>70</v>
      </c>
      <c r="AV37">
        <v>36</v>
      </c>
      <c r="AW37">
        <v>55</v>
      </c>
      <c r="AZ37">
        <v>23.333333333333332</v>
      </c>
      <c r="BB37">
        <v>37.5</v>
      </c>
      <c r="BI37">
        <v>70</v>
      </c>
      <c r="BJ37">
        <v>56.666666666666664</v>
      </c>
      <c r="BL37">
        <v>37.5</v>
      </c>
      <c r="BM37">
        <v>80</v>
      </c>
      <c r="BO37">
        <v>32</v>
      </c>
      <c r="BP37">
        <v>60</v>
      </c>
      <c r="BQ37">
        <v>60</v>
      </c>
      <c r="BR37">
        <v>70</v>
      </c>
      <c r="BT37">
        <v>50</v>
      </c>
      <c r="BU37">
        <v>30</v>
      </c>
      <c r="BV37">
        <v>40</v>
      </c>
      <c r="BY37">
        <v>40</v>
      </c>
      <c r="BZ37">
        <v>49.9</v>
      </c>
      <c r="CC37">
        <v>30</v>
      </c>
      <c r="CJ37">
        <v>38.75</v>
      </c>
      <c r="CM37">
        <v>40</v>
      </c>
      <c r="CN37">
        <v>56.25</v>
      </c>
      <c r="CO37">
        <v>42.5</v>
      </c>
      <c r="CP37">
        <v>60</v>
      </c>
      <c r="CQ37">
        <v>47.4</v>
      </c>
      <c r="CS37">
        <v>40</v>
      </c>
      <c r="CU37">
        <v>30</v>
      </c>
      <c r="CX37">
        <v>45</v>
      </c>
      <c r="CY37">
        <v>24</v>
      </c>
      <c r="DA37">
        <v>45</v>
      </c>
      <c r="DD37">
        <v>40</v>
      </c>
      <c r="DF37">
        <v>70</v>
      </c>
      <c r="DK37">
        <v>32</v>
      </c>
      <c r="DL37">
        <v>15</v>
      </c>
      <c r="DN37">
        <v>46.352941176470587</v>
      </c>
      <c r="DQ37">
        <v>41.666666666666664</v>
      </c>
      <c r="DS37">
        <v>33</v>
      </c>
      <c r="DV37">
        <v>70</v>
      </c>
      <c r="DX37">
        <v>26</v>
      </c>
      <c r="DZ37">
        <v>80</v>
      </c>
      <c r="EC37">
        <v>57.5</v>
      </c>
      <c r="EF37">
        <v>37.5</v>
      </c>
      <c r="EG37">
        <v>42.5</v>
      </c>
      <c r="EH37">
        <v>22.5</v>
      </c>
      <c r="EI37">
        <v>20</v>
      </c>
      <c r="EN37">
        <v>44.666666666666664</v>
      </c>
      <c r="EP37">
        <v>50</v>
      </c>
      <c r="ER37">
        <v>43.888888888888886</v>
      </c>
      <c r="ET37">
        <v>35</v>
      </c>
      <c r="EU37">
        <v>42.5</v>
      </c>
      <c r="EV37">
        <v>46</v>
      </c>
      <c r="EX37">
        <v>70</v>
      </c>
      <c r="EY37">
        <v>25</v>
      </c>
      <c r="FA37">
        <v>40</v>
      </c>
      <c r="FD37">
        <v>70</v>
      </c>
      <c r="FE37">
        <v>35</v>
      </c>
      <c r="FI37">
        <v>35.333333333333336</v>
      </c>
      <c r="FK37">
        <v>50</v>
      </c>
      <c r="FL37">
        <v>50</v>
      </c>
      <c r="FT37">
        <v>45</v>
      </c>
      <c r="GB37">
        <v>35</v>
      </c>
      <c r="GD37">
        <v>40</v>
      </c>
      <c r="GH37">
        <v>70</v>
      </c>
      <c r="GJ37">
        <v>30</v>
      </c>
      <c r="GK37">
        <v>44.457446808510639</v>
      </c>
    </row>
    <row r="38" spans="1:193" x14ac:dyDescent="0.25">
      <c r="A38" s="3" t="s">
        <v>4108</v>
      </c>
      <c r="B38">
        <v>34.125</v>
      </c>
      <c r="C38">
        <v>51.666666666666664</v>
      </c>
      <c r="D38">
        <v>43.75</v>
      </c>
      <c r="E38">
        <v>45</v>
      </c>
      <c r="F38">
        <v>45</v>
      </c>
      <c r="G38">
        <v>61.666666666666664</v>
      </c>
      <c r="H38">
        <v>30</v>
      </c>
      <c r="I38">
        <v>60</v>
      </c>
      <c r="J38">
        <v>28</v>
      </c>
      <c r="K38">
        <v>33.333333333333336</v>
      </c>
      <c r="L38">
        <v>40</v>
      </c>
      <c r="M38">
        <v>53.333333333333336</v>
      </c>
      <c r="N38">
        <v>22.5</v>
      </c>
      <c r="O38">
        <v>55</v>
      </c>
      <c r="P38">
        <v>28</v>
      </c>
      <c r="Q38">
        <v>40</v>
      </c>
      <c r="R38">
        <v>30</v>
      </c>
      <c r="S38">
        <v>44.444444444444443</v>
      </c>
      <c r="T38">
        <v>40.333333333333336</v>
      </c>
      <c r="U38">
        <v>41</v>
      </c>
      <c r="V38">
        <v>33.333333333333336</v>
      </c>
      <c r="W38">
        <v>30.8</v>
      </c>
      <c r="X38">
        <v>40</v>
      </c>
      <c r="Y38">
        <v>35</v>
      </c>
      <c r="Z38">
        <v>20</v>
      </c>
      <c r="AA38">
        <v>55</v>
      </c>
      <c r="AB38">
        <v>31.25</v>
      </c>
      <c r="AC38">
        <v>52.5</v>
      </c>
      <c r="AD38">
        <v>50</v>
      </c>
      <c r="AE38">
        <v>35</v>
      </c>
      <c r="AF38">
        <v>70</v>
      </c>
      <c r="AG38">
        <v>45</v>
      </c>
      <c r="AH38">
        <v>45</v>
      </c>
      <c r="AI38">
        <v>35</v>
      </c>
      <c r="AJ38">
        <v>40.5</v>
      </c>
      <c r="AK38">
        <v>30</v>
      </c>
      <c r="AL38">
        <v>47.333333333333336</v>
      </c>
      <c r="AM38">
        <v>36.75</v>
      </c>
      <c r="AN38">
        <v>50</v>
      </c>
      <c r="AO38">
        <v>55</v>
      </c>
      <c r="AP38">
        <v>51.368421052631582</v>
      </c>
      <c r="AQ38">
        <v>60</v>
      </c>
      <c r="AR38">
        <v>45</v>
      </c>
      <c r="AS38">
        <v>48.333333333333336</v>
      </c>
      <c r="AT38">
        <v>70</v>
      </c>
      <c r="AU38">
        <v>70</v>
      </c>
      <c r="AV38">
        <v>43</v>
      </c>
      <c r="AW38">
        <v>55</v>
      </c>
      <c r="AX38">
        <v>55</v>
      </c>
      <c r="AY38">
        <v>47.5</v>
      </c>
      <c r="AZ38">
        <v>35.636363636363633</v>
      </c>
      <c r="BA38">
        <v>45</v>
      </c>
      <c r="BB38">
        <v>39.285714285714285</v>
      </c>
      <c r="BC38">
        <v>50</v>
      </c>
      <c r="BD38">
        <v>35</v>
      </c>
      <c r="BE38">
        <v>60</v>
      </c>
      <c r="BF38">
        <v>29</v>
      </c>
      <c r="BG38">
        <v>25.333333333333332</v>
      </c>
      <c r="BH38">
        <v>60</v>
      </c>
      <c r="BI38">
        <v>70</v>
      </c>
      <c r="BJ38">
        <v>51.428571428571431</v>
      </c>
      <c r="BK38">
        <v>55</v>
      </c>
      <c r="BL38">
        <v>43.125</v>
      </c>
      <c r="BM38">
        <v>70</v>
      </c>
      <c r="BN38">
        <v>60</v>
      </c>
      <c r="BO38">
        <v>31.333333333333332</v>
      </c>
      <c r="BP38">
        <v>46</v>
      </c>
      <c r="BQ38">
        <v>55</v>
      </c>
      <c r="BR38">
        <v>70</v>
      </c>
      <c r="BS38">
        <v>60</v>
      </c>
      <c r="BT38">
        <v>50</v>
      </c>
      <c r="BU38">
        <v>45.714285714285715</v>
      </c>
      <c r="BV38">
        <v>40</v>
      </c>
      <c r="BW38">
        <v>55</v>
      </c>
      <c r="BX38">
        <v>20</v>
      </c>
      <c r="BY38">
        <v>38.571428571428569</v>
      </c>
      <c r="BZ38">
        <v>50.270270270270274</v>
      </c>
      <c r="CA38">
        <v>70</v>
      </c>
      <c r="CB38">
        <v>37.5</v>
      </c>
      <c r="CC38">
        <v>30</v>
      </c>
      <c r="CD38">
        <v>32.666666666666664</v>
      </c>
      <c r="CE38">
        <v>45</v>
      </c>
      <c r="CF38">
        <v>60</v>
      </c>
      <c r="CG38">
        <v>42.666666666666664</v>
      </c>
      <c r="CH38">
        <v>60</v>
      </c>
      <c r="CI38">
        <v>28</v>
      </c>
      <c r="CJ38">
        <v>39.166666666666664</v>
      </c>
      <c r="CK38">
        <v>45</v>
      </c>
      <c r="CL38">
        <v>45</v>
      </c>
      <c r="CM38">
        <v>38.5</v>
      </c>
      <c r="CN38">
        <v>49.166666666666664</v>
      </c>
      <c r="CO38">
        <v>39.444444444444443</v>
      </c>
      <c r="CP38">
        <v>56</v>
      </c>
      <c r="CQ38">
        <v>45.142857142857146</v>
      </c>
      <c r="CR38">
        <v>58.333333333333336</v>
      </c>
      <c r="CS38">
        <v>38.333333333333336</v>
      </c>
      <c r="CT38">
        <v>60</v>
      </c>
      <c r="CU38">
        <v>40</v>
      </c>
      <c r="CV38">
        <v>45</v>
      </c>
      <c r="CW38">
        <v>15</v>
      </c>
      <c r="CX38">
        <v>44</v>
      </c>
      <c r="CY38">
        <v>28.888888888888889</v>
      </c>
      <c r="CZ38">
        <v>55</v>
      </c>
      <c r="DA38">
        <v>45</v>
      </c>
      <c r="DB38">
        <v>70</v>
      </c>
      <c r="DC38">
        <v>40</v>
      </c>
      <c r="DD38">
        <v>21.5</v>
      </c>
      <c r="DE38">
        <v>70</v>
      </c>
      <c r="DF38">
        <v>53.333333333333336</v>
      </c>
      <c r="DG38">
        <v>31.6</v>
      </c>
      <c r="DH38">
        <v>30</v>
      </c>
      <c r="DI38">
        <v>35</v>
      </c>
      <c r="DJ38">
        <v>65</v>
      </c>
      <c r="DK38">
        <v>32</v>
      </c>
      <c r="DL38">
        <v>18.333333333333332</v>
      </c>
      <c r="DM38">
        <v>60</v>
      </c>
      <c r="DN38">
        <v>49.272727272727273</v>
      </c>
      <c r="DO38">
        <v>45</v>
      </c>
      <c r="DP38">
        <v>40</v>
      </c>
      <c r="DQ38">
        <v>41.666666666666664</v>
      </c>
      <c r="DR38">
        <v>50</v>
      </c>
      <c r="DS38">
        <v>33.111111111111114</v>
      </c>
      <c r="DT38">
        <v>50</v>
      </c>
      <c r="DU38">
        <v>45</v>
      </c>
      <c r="DV38">
        <v>43.333333333333336</v>
      </c>
      <c r="DW38">
        <v>45</v>
      </c>
      <c r="DX38">
        <v>27.166666666666668</v>
      </c>
      <c r="DY38">
        <v>35</v>
      </c>
      <c r="DZ38">
        <v>80</v>
      </c>
      <c r="EA38">
        <v>70</v>
      </c>
      <c r="EB38">
        <v>55</v>
      </c>
      <c r="EC38">
        <v>57.5</v>
      </c>
      <c r="ED38">
        <v>80</v>
      </c>
      <c r="EE38">
        <v>55</v>
      </c>
      <c r="EF38">
        <v>25</v>
      </c>
      <c r="EG38">
        <v>40.5</v>
      </c>
      <c r="EH38">
        <v>36.363636363636367</v>
      </c>
      <c r="EI38">
        <v>18.666666666666668</v>
      </c>
      <c r="EJ38">
        <v>45</v>
      </c>
      <c r="EK38">
        <v>45</v>
      </c>
      <c r="EL38">
        <v>40</v>
      </c>
      <c r="EM38">
        <v>35</v>
      </c>
      <c r="EN38">
        <v>44.5</v>
      </c>
      <c r="EO38">
        <v>35</v>
      </c>
      <c r="EP38">
        <v>48</v>
      </c>
      <c r="EQ38">
        <v>45</v>
      </c>
      <c r="ER38">
        <v>37.777777777777779</v>
      </c>
      <c r="ES38">
        <v>35</v>
      </c>
      <c r="ET38">
        <v>35</v>
      </c>
      <c r="EU38">
        <v>47.142857142857146</v>
      </c>
      <c r="EV38">
        <v>47</v>
      </c>
      <c r="EW38">
        <v>50</v>
      </c>
      <c r="EX38">
        <v>55</v>
      </c>
      <c r="EY38">
        <v>34.166666666666664</v>
      </c>
      <c r="EZ38">
        <v>35</v>
      </c>
      <c r="FA38">
        <v>40</v>
      </c>
      <c r="FB38">
        <v>45</v>
      </c>
      <c r="FC38">
        <v>18.333333333333332</v>
      </c>
      <c r="FD38">
        <v>70</v>
      </c>
      <c r="FE38">
        <v>35</v>
      </c>
      <c r="FF38">
        <v>40</v>
      </c>
      <c r="FG38">
        <v>40</v>
      </c>
      <c r="FH38">
        <v>55</v>
      </c>
      <c r="FI38">
        <v>37.222222222222221</v>
      </c>
      <c r="FJ38">
        <v>50</v>
      </c>
      <c r="FK38">
        <v>50</v>
      </c>
      <c r="FL38">
        <v>42.4</v>
      </c>
      <c r="FM38">
        <v>30</v>
      </c>
      <c r="FN38">
        <v>60</v>
      </c>
      <c r="FO38">
        <v>60</v>
      </c>
      <c r="FP38">
        <v>40</v>
      </c>
      <c r="FQ38">
        <v>60</v>
      </c>
      <c r="FR38">
        <v>45</v>
      </c>
      <c r="FS38">
        <v>50</v>
      </c>
      <c r="FT38">
        <v>45</v>
      </c>
      <c r="FU38">
        <v>70</v>
      </c>
      <c r="FV38">
        <v>55</v>
      </c>
      <c r="FW38">
        <v>50</v>
      </c>
      <c r="FX38">
        <v>62.5</v>
      </c>
      <c r="FY38">
        <v>45</v>
      </c>
      <c r="FZ38">
        <v>55</v>
      </c>
      <c r="GA38">
        <v>65</v>
      </c>
      <c r="GB38">
        <v>35</v>
      </c>
      <c r="GC38">
        <v>45</v>
      </c>
      <c r="GD38">
        <v>40</v>
      </c>
      <c r="GE38">
        <v>70</v>
      </c>
      <c r="GF38">
        <v>60</v>
      </c>
      <c r="GG38">
        <v>73.333333333333329</v>
      </c>
      <c r="GH38">
        <v>70</v>
      </c>
      <c r="GI38">
        <v>20</v>
      </c>
      <c r="GJ38">
        <v>31</v>
      </c>
      <c r="GK38">
        <v>42.901639344262293</v>
      </c>
    </row>
  </sheetData>
  <conditionalFormatting pivot="1" sqref="B5:GK3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1CA10-633A-4B49-B56B-C80F5A2374B6}">
  <dimension ref="A1"/>
  <sheetViews>
    <sheetView showGridLines="0" zoomScale="80" zoomScaleNormal="80" workbookViewId="0">
      <selection activeCell="Y26" sqref="Y26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BE5BF-C3E5-4BC1-8FEA-F099516F7FD8}">
  <dimension ref="A3:B21"/>
  <sheetViews>
    <sheetView workbookViewId="0">
      <selection activeCell="A4" sqref="A4"/>
    </sheetView>
  </sheetViews>
  <sheetFormatPr defaultRowHeight="15" x14ac:dyDescent="0.25"/>
  <cols>
    <col min="1" max="1" width="13.140625" bestFit="1" customWidth="1"/>
    <col min="2" max="2" width="34" bestFit="1" customWidth="1"/>
    <col min="3" max="3" width="26.5703125" bestFit="1" customWidth="1"/>
  </cols>
  <sheetData>
    <row r="3" spans="1:2" x14ac:dyDescent="0.25">
      <c r="A3" t="s">
        <v>4116</v>
      </c>
      <c r="B3" t="s">
        <v>4114</v>
      </c>
    </row>
    <row r="4" spans="1:2" x14ac:dyDescent="0.25">
      <c r="A4" s="5">
        <v>21.508196721311474</v>
      </c>
      <c r="B4" s="5">
        <v>42.901639344262293</v>
      </c>
    </row>
    <row r="8" spans="1:2" x14ac:dyDescent="0.25">
      <c r="A8" t="s">
        <v>4110</v>
      </c>
      <c r="B8" t="s">
        <v>4109</v>
      </c>
    </row>
    <row r="9" spans="1:2" x14ac:dyDescent="0.25">
      <c r="A9" s="4">
        <v>15744</v>
      </c>
      <c r="B9" s="4">
        <v>31404</v>
      </c>
    </row>
    <row r="12" spans="1:2" x14ac:dyDescent="0.25">
      <c r="A12" s="7" t="s">
        <v>4117</v>
      </c>
    </row>
    <row r="13" spans="1:2" x14ac:dyDescent="0.25">
      <c r="A13" s="6">
        <f>A9/B9</f>
        <v>0.50133740924722969</v>
      </c>
    </row>
    <row r="17" spans="1:2" x14ac:dyDescent="0.25">
      <c r="A17" s="2" t="s">
        <v>4107</v>
      </c>
      <c r="B17" t="s">
        <v>4118</v>
      </c>
    </row>
    <row r="18" spans="1:2" x14ac:dyDescent="0.25">
      <c r="A18" s="3" t="s">
        <v>4106</v>
      </c>
      <c r="B18" s="4">
        <v>99</v>
      </c>
    </row>
    <row r="19" spans="1:2" x14ac:dyDescent="0.25">
      <c r="A19" s="3" t="s">
        <v>4105</v>
      </c>
      <c r="B19" s="4">
        <v>117</v>
      </c>
    </row>
    <row r="20" spans="1:2" x14ac:dyDescent="0.25">
      <c r="A20" s="3" t="s">
        <v>4104</v>
      </c>
      <c r="B20" s="4">
        <v>112</v>
      </c>
    </row>
    <row r="21" spans="1:2" x14ac:dyDescent="0.25">
      <c r="A21" s="3" t="s">
        <v>4108</v>
      </c>
      <c r="B21" s="4">
        <v>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Raw Sentiment dataset</vt:lpstr>
      <vt:lpstr>Cleaned Sentiments  Datasets</vt:lpstr>
      <vt:lpstr>Platform Performance Metrics</vt:lpstr>
      <vt:lpstr>Sentiment Trends Over Time (201</vt:lpstr>
      <vt:lpstr>Total Likes vs. Retweets by Soc</vt:lpstr>
      <vt:lpstr>Emotional Distribution by Ctry</vt:lpstr>
      <vt:lpstr>Emotional Engagement by Country</vt:lpstr>
      <vt:lpstr>Dashboards</vt:lpstr>
      <vt:lpstr>KPI'S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2026-03-09T11:00:07Z</dcterms:created>
  <dcterms:modified xsi:type="dcterms:W3CDTF">2026-04-10T09:56:57Z</dcterms:modified>
</cp:coreProperties>
</file>